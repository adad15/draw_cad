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1" activeTab="7"/>
  </bookViews>
  <sheets>
    <sheet name="新开岭上行" sheetId="1" r:id="rId1"/>
    <sheet name="新开岭下行" sheetId="24" r:id="rId2"/>
    <sheet name="双岭1号上行" sheetId="35" r:id="rId3"/>
    <sheet name="双岭1号下行" sheetId="36" r:id="rId4"/>
    <sheet name="双岭2号上行" sheetId="37" r:id="rId5"/>
    <sheet name="双岭2号下行" sheetId="38" r:id="rId6"/>
    <sheet name="黑沟上行" sheetId="39" r:id="rId7"/>
    <sheet name="黑沟下行" sheetId="40" r:id="rId8"/>
    <sheet name="宋家沟上行" sheetId="41" r:id="rId9"/>
    <sheet name="上古城上行" sheetId="43" r:id="rId10"/>
    <sheet name="宋家沟下行" sheetId="42" r:id="rId11"/>
    <sheet name="上古城下行" sheetId="44" r:id="rId12"/>
    <sheet name="下古城上行" sheetId="45" r:id="rId13"/>
    <sheet name="下古城下行" sheetId="46" r:id="rId14"/>
    <sheet name="挂牌岭上行" sheetId="47" r:id="rId15"/>
    <sheet name="挂牌岭下行" sheetId="48" r:id="rId16"/>
    <sheet name="石哈达1号上行" sheetId="49" r:id="rId17"/>
    <sheet name="石哈达1号下行" sheetId="50" r:id="rId18"/>
    <sheet name="石哈达2号上行" sheetId="51" r:id="rId19"/>
    <sheet name="石哈达2号下行" sheetId="52" r:id="rId20"/>
    <sheet name="雅河上行" sheetId="53" r:id="rId21"/>
    <sheet name="雅河下行" sheetId="54" r:id="rId22"/>
    <sheet name="大泉眼上行" sheetId="55" r:id="rId23"/>
    <sheet name="大泉眼下行" sheetId="56" r:id="rId24"/>
    <sheet name="马路沟上行" sheetId="57" r:id="rId25"/>
    <sheet name="马路沟下行" sheetId="58" r:id="rId26"/>
    <sheet name="鼻子沟上行" sheetId="59" r:id="rId27"/>
    <sheet name="鼻子沟下行" sheetId="61" r:id="rId28"/>
    <sheet name="砬门上行" sheetId="62" r:id="rId29"/>
    <sheet name="砬门下行" sheetId="63" r:id="rId30"/>
    <sheet name="23年统计" sheetId="33" r:id="rId31"/>
    <sheet name="标度统计" sheetId="64" r:id="rId32"/>
    <sheet name="评分统计" sheetId="65" r:id="rId33"/>
  </sheets>
  <definedNames>
    <definedName name="_xlnm._FilterDatabase" localSheetId="0" hidden="1">新开岭上行!$A$1:$H$72</definedName>
    <definedName name="_xlnm._FilterDatabase" localSheetId="1" hidden="1">新开岭下行!$A$1:$K$87</definedName>
    <definedName name="_xlnm._FilterDatabase" localSheetId="2" hidden="1">双岭1号上行!$A$1:$H$72</definedName>
    <definedName name="_xlnm._FilterDatabase" localSheetId="3" hidden="1">双岭1号下行!$A$1:$H$125</definedName>
    <definedName name="_xlnm._FilterDatabase" localSheetId="4" hidden="1">双岭2号上行!$A$1:$H$85</definedName>
    <definedName name="_xlnm._FilterDatabase" localSheetId="5" hidden="1">双岭2号下行!$A$1:$H$140</definedName>
    <definedName name="_xlnm._FilterDatabase" localSheetId="6" hidden="1">黑沟上行!$A$1:$H$95</definedName>
    <definedName name="_xlnm._FilterDatabase" localSheetId="7" hidden="1">黑沟下行!$A$1:$H$85</definedName>
    <definedName name="_xlnm._FilterDatabase" localSheetId="8" hidden="1">宋家沟上行!$A$1:$H$146</definedName>
    <definedName name="_xlnm._FilterDatabase" localSheetId="9" hidden="1">上古城上行!$A$1:$H$76</definedName>
    <definedName name="_xlnm._FilterDatabase" localSheetId="10" hidden="1">宋家沟下行!$A$1:$H$129</definedName>
    <definedName name="_xlnm._FilterDatabase" localSheetId="11" hidden="1">上古城下行!$A$1:$H$55</definedName>
    <definedName name="_xlnm._FilterDatabase" localSheetId="12" hidden="1">下古城上行!$A$1:$H$92</definedName>
    <definedName name="_xlnm._FilterDatabase" localSheetId="13" hidden="1">下古城下行!$A$1:$H$88</definedName>
    <definedName name="_xlnm._FilterDatabase" localSheetId="14" hidden="1">挂牌岭上行!$A$1:$H$160</definedName>
    <definedName name="_xlnm._FilterDatabase" localSheetId="15" hidden="1">挂牌岭下行!$A$1:$H$98</definedName>
    <definedName name="_xlnm._FilterDatabase" localSheetId="16" hidden="1">石哈达1号上行!$A$1:$H$98</definedName>
    <definedName name="_xlnm._FilterDatabase" localSheetId="17" hidden="1">石哈达1号下行!$A$1:$H$72</definedName>
    <definedName name="_xlnm._FilterDatabase" localSheetId="18" hidden="1">石哈达2号上行!$A$1:$H$86</definedName>
    <definedName name="_xlnm._FilterDatabase" localSheetId="19" hidden="1">石哈达2号下行!$A$1:$H$89</definedName>
    <definedName name="_xlnm._FilterDatabase" localSheetId="20" hidden="1">雅河上行!$A$1:$H$67</definedName>
    <definedName name="_xlnm._FilterDatabase" localSheetId="21" hidden="1">雅河下行!$A$1:$H$59</definedName>
    <definedName name="_xlnm._FilterDatabase" localSheetId="22" hidden="1">大泉眼上行!$A$1:$H$87</definedName>
    <definedName name="_xlnm._FilterDatabase" localSheetId="23" hidden="1">大泉眼下行!$A$1:$H$87</definedName>
    <definedName name="_xlnm._FilterDatabase" localSheetId="24" hidden="1">马路沟上行!$A$1:$H$101</definedName>
    <definedName name="_xlnm._FilterDatabase" localSheetId="25" hidden="1">马路沟下行!$A$1:$H$91</definedName>
    <definedName name="_xlnm._FilterDatabase" localSheetId="26" hidden="1">鼻子沟上行!$A$1:$H$80</definedName>
    <definedName name="_xlnm._FilterDatabase" localSheetId="27" hidden="1">鼻子沟下行!$A$1:$H$40</definedName>
    <definedName name="_xlnm._FilterDatabase" localSheetId="28" hidden="1">砬门上行!$A$1:$H$169</definedName>
    <definedName name="_xlnm._FilterDatabase" localSheetId="29" hidden="1">砬门下行!$A$1:$H$137</definedName>
    <definedName name="_xlnm._FilterDatabase" localSheetId="31" hidden="1">标度统计!$C$1:$K$79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<sst xmlns="http://schemas.openxmlformats.org/spreadsheetml/2006/main" count="12196" uniqueCount="2807">
  <si>
    <t>桩号</t>
  </si>
  <si>
    <t>衬砌板块号</t>
  </si>
  <si>
    <r>
      <rPr>
        <b/>
        <sz val="11"/>
        <color rgb="FF000000"/>
        <rFont val="宋体"/>
        <charset val="134"/>
      </rPr>
      <t>项目名称</t>
    </r>
  </si>
  <si>
    <r>
      <rPr>
        <b/>
        <sz val="11"/>
        <color rgb="FF000000"/>
        <rFont val="宋体"/>
        <charset val="134"/>
      </rPr>
      <t>病害位置</t>
    </r>
  </si>
  <si>
    <r>
      <rPr>
        <b/>
        <sz val="11"/>
        <color rgb="FF000000"/>
        <rFont val="宋体"/>
        <charset val="134"/>
      </rPr>
      <t>检查内容</t>
    </r>
  </si>
  <si>
    <t>病害描述</t>
  </si>
  <si>
    <r>
      <rPr>
        <b/>
        <sz val="11"/>
        <color rgb="FF000000"/>
        <rFont val="宋体"/>
        <charset val="134"/>
      </rPr>
      <t>判定结论</t>
    </r>
  </si>
  <si>
    <r>
      <rPr>
        <b/>
        <sz val="11"/>
        <color rgb="FF000000"/>
        <rFont val="宋体"/>
        <charset val="134"/>
      </rPr>
      <t>检测日期</t>
    </r>
  </si>
  <si>
    <t>衬砌</t>
  </si>
  <si>
    <t>拱顶</t>
  </si>
  <si>
    <t>露筋</t>
  </si>
  <si>
    <t>距板端0m，拱顶锈胀露筋，累计长度约 1.0m，修补后破损</t>
  </si>
  <si>
    <r>
      <rPr>
        <sz val="11"/>
        <color rgb="FF000000"/>
        <rFont val="宋体"/>
        <charset val="134"/>
      </rPr>
      <t>路面</t>
    </r>
  </si>
  <si>
    <r>
      <rPr>
        <sz val="11"/>
        <color rgb="FF000000"/>
        <rFont val="宋体"/>
        <charset val="134"/>
      </rPr>
      <t>横向裂缝</t>
    </r>
  </si>
  <si>
    <t>距板端2.5m，路面1条横向裂缝，长度为 7.5m，宽度为2.0mm</t>
  </si>
  <si>
    <t>环向裂缝</t>
  </si>
  <si>
    <t>距板端0m，施工缝环向裂缝已修补，长度为 6m</t>
  </si>
  <si>
    <t>检修道</t>
  </si>
  <si>
    <t>右侧</t>
  </si>
  <si>
    <t>盖板陷落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</si>
  <si>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3.0m</t>
    </r>
    <r>
      <rPr>
        <sz val="11"/>
        <color theme="1"/>
        <rFont val="宋体"/>
        <charset val="134"/>
      </rPr>
      <t>，右侧检修道盖板陷落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</si>
  <si>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color rgb="FF000000"/>
        <rFont val="宋体"/>
        <charset val="134"/>
      </rPr>
      <t>标志、标线、轮廓标</t>
    </r>
  </si>
  <si>
    <r>
      <rPr>
        <sz val="11"/>
        <color rgb="FF000000"/>
        <rFont val="宋体"/>
        <charset val="134"/>
      </rPr>
      <t>右侧墙</t>
    </r>
  </si>
  <si>
    <t>标志失效</t>
  </si>
  <si>
    <t>右侧墙紧急电话标志失效</t>
  </si>
  <si>
    <t>内装饰</t>
  </si>
  <si>
    <t>左侧墙</t>
  </si>
  <si>
    <t>瓷砖脱落</t>
  </si>
  <si>
    <r>
      <rPr>
        <sz val="11"/>
        <color rgb="FF000000"/>
        <rFont val="宋体"/>
        <charset val="134"/>
      </rPr>
      <t>距板端</t>
    </r>
    <r>
      <rPr>
        <sz val="11"/>
        <color rgb="FF000000"/>
        <rFont val="Times New Roman"/>
        <charset val="134"/>
      </rPr>
      <t>6m</t>
    </r>
    <r>
      <rPr>
        <sz val="11"/>
        <color rgb="FF000000"/>
        <rFont val="宋体"/>
        <charset val="134"/>
      </rPr>
      <t>，左侧墙瓷砖脱落，面积为</t>
    </r>
    <r>
      <rPr>
        <sz val="11"/>
        <color rgb="FF000000"/>
        <rFont val="Times New Roman"/>
        <charset val="134"/>
      </rPr>
      <t xml:space="preserve"> 0.1×3m</t>
    </r>
    <r>
      <rPr>
        <vertAlign val="superscript"/>
        <sz val="11"/>
        <color rgb="FF000000"/>
        <rFont val="Times New Roman"/>
        <charset val="134"/>
      </rPr>
      <t>2</t>
    </r>
  </si>
  <si>
    <t>标志缺失</t>
  </si>
  <si>
    <t>紧急停车带标志及车行横通道指示标志缺失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</si>
  <si>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3.0m</t>
    </r>
    <r>
      <rPr>
        <sz val="11"/>
        <color theme="1"/>
        <rFont val="宋体"/>
        <charset val="134"/>
      </rPr>
      <t>，右侧检修道盖板陷落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块</t>
    </r>
  </si>
  <si>
    <t>距板端0m，施工缝环向裂缝已修补，长度为 3m</t>
  </si>
  <si>
    <t>纵向裂缝</t>
  </si>
  <si>
    <r>
      <rPr>
        <sz val="11"/>
        <color rgb="FF000000"/>
        <rFont val="宋体"/>
        <charset val="134"/>
      </rPr>
      <t>距板端</t>
    </r>
    <r>
      <rPr>
        <sz val="11"/>
        <color rgb="FF000000"/>
        <rFont val="Times New Roman"/>
        <charset val="134"/>
      </rPr>
      <t>0m</t>
    </r>
    <r>
      <rPr>
        <sz val="11"/>
        <color rgb="FF000000"/>
        <rFont val="宋体"/>
        <charset val="134"/>
      </rPr>
      <t>，纵向裂缝已修补，长度为</t>
    </r>
    <r>
      <rPr>
        <sz val="11"/>
        <color rgb="FF000000"/>
        <rFont val="Times New Roman"/>
        <charset val="134"/>
      </rPr>
      <t>7m</t>
    </r>
  </si>
  <si>
    <t>距板端2.5m，行车道路面1条横向裂缝，长度为 3.75m，宽度为2.0mm</t>
  </si>
  <si>
    <t>侧壁破损</t>
  </si>
  <si>
    <t>距板端0.5m，右侧检修道侧壁破损，长度为 1.0m</t>
  </si>
  <si>
    <t>标志脱落</t>
  </si>
  <si>
    <r>
      <rPr>
        <sz val="11"/>
        <color rgb="FF000000"/>
        <rFont val="宋体"/>
        <charset val="134"/>
      </rPr>
      <t>距板端</t>
    </r>
    <r>
      <rPr>
        <sz val="11"/>
        <color rgb="FF000000"/>
        <rFont val="Times New Roman"/>
        <charset val="134"/>
      </rPr>
      <t>0m</t>
    </r>
    <r>
      <rPr>
        <sz val="11"/>
        <color rgb="FF000000"/>
        <rFont val="宋体"/>
        <charset val="134"/>
      </rPr>
      <t>，右侧墙紧急疏散标志失脱落</t>
    </r>
  </si>
  <si>
    <t>右侧墙</t>
  </si>
  <si>
    <t>渗水印迹</t>
  </si>
  <si>
    <r>
      <rPr>
        <sz val="11"/>
        <color rgb="FF000000"/>
        <rFont val="宋体"/>
        <charset val="134"/>
      </rPr>
      <t>距板端</t>
    </r>
    <r>
      <rPr>
        <sz val="11"/>
        <color rgb="FF000000"/>
        <rFont val="Times New Roman"/>
        <charset val="134"/>
      </rPr>
      <t>0m</t>
    </r>
    <r>
      <rPr>
        <sz val="11"/>
        <color rgb="FF000000"/>
        <rFont val="宋体"/>
        <charset val="134"/>
      </rPr>
      <t>，施工缝渗水印迹，面积为</t>
    </r>
    <r>
      <rPr>
        <sz val="11"/>
        <color rgb="FF000000"/>
        <rFont val="Times New Roman"/>
        <charset val="134"/>
      </rPr>
      <t xml:space="preserve"> 20.25m</t>
    </r>
    <r>
      <rPr>
        <vertAlign val="superscript"/>
        <sz val="11"/>
        <color rgb="FF000000"/>
        <rFont val="Times New Roman"/>
        <charset val="134"/>
      </rPr>
      <t>2</t>
    </r>
  </si>
  <si>
    <t>右拱腰</t>
  </si>
  <si>
    <r>
      <rPr>
        <sz val="11"/>
        <color rgb="FF000000"/>
        <rFont val="宋体"/>
        <charset val="134"/>
      </rPr>
      <t>距板端</t>
    </r>
    <r>
      <rPr>
        <sz val="11"/>
        <color rgb="FF000000"/>
        <rFont val="Times New Roman"/>
        <charset val="134"/>
      </rPr>
      <t>0m</t>
    </r>
    <r>
      <rPr>
        <sz val="11"/>
        <color rgb="FF000000"/>
        <rFont val="宋体"/>
        <charset val="134"/>
      </rPr>
      <t>，施工缝渗水印迹，面积为</t>
    </r>
    <r>
      <rPr>
        <sz val="11"/>
        <color rgb="FF000000"/>
        <rFont val="Times New Roman"/>
        <charset val="134"/>
      </rPr>
      <t xml:space="preserve"> 0.8m</t>
    </r>
    <r>
      <rPr>
        <vertAlign val="superscript"/>
        <sz val="11"/>
        <color rgb="FF000000"/>
        <rFont val="Times New Roman"/>
        <charset val="134"/>
      </rPr>
      <t>2</t>
    </r>
  </si>
  <si>
    <r>
      <rPr>
        <sz val="11"/>
        <color rgb="FF000000"/>
        <rFont val="宋体"/>
        <charset val="134"/>
      </rPr>
      <t>距板端</t>
    </r>
    <r>
      <rPr>
        <sz val="11"/>
        <color rgb="FF000000"/>
        <rFont val="Times New Roman"/>
        <charset val="134"/>
      </rPr>
      <t>0m</t>
    </r>
    <r>
      <rPr>
        <sz val="11"/>
        <color rgb="FF000000"/>
        <rFont val="宋体"/>
        <charset val="134"/>
      </rPr>
      <t>，施工缝渗水印迹，面积为</t>
    </r>
    <r>
      <rPr>
        <sz val="11"/>
        <color rgb="FF000000"/>
        <rFont val="Times New Roman"/>
        <charset val="134"/>
      </rPr>
      <t xml:space="preserve"> 0.6m</t>
    </r>
    <r>
      <rPr>
        <vertAlign val="superscript"/>
        <sz val="11"/>
        <color rgb="FF000000"/>
        <rFont val="Times New Roman"/>
        <charset val="134"/>
      </rPr>
      <t>2</t>
    </r>
  </si>
  <si>
    <t>涂料脱落</t>
  </si>
  <si>
    <r>
      <rPr>
        <sz val="11"/>
        <color rgb="FF000000"/>
        <rFont val="宋体"/>
        <charset val="134"/>
      </rPr>
      <t>距板端</t>
    </r>
    <r>
      <rPr>
        <sz val="11"/>
        <color rgb="FF000000"/>
        <rFont val="Times New Roman"/>
        <charset val="134"/>
      </rPr>
      <t>0m</t>
    </r>
    <r>
      <rPr>
        <sz val="11"/>
        <color rgb="FF000000"/>
        <rFont val="宋体"/>
        <charset val="134"/>
      </rPr>
      <t>，右拱腰涂料脱落，面积为</t>
    </r>
    <r>
      <rPr>
        <sz val="11"/>
        <color rgb="FF000000"/>
        <rFont val="Times New Roman"/>
        <charset val="134"/>
      </rPr>
      <t xml:space="preserve"> 0.1m</t>
    </r>
    <r>
      <rPr>
        <vertAlign val="superscript"/>
        <sz val="11"/>
        <color rgb="FF000000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</si>
  <si>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 xml:space="preserve"> 3m</t>
    </r>
    <r>
      <rPr>
        <sz val="11"/>
        <color theme="1"/>
        <rFont val="宋体"/>
        <charset val="134"/>
      </rPr>
      <t>，施工缝渗水印迹，面积为</t>
    </r>
    <r>
      <rPr>
        <sz val="11"/>
        <color theme="1"/>
        <rFont val="Times New Roman"/>
        <charset val="134"/>
      </rPr>
      <t xml:space="preserve"> 1.5m</t>
    </r>
    <r>
      <rPr>
        <vertAlign val="superscript"/>
        <sz val="11"/>
        <color theme="1"/>
        <rFont val="Times New Roman"/>
        <charset val="134"/>
      </rPr>
      <t>2</t>
    </r>
  </si>
  <si>
    <t>左拱腰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</si>
  <si>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，施工缝渗水印迹，面积为</t>
    </r>
    <r>
      <rPr>
        <sz val="11"/>
        <color theme="1"/>
        <rFont val="Times New Roman"/>
        <charset val="134"/>
      </rPr>
      <t xml:space="preserve"> 0.6m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</si>
  <si>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，施工缝渗水印迹，面积为</t>
    </r>
    <r>
      <rPr>
        <sz val="11"/>
        <color theme="1"/>
        <rFont val="Times New Roman"/>
        <charset val="134"/>
      </rPr>
      <t xml:space="preserve"> 0.15×3m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</si>
  <si>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rgb="FF000000"/>
        <rFont val="宋体"/>
        <charset val="134"/>
      </rPr>
      <t>距板端</t>
    </r>
    <r>
      <rPr>
        <sz val="11"/>
        <color rgb="FF000000"/>
        <rFont val="Times New Roman"/>
        <charset val="134"/>
      </rPr>
      <t>0m</t>
    </r>
    <r>
      <rPr>
        <sz val="11"/>
        <color rgb="FF000000"/>
        <rFont val="宋体"/>
        <charset val="134"/>
      </rPr>
      <t>，左拱腰涂料脱落，面积为</t>
    </r>
    <r>
      <rPr>
        <sz val="11"/>
        <color rgb="FF000000"/>
        <rFont val="Times New Roman"/>
        <charset val="134"/>
      </rPr>
      <t xml:space="preserve"> 0.2m</t>
    </r>
    <r>
      <rPr>
        <vertAlign val="superscript"/>
        <sz val="11"/>
        <color rgb="FF000000"/>
        <rFont val="Times New Roman"/>
        <charset val="134"/>
      </rPr>
      <t>2</t>
    </r>
  </si>
  <si>
    <r>
      <rPr>
        <sz val="11"/>
        <color rgb="FF000000"/>
        <rFont val="宋体"/>
        <charset val="134"/>
      </rPr>
      <t>距板端</t>
    </r>
    <r>
      <rPr>
        <sz val="11"/>
        <color rgb="FF000000"/>
        <rFont val="Times New Roman"/>
        <charset val="134"/>
      </rPr>
      <t>0m</t>
    </r>
    <r>
      <rPr>
        <sz val="11"/>
        <color rgb="FF000000"/>
        <rFont val="宋体"/>
        <charset val="134"/>
      </rPr>
      <t>，右侧墙紧急疏散标志失效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</si>
  <si>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，施工缝渗水印迹，面积为</t>
    </r>
    <r>
      <rPr>
        <sz val="11"/>
        <color theme="1"/>
        <rFont val="Times New Roman"/>
        <charset val="134"/>
      </rPr>
      <t xml:space="preserve"> 2.5m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</si>
  <si>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rgb="FF000000"/>
        <rFont val="宋体"/>
        <charset val="134"/>
      </rPr>
      <t>距板端</t>
    </r>
    <r>
      <rPr>
        <sz val="11"/>
        <color rgb="FF000000"/>
        <rFont val="Times New Roman"/>
        <charset val="134"/>
      </rPr>
      <t>0m</t>
    </r>
    <r>
      <rPr>
        <sz val="11"/>
        <color rgb="FF000000"/>
        <rFont val="宋体"/>
        <charset val="134"/>
      </rPr>
      <t>，拱顶涂料脱落，面积为</t>
    </r>
    <r>
      <rPr>
        <sz val="11"/>
        <color rgb="FF000000"/>
        <rFont val="Times New Roman"/>
        <charset val="134"/>
      </rPr>
      <t xml:space="preserve"> 0.2m</t>
    </r>
    <r>
      <rPr>
        <vertAlign val="superscript"/>
        <sz val="11"/>
        <color rgb="FF000000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</si>
  <si>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，施工缝渗水印迹，面积为</t>
    </r>
    <r>
      <rPr>
        <sz val="11"/>
        <color theme="1"/>
        <rFont val="Times New Roman"/>
        <charset val="134"/>
      </rPr>
      <t>3m</t>
    </r>
    <r>
      <rPr>
        <vertAlign val="superscript"/>
        <sz val="11"/>
        <color theme="1"/>
        <rFont val="Times New Roman"/>
        <charset val="134"/>
      </rPr>
      <t>2</t>
    </r>
  </si>
  <si>
    <t>距板端0m，施工缝渗水印迹，面积为 3m2，已修补</t>
  </si>
  <si>
    <r>
      <rPr>
        <sz val="11"/>
        <color rgb="FF000000"/>
        <rFont val="宋体"/>
        <charset val="134"/>
      </rPr>
      <t>标志脱落</t>
    </r>
  </si>
  <si>
    <r>
      <rPr>
        <sz val="11"/>
        <color rgb="FFFF0000"/>
        <rFont val="宋体"/>
        <charset val="134"/>
      </rPr>
      <t>距板端</t>
    </r>
    <r>
      <rPr>
        <sz val="11"/>
        <color rgb="FFFF0000"/>
        <rFont val="Times New Roman"/>
        <charset val="134"/>
      </rPr>
      <t>7m</t>
    </r>
    <r>
      <rPr>
        <sz val="11"/>
        <color rgb="FFFF0000"/>
        <rFont val="宋体"/>
        <charset val="134"/>
      </rPr>
      <t>，右侧边墙上疏散指示标志脱落</t>
    </r>
  </si>
  <si>
    <t>距板端0m，拱顶环向裂缝，长度为 1.0m，宽度为 0.20mm</t>
  </si>
  <si>
    <r>
      <rPr>
        <sz val="11"/>
        <color rgb="FF000000"/>
        <rFont val="宋体"/>
        <charset val="134"/>
      </rPr>
      <t>距板端</t>
    </r>
    <r>
      <rPr>
        <sz val="11"/>
        <color rgb="FF000000"/>
        <rFont val="Times New Roman"/>
        <charset val="134"/>
      </rPr>
      <t>0m</t>
    </r>
    <r>
      <rPr>
        <sz val="11"/>
        <color rgb="FF000000"/>
        <rFont val="宋体"/>
        <charset val="134"/>
      </rPr>
      <t>，右侧墙紧急电话标志失效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</si>
  <si>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 xml:space="preserve"> 3m</t>
    </r>
    <r>
      <rPr>
        <sz val="11"/>
        <color theme="1"/>
        <rFont val="宋体"/>
        <charset val="134"/>
      </rPr>
      <t>，施工缝渗水印迹，面积为</t>
    </r>
    <r>
      <rPr>
        <sz val="11"/>
        <color theme="1"/>
        <rFont val="Times New Roman"/>
        <charset val="134"/>
      </rPr>
      <t>1.5m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</si>
  <si>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 xml:space="preserve"> 0.4m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 xml:space="preserve"> 0.30mm</t>
    </r>
  </si>
  <si>
    <r>
      <rPr>
        <sz val="11"/>
        <color rgb="FF000000"/>
        <rFont val="宋体"/>
        <charset val="134"/>
      </rPr>
      <t>距板端</t>
    </r>
    <r>
      <rPr>
        <sz val="11"/>
        <color rgb="FF000000"/>
        <rFont val="Times New Roman"/>
        <charset val="134"/>
      </rPr>
      <t>6.5m</t>
    </r>
    <r>
      <rPr>
        <sz val="11"/>
        <color rgb="FF000000"/>
        <rFont val="宋体"/>
        <charset val="134"/>
      </rPr>
      <t>，右侧墙瓷砖脱落，面积为</t>
    </r>
    <r>
      <rPr>
        <sz val="11"/>
        <color rgb="FF000000"/>
        <rFont val="Times New Roman"/>
        <charset val="134"/>
      </rPr>
      <t>0.18m</t>
    </r>
    <r>
      <rPr>
        <vertAlign val="superscript"/>
        <sz val="11"/>
        <color rgb="FF000000"/>
        <rFont val="Times New Roman"/>
        <charset val="134"/>
      </rPr>
      <t>2</t>
    </r>
  </si>
  <si>
    <r>
      <rPr>
        <sz val="11"/>
        <color rgb="FF000000"/>
        <rFont val="宋体"/>
        <charset val="134"/>
      </rPr>
      <t>距板端</t>
    </r>
    <r>
      <rPr>
        <sz val="11"/>
        <color rgb="FF000000"/>
        <rFont val="Times New Roman"/>
        <charset val="134"/>
      </rPr>
      <t>0m</t>
    </r>
    <r>
      <rPr>
        <sz val="11"/>
        <color rgb="FF000000"/>
        <rFont val="宋体"/>
        <charset val="134"/>
      </rPr>
      <t>，拱顶涂料脱落，面积为</t>
    </r>
    <r>
      <rPr>
        <sz val="11"/>
        <color rgb="FF000000"/>
        <rFont val="Times New Roman"/>
        <charset val="134"/>
      </rPr>
      <t xml:space="preserve"> 0.05m</t>
    </r>
    <r>
      <rPr>
        <vertAlign val="superscript"/>
        <sz val="11"/>
        <color rgb="FF000000"/>
        <rFont val="Times New Roman"/>
        <charset val="134"/>
      </rPr>
      <t>2</t>
    </r>
  </si>
  <si>
    <t>距板端0m，环向裂缝，长度为 5m，宽度为 0.70mm</t>
  </si>
  <si>
    <t>距板端0.1m，环向裂缝，长度为 1.5m，宽度为 0.90mm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</si>
  <si>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，施工缝渗水印迹，面积为</t>
    </r>
    <r>
      <rPr>
        <sz val="11"/>
        <color theme="1"/>
        <rFont val="Times New Roman"/>
        <charset val="134"/>
      </rPr>
      <t xml:space="preserve"> 20m</t>
    </r>
    <r>
      <rPr>
        <vertAlign val="superscript"/>
        <sz val="11"/>
        <color theme="1"/>
        <rFont val="Times New Roman"/>
        <charset val="134"/>
      </rPr>
      <t>2</t>
    </r>
  </si>
  <si>
    <t>标志侵限</t>
  </si>
  <si>
    <r>
      <rPr>
        <sz val="11"/>
        <color rgb="FF000000"/>
        <rFont val="宋体"/>
        <charset val="134"/>
      </rPr>
      <t>右侧墙人通指示标志侵限，距检修道高</t>
    </r>
    <r>
      <rPr>
        <sz val="11"/>
        <color rgb="FF000000"/>
        <rFont val="Times New Roman"/>
        <charset val="134"/>
      </rPr>
      <t>1.6m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</si>
  <si>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，施工缝环向裂缝，长度为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 xml:space="preserve"> 0.50mm</t>
    </r>
  </si>
  <si>
    <t>距板端0m，纵向裂缝，距拱顶中心线1.5m，长度为 8.6m，宽度为 0.70mm</t>
  </si>
  <si>
    <t>距板端0m，纵向裂缝，距拱顶中心线1.5m，长度为 8.9m，宽度为 0.50mm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</si>
  <si>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，施工缝旁环向裂缝，长度为</t>
    </r>
    <r>
      <rPr>
        <sz val="11"/>
        <color theme="1"/>
        <rFont val="Times New Roman"/>
        <charset val="134"/>
      </rPr>
      <t>0.4m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 xml:space="preserve"> 0.40mm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</si>
  <si>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6m</t>
    </r>
    <r>
      <rPr>
        <sz val="11"/>
        <color theme="1"/>
        <rFont val="宋体"/>
        <charset val="134"/>
      </rPr>
      <t>，右侧检修道侧壁破损，长度为</t>
    </r>
    <r>
      <rPr>
        <sz val="11"/>
        <color theme="1"/>
        <rFont val="Times New Roman"/>
        <charset val="134"/>
      </rPr>
      <t>3.0m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</si>
  <si>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，施工缝旁环向裂缝，长度为</t>
    </r>
    <r>
      <rPr>
        <sz val="11"/>
        <color theme="1"/>
        <rFont val="Times New Roman"/>
        <charset val="134"/>
      </rPr>
      <t>2.0m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 xml:space="preserve"> 0.50mm</t>
    </r>
  </si>
  <si>
    <t>50~51</t>
  </si>
  <si>
    <r>
      <rPr>
        <sz val="11"/>
        <color theme="1"/>
        <rFont val="宋体"/>
        <charset val="134"/>
      </rPr>
      <t>右侧检修道侧壁破损，长度为</t>
    </r>
    <r>
      <rPr>
        <sz val="11"/>
        <color theme="1"/>
        <rFont val="Times New Roman"/>
        <charset val="134"/>
      </rPr>
      <t>15.0m</t>
    </r>
  </si>
  <si>
    <r>
      <rPr>
        <sz val="11"/>
        <color theme="1"/>
        <rFont val="宋体"/>
        <charset val="134"/>
      </rPr>
      <t>右侧检修道侧壁破损，长度为</t>
    </r>
    <r>
      <rPr>
        <sz val="11"/>
        <color theme="1"/>
        <rFont val="Times New Roman"/>
        <charset val="134"/>
      </rPr>
      <t>1.5m</t>
    </r>
  </si>
  <si>
    <t>距板端0.2m，环向裂缝，长度为 1m，宽度为 0.80mm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</si>
  <si>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，右侧检修道侧壁破损，长度为</t>
    </r>
    <r>
      <rPr>
        <sz val="11"/>
        <color theme="1"/>
        <rFont val="Times New Roman"/>
        <charset val="134"/>
      </rPr>
      <t>3.0m</t>
    </r>
  </si>
  <si>
    <r>
      <rPr>
        <sz val="11"/>
        <color rgb="FF000000"/>
        <rFont val="宋体"/>
        <charset val="134"/>
      </rPr>
      <t>坑槽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</si>
  <si>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1.0m</t>
    </r>
    <r>
      <rPr>
        <sz val="11"/>
        <color theme="1"/>
        <rFont val="宋体"/>
        <charset val="134"/>
      </rPr>
      <t>，行车道鲁路面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处坑槽，</t>
    </r>
    <r>
      <rPr>
        <sz val="11"/>
        <color theme="1"/>
        <rFont val="Times New Roman"/>
        <charset val="134"/>
      </rPr>
      <t>S=0.5×0.4m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</si>
  <si>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，施工缝渗水印迹，面积为</t>
    </r>
    <r>
      <rPr>
        <sz val="11"/>
        <color theme="1"/>
        <rFont val="Times New Roman"/>
        <charset val="134"/>
      </rPr>
      <t>1m</t>
    </r>
    <r>
      <rPr>
        <vertAlign val="superscript"/>
        <sz val="11"/>
        <color theme="1"/>
        <rFont val="Times New Roman"/>
        <charset val="134"/>
      </rPr>
      <t>2</t>
    </r>
  </si>
  <si>
    <t>左拱腰右拱腰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</si>
  <si>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，施工缝渗水印迹，面积为</t>
    </r>
    <r>
      <rPr>
        <sz val="11"/>
        <color theme="1"/>
        <rFont val="Times New Roman"/>
        <charset val="134"/>
      </rPr>
      <t>2.4m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</si>
  <si>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7m</t>
    </r>
    <r>
      <rPr>
        <sz val="11"/>
        <color theme="1"/>
        <rFont val="宋体"/>
        <charset val="134"/>
      </rPr>
      <t>，右侧墙瓷砖脱落，面积为</t>
    </r>
    <r>
      <rPr>
        <sz val="11"/>
        <color theme="1"/>
        <rFont val="Times New Roman"/>
        <charset val="134"/>
      </rPr>
      <t>5m</t>
    </r>
    <r>
      <rPr>
        <vertAlign val="superscript"/>
        <sz val="11"/>
        <color theme="1"/>
        <rFont val="Times New Roman"/>
        <charset val="134"/>
      </rPr>
      <t>2</t>
    </r>
  </si>
  <si>
    <t>排水系统</t>
  </si>
  <si>
    <t>滤水篦缺失</t>
  </si>
  <si>
    <t>距板端8.0m，右侧排水边沟沉砂井滤水篦子缺失</t>
  </si>
  <si>
    <t>/</t>
  </si>
  <si>
    <t>全隧道</t>
  </si>
  <si>
    <t>全隧道路面已重铺，基本完好</t>
  </si>
  <si>
    <t>1~10</t>
  </si>
  <si>
    <t>吊顶及预埋件</t>
  </si>
  <si>
    <t>两侧</t>
  </si>
  <si>
    <t>锈蚀</t>
  </si>
  <si>
    <t>电缆桥架及预埋件轻微锈蚀，氧化皮已开始剥落</t>
  </si>
  <si>
    <t>11~20</t>
  </si>
  <si>
    <t>21~30</t>
  </si>
  <si>
    <t>31~40</t>
  </si>
  <si>
    <t>41~50</t>
  </si>
  <si>
    <t>51~60</t>
  </si>
  <si>
    <t>61~72</t>
  </si>
  <si>
    <t>出口侧</t>
  </si>
  <si>
    <t>洞门</t>
  </si>
  <si>
    <t>出口洞门</t>
  </si>
  <si>
    <t>水蚀</t>
  </si>
  <si>
    <r>
      <rPr>
        <sz val="10.5"/>
        <color theme="1"/>
        <rFont val="宋体"/>
        <charset val="134"/>
      </rPr>
      <t>出口端洞门受雨水侵蚀，面积为</t>
    </r>
    <r>
      <rPr>
        <sz val="10.5"/>
        <color theme="1"/>
        <rFont val="Times New Roman"/>
        <charset val="134"/>
      </rPr>
      <t>9m</t>
    </r>
    <r>
      <rPr>
        <vertAlign val="superscript"/>
        <sz val="10.5"/>
        <color theme="1"/>
        <rFont val="Times New Roman"/>
        <charset val="134"/>
      </rPr>
      <t>2</t>
    </r>
  </si>
  <si>
    <t>涂层起层</t>
  </si>
  <si>
    <t>出口洞门涂层轻微起层脱落</t>
  </si>
  <si>
    <r>
      <rPr>
        <b/>
        <sz val="11"/>
        <color rgb="FF000000"/>
        <rFont val="宋体"/>
        <charset val="134"/>
      </rPr>
      <t>桩号</t>
    </r>
  </si>
  <si>
    <r>
      <rPr>
        <b/>
        <sz val="11"/>
        <color rgb="FF000000"/>
        <rFont val="宋体"/>
        <charset val="134"/>
      </rPr>
      <t>衬砌板块号</t>
    </r>
  </si>
  <si>
    <r>
      <rPr>
        <b/>
        <sz val="11"/>
        <color rgb="FF000000"/>
        <rFont val="宋体"/>
        <charset val="134"/>
      </rPr>
      <t>病害描述</t>
    </r>
  </si>
  <si>
    <r>
      <rPr>
        <sz val="11"/>
        <color rgb="FF000000"/>
        <rFont val="宋体"/>
        <charset val="134"/>
      </rPr>
      <t>入口侧</t>
    </r>
  </si>
  <si>
    <r>
      <rPr>
        <sz val="11"/>
        <color rgb="FF000000"/>
        <rFont val="宋体"/>
        <charset val="134"/>
      </rPr>
      <t>洞口</t>
    </r>
  </si>
  <si>
    <r>
      <rPr>
        <sz val="11"/>
        <color rgb="FF000000"/>
        <rFont val="宋体"/>
        <charset val="134"/>
      </rPr>
      <t>右侧边坡</t>
    </r>
  </si>
  <si>
    <r>
      <rPr>
        <sz val="11"/>
        <color theme="1"/>
        <rFont val="宋体"/>
        <charset val="134"/>
      </rPr>
      <t>滑坡</t>
    </r>
  </si>
  <si>
    <r>
      <rPr>
        <sz val="11"/>
        <color theme="1"/>
        <rFont val="宋体"/>
        <charset val="134"/>
      </rPr>
      <t>距入洞口约</t>
    </r>
    <r>
      <rPr>
        <sz val="11"/>
        <color theme="1"/>
        <rFont val="Times New Roman"/>
        <charset val="134"/>
      </rPr>
      <t>20m</t>
    </r>
    <r>
      <rPr>
        <sz val="11"/>
        <color theme="1"/>
        <rFont val="宋体"/>
        <charset val="134"/>
      </rPr>
      <t>处，右侧边坡土石滑落，面积为</t>
    </r>
    <r>
      <rPr>
        <sz val="11"/>
        <color theme="1"/>
        <rFont val="Times New Roman"/>
        <charset val="134"/>
      </rPr>
      <t xml:space="preserve"> 40m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，局部已回填处理</t>
    </r>
  </si>
  <si>
    <r>
      <rPr>
        <sz val="11"/>
        <color rgb="FF000000"/>
        <rFont val="宋体"/>
        <charset val="134"/>
      </rPr>
      <t>滑坡</t>
    </r>
  </si>
  <si>
    <r>
      <rPr>
        <sz val="11"/>
        <color rgb="FF000000"/>
        <rFont val="宋体"/>
        <charset val="134"/>
      </rPr>
      <t>距入洞口约</t>
    </r>
    <r>
      <rPr>
        <sz val="11"/>
        <color rgb="FF000000"/>
        <rFont val="Times New Roman"/>
        <charset val="134"/>
      </rPr>
      <t>40m</t>
    </r>
    <r>
      <rPr>
        <sz val="11"/>
        <color rgb="FF000000"/>
        <rFont val="宋体"/>
        <charset val="134"/>
      </rPr>
      <t>处，右侧边坡局部土石滑落，面积约</t>
    </r>
    <r>
      <rPr>
        <sz val="11"/>
        <color rgb="FF000000"/>
        <rFont val="Times New Roman"/>
        <charset val="134"/>
      </rPr>
      <t>30m2</t>
    </r>
    <r>
      <rPr>
        <sz val="11"/>
        <color rgb="FF000000"/>
        <rFont val="宋体"/>
        <charset val="134"/>
      </rPr>
      <t>，局部已回填处理，滑坡体表面土石裸露</t>
    </r>
  </si>
  <si>
    <r>
      <rPr>
        <sz val="11"/>
        <color rgb="FF000000"/>
        <rFont val="宋体"/>
        <charset val="134"/>
      </rPr>
      <t>内装饰</t>
    </r>
  </si>
  <si>
    <r>
      <rPr>
        <sz val="11"/>
        <color rgb="FF000000"/>
        <rFont val="宋体"/>
        <charset val="134"/>
      </rPr>
      <t>瓷砖脱落</t>
    </r>
  </si>
  <si>
    <r>
      <rPr>
        <sz val="11"/>
        <color rgb="FF000000"/>
        <rFont val="宋体"/>
        <charset val="134"/>
      </rPr>
      <t>距板端</t>
    </r>
    <r>
      <rPr>
        <sz val="11"/>
        <color rgb="FF000000"/>
        <rFont val="Times New Roman"/>
        <charset val="134"/>
      </rPr>
      <t>0m</t>
    </r>
    <r>
      <rPr>
        <sz val="11"/>
        <color rgb="FF000000"/>
        <rFont val="宋体"/>
        <charset val="134"/>
      </rPr>
      <t>，右侧墙瓷砖脱落，面积为</t>
    </r>
    <r>
      <rPr>
        <sz val="11"/>
        <color rgb="FF000000"/>
        <rFont val="Times New Roman"/>
        <charset val="134"/>
      </rPr>
      <t xml:space="preserve"> 0.09m</t>
    </r>
    <r>
      <rPr>
        <vertAlign val="superscript"/>
        <sz val="11"/>
        <color rgb="FF000000"/>
        <rFont val="Times New Roman"/>
        <charset val="134"/>
      </rPr>
      <t>2</t>
    </r>
    <r>
      <rPr>
        <sz val="11"/>
        <color rgb="FF000000"/>
        <rFont val="宋体"/>
        <charset val="134"/>
      </rPr>
      <t>修复后破损</t>
    </r>
  </si>
  <si>
    <r>
      <rPr>
        <sz val="11"/>
        <color rgb="FF000000"/>
        <rFont val="宋体"/>
        <charset val="134"/>
      </rPr>
      <t>排水系统</t>
    </r>
  </si>
  <si>
    <r>
      <rPr>
        <sz val="11"/>
        <color rgb="FF000000"/>
        <rFont val="宋体"/>
        <charset val="134"/>
      </rPr>
      <t>右侧</t>
    </r>
  </si>
  <si>
    <r>
      <rPr>
        <sz val="11"/>
        <color rgb="FF000000"/>
        <rFont val="宋体"/>
        <charset val="134"/>
      </rPr>
      <t>堵塞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</si>
  <si>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，右侧排水边沟堵塞，长度为</t>
    </r>
    <r>
      <rPr>
        <sz val="11"/>
        <color theme="1"/>
        <rFont val="Times New Roman"/>
        <charset val="134"/>
      </rPr>
      <t>8m</t>
    </r>
  </si>
  <si>
    <r>
      <rPr>
        <sz val="11"/>
        <color theme="1"/>
        <rFont val="宋体"/>
        <charset val="134"/>
      </rPr>
      <t>衬砌</t>
    </r>
  </si>
  <si>
    <r>
      <rPr>
        <sz val="11"/>
        <color theme="1"/>
        <rFont val="宋体"/>
        <charset val="134"/>
      </rPr>
      <t>右拱腰</t>
    </r>
  </si>
  <si>
    <r>
      <rPr>
        <sz val="11"/>
        <color theme="1"/>
        <rFont val="宋体"/>
        <charset val="134"/>
      </rPr>
      <t>纵向裂缝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</si>
  <si>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 xml:space="preserve"> 2m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 xml:space="preserve"> 2.5m</t>
    </r>
    <r>
      <rPr>
        <sz val="11"/>
        <color theme="1"/>
        <rFont val="宋体"/>
        <charset val="134"/>
      </rPr>
      <t>，已修补</t>
    </r>
  </si>
  <si>
    <r>
      <rPr>
        <sz val="11"/>
        <color rgb="FF000000"/>
        <rFont val="宋体"/>
        <charset val="134"/>
      </rPr>
      <t>瓷砖破损</t>
    </r>
  </si>
  <si>
    <r>
      <rPr>
        <sz val="11"/>
        <color rgb="FF000000"/>
        <rFont val="宋体"/>
        <charset val="134"/>
      </rPr>
      <t>距板端</t>
    </r>
    <r>
      <rPr>
        <sz val="11"/>
        <color rgb="FF000000"/>
        <rFont val="Times New Roman"/>
        <charset val="134"/>
      </rPr>
      <t>1m</t>
    </r>
    <r>
      <rPr>
        <sz val="11"/>
        <color rgb="FF000000"/>
        <rFont val="宋体"/>
        <charset val="134"/>
      </rPr>
      <t>，右侧墙瓷砖破损，面积为</t>
    </r>
    <r>
      <rPr>
        <sz val="11"/>
        <color rgb="FF000000"/>
        <rFont val="Times New Roman"/>
        <charset val="134"/>
      </rPr>
      <t>0.045m</t>
    </r>
    <r>
      <rPr>
        <vertAlign val="superscript"/>
        <sz val="11"/>
        <color rgb="FF000000"/>
        <rFont val="Times New Roman"/>
        <charset val="134"/>
      </rPr>
      <t>2</t>
    </r>
  </si>
  <si>
    <r>
      <rPr>
        <sz val="11"/>
        <color theme="1"/>
        <rFont val="宋体"/>
        <charset val="134"/>
      </rPr>
      <t>左拱腰</t>
    </r>
  </si>
  <si>
    <r>
      <rPr>
        <sz val="11"/>
        <color theme="1"/>
        <rFont val="宋体"/>
        <charset val="134"/>
      </rPr>
      <t>渗水印迹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</si>
  <si>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，施工缝渗水印迹，面积为</t>
    </r>
    <r>
      <rPr>
        <sz val="11"/>
        <color theme="1"/>
        <rFont val="Times New Roman"/>
        <charset val="134"/>
      </rPr>
      <t>0.2m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</si>
  <si>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拱顶右拱腰</t>
    </r>
  </si>
  <si>
    <r>
      <rPr>
        <sz val="11"/>
        <color theme="1"/>
        <rFont val="宋体"/>
        <charset val="134"/>
      </rPr>
      <t>网状裂缝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</si>
  <si>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，网状裂缝，面积为</t>
    </r>
    <r>
      <rPr>
        <sz val="11"/>
        <color theme="1"/>
        <rFont val="Times New Roman"/>
        <charset val="134"/>
      </rPr>
      <t>8.5m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，已修补</t>
    </r>
  </si>
  <si>
    <r>
      <rPr>
        <sz val="11"/>
        <color rgb="FFFF0000"/>
        <rFont val="宋体"/>
        <charset val="134"/>
      </rPr>
      <t>距板端</t>
    </r>
    <r>
      <rPr>
        <sz val="11"/>
        <color rgb="FFFF0000"/>
        <rFont val="Times New Roman"/>
        <charset val="134"/>
      </rPr>
      <t>9m</t>
    </r>
    <r>
      <rPr>
        <sz val="11"/>
        <color rgb="FFFF0000"/>
        <rFont val="宋体"/>
        <charset val="134"/>
      </rPr>
      <t>，右侧墙瓷砖破损，面积为</t>
    </r>
    <r>
      <rPr>
        <sz val="11"/>
        <color rgb="FFFF0000"/>
        <rFont val="Times New Roman"/>
        <charset val="134"/>
      </rPr>
      <t xml:space="preserve"> 0.1×0.3×2m</t>
    </r>
    <r>
      <rPr>
        <vertAlign val="superscript"/>
        <sz val="11"/>
        <color rgb="FFFF0000"/>
        <rFont val="Times New Roman"/>
        <charset val="134"/>
      </rPr>
      <t>2</t>
    </r>
  </si>
  <si>
    <r>
      <rPr>
        <sz val="11"/>
        <color rgb="FFFF0000"/>
        <rFont val="宋体"/>
        <charset val="134"/>
      </rPr>
      <t>距板端</t>
    </r>
    <r>
      <rPr>
        <sz val="11"/>
        <color rgb="FFFF0000"/>
        <rFont val="Times New Roman"/>
        <charset val="134"/>
      </rPr>
      <t>9m</t>
    </r>
    <r>
      <rPr>
        <sz val="11"/>
        <color rgb="FFFF0000"/>
        <rFont val="宋体"/>
        <charset val="134"/>
      </rPr>
      <t>，右侧墙瓷砖脱落，面积为</t>
    </r>
    <r>
      <rPr>
        <sz val="11"/>
        <color rgb="FFFF0000"/>
        <rFont val="Times New Roman"/>
        <charset val="134"/>
      </rPr>
      <t xml:space="preserve"> 0.1×0.3×4m</t>
    </r>
    <r>
      <rPr>
        <vertAlign val="superscript"/>
        <sz val="11"/>
        <color rgb="FFFF0000"/>
        <rFont val="Times New Roman"/>
        <charset val="134"/>
      </rPr>
      <t>2</t>
    </r>
    <r>
      <rPr>
        <sz val="11"/>
        <color rgb="FFFF0000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</si>
  <si>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，施工缝渗水印迹，面积为</t>
    </r>
    <r>
      <rPr>
        <sz val="11"/>
        <color theme="1"/>
        <rFont val="Times New Roman"/>
        <charset val="134"/>
      </rPr>
      <t>0.45m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</si>
  <si>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rgb="FF000000"/>
        <rFont val="宋体"/>
        <charset val="134"/>
      </rPr>
      <t>距板端</t>
    </r>
    <r>
      <rPr>
        <sz val="11"/>
        <color rgb="FF000000"/>
        <rFont val="Times New Roman"/>
        <charset val="134"/>
      </rPr>
      <t>0m</t>
    </r>
    <r>
      <rPr>
        <sz val="11"/>
        <color rgb="FF000000"/>
        <rFont val="宋体"/>
        <charset val="134"/>
      </rPr>
      <t>，左侧墙瓷砖脱落，面积为</t>
    </r>
    <r>
      <rPr>
        <sz val="11"/>
        <color rgb="FF000000"/>
        <rFont val="Times New Roman"/>
        <charset val="134"/>
      </rPr>
      <t>0.2×0.1×3m</t>
    </r>
    <r>
      <rPr>
        <vertAlign val="superscript"/>
        <sz val="11"/>
        <color rgb="FF000000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</si>
  <si>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，施工缝渗水印迹，面积为</t>
    </r>
    <r>
      <rPr>
        <sz val="11"/>
        <color theme="1"/>
        <rFont val="Times New Roman"/>
        <charset val="134"/>
      </rPr>
      <t>0.9m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</si>
  <si>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rgb="FFFF0000"/>
        <rFont val="宋体"/>
        <charset val="134"/>
      </rPr>
      <t>距板端</t>
    </r>
    <r>
      <rPr>
        <sz val="11"/>
        <color rgb="FFFF0000"/>
        <rFont val="Times New Roman"/>
        <charset val="134"/>
      </rPr>
      <t>9m</t>
    </r>
    <r>
      <rPr>
        <sz val="11"/>
        <color rgb="FFFF0000"/>
        <rFont val="宋体"/>
        <charset val="134"/>
      </rPr>
      <t>，右侧墙瓷砖脱落，面积为</t>
    </r>
    <r>
      <rPr>
        <sz val="11"/>
        <color rgb="FFFF0000"/>
        <rFont val="Times New Roman"/>
        <charset val="134"/>
      </rPr>
      <t xml:space="preserve"> 0.1×0.3×1m</t>
    </r>
    <r>
      <rPr>
        <vertAlign val="superscript"/>
        <sz val="11"/>
        <color rgb="FFFF0000"/>
        <rFont val="Times New Roman"/>
        <charset val="134"/>
      </rPr>
      <t>2</t>
    </r>
    <r>
      <rPr>
        <sz val="11"/>
        <color rgb="FFFF0000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</si>
  <si>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，施工缝渗水印迹，面积为</t>
    </r>
    <r>
      <rPr>
        <sz val="11"/>
        <color theme="1"/>
        <rFont val="Times New Roman"/>
        <charset val="134"/>
      </rPr>
      <t>0.4m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</si>
  <si>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1.5m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9m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0.3mm</t>
    </r>
    <r>
      <rPr>
        <sz val="11"/>
        <color theme="1"/>
        <rFont val="宋体"/>
        <charset val="134"/>
      </rPr>
      <t>，已修补</t>
    </r>
  </si>
  <si>
    <t>沉沙井堵塞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</si>
  <si>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8m</t>
    </r>
    <r>
      <rPr>
        <sz val="11"/>
        <color theme="1"/>
        <rFont val="宋体"/>
        <charset val="134"/>
      </rPr>
      <t>，右侧沉沙井淤积、堵塞</t>
    </r>
  </si>
  <si>
    <r>
      <rPr>
        <sz val="11"/>
        <color theme="1"/>
        <rFont val="宋体"/>
        <charset val="134"/>
      </rPr>
      <t>拱顶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</si>
  <si>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 xml:space="preserve"> 9m</t>
    </r>
    <r>
      <rPr>
        <sz val="11"/>
        <color theme="1"/>
        <rFont val="宋体"/>
        <charset val="134"/>
      </rPr>
      <t>，封缝料起皮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</si>
  <si>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 xml:space="preserve"> 9m</t>
    </r>
    <r>
      <rPr>
        <sz val="11"/>
        <color theme="1"/>
        <rFont val="宋体"/>
        <charset val="134"/>
      </rPr>
      <t>，已修补</t>
    </r>
  </si>
  <si>
    <t>盖板掉角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</si>
  <si>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，右侧检修道盖板掉角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</si>
  <si>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6.5m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 xml:space="preserve"> 2m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</si>
  <si>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1.5m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9.1m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0.2mm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</si>
  <si>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环向裂缝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</si>
  <si>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，施工缝环向裂缝，长度为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 xml:space="preserve"> 1.00mm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</si>
  <si>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9m</t>
    </r>
    <r>
      <rPr>
        <sz val="11"/>
        <color theme="1"/>
        <rFont val="宋体"/>
        <charset val="134"/>
      </rPr>
      <t>，施工缝环向裂缝，长度为</t>
    </r>
    <r>
      <rPr>
        <sz val="11"/>
        <color theme="1"/>
        <rFont val="Times New Roman"/>
        <charset val="134"/>
      </rPr>
      <t>1m</t>
    </r>
    <r>
      <rPr>
        <sz val="11"/>
        <color theme="1"/>
        <rFont val="宋体"/>
        <charset val="134"/>
      </rPr>
      <t>，已修补</t>
    </r>
  </si>
  <si>
    <t>轮廓标缺失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</si>
  <si>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，右侧墙轮廓标缺失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个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</si>
  <si>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，施工缝环向裂缝，长度为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，封缝料起皮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</si>
  <si>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 xml:space="preserve"> 0.35mm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</si>
  <si>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0.2m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1.5m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 xml:space="preserve"> 0.40mm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</si>
  <si>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9.1m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0.7mm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</si>
  <si>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8.9m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0.55mm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</si>
  <si>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0.5m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 xml:space="preserve"> 1.00mm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</si>
  <si>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1.0m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 xml:space="preserve"> 0.80mm</t>
    </r>
  </si>
  <si>
    <r>
      <rPr>
        <sz val="11"/>
        <color rgb="FF000000"/>
        <rFont val="宋体"/>
        <charset val="134"/>
      </rPr>
      <t>吊顶及预埋件</t>
    </r>
  </si>
  <si>
    <r>
      <rPr>
        <sz val="11"/>
        <color rgb="FF000000"/>
        <rFont val="宋体"/>
        <charset val="134"/>
      </rPr>
      <t>风机及预埋件</t>
    </r>
  </si>
  <si>
    <r>
      <rPr>
        <sz val="11"/>
        <color rgb="FF000000"/>
        <rFont val="宋体"/>
        <charset val="134"/>
      </rPr>
      <t>锈蚀</t>
    </r>
  </si>
  <si>
    <t>风机结构及预埋件轻微锈蚀，氧化皮已开始剥落，尚未妨碍交通，已从新喷漆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</si>
  <si>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，人通指示牌失效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</si>
  <si>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 xml:space="preserve"> 9m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</si>
  <si>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，右侧检修道盖板陷落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</si>
  <si>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t>左侧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</si>
  <si>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，左侧检修道盖板掉角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</si>
  <si>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右侧墙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</si>
  <si>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，右侧边墙渗水印迹，面积为</t>
    </r>
    <r>
      <rPr>
        <sz val="11"/>
        <color theme="1"/>
        <rFont val="Times New Roman"/>
        <charset val="134"/>
      </rPr>
      <t>2.4m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</si>
  <si>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 xml:space="preserve"> 1m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 xml:space="preserve"> 5m</t>
    </r>
    <r>
      <rPr>
        <sz val="11"/>
        <color theme="1"/>
        <rFont val="宋体"/>
        <charset val="134"/>
      </rPr>
      <t>，已修补</t>
    </r>
  </si>
  <si>
    <r>
      <rPr>
        <sz val="11"/>
        <color rgb="FFFF0000"/>
        <rFont val="宋体"/>
        <charset val="134"/>
      </rPr>
      <t>距板端</t>
    </r>
    <r>
      <rPr>
        <sz val="11"/>
        <color rgb="FFFF0000"/>
        <rFont val="Times New Roman"/>
        <charset val="134"/>
      </rPr>
      <t>0.1m</t>
    </r>
    <r>
      <rPr>
        <sz val="11"/>
        <color rgb="FFFF0000"/>
        <rFont val="宋体"/>
        <charset val="134"/>
      </rPr>
      <t>，环向裂缝，长度为</t>
    </r>
    <r>
      <rPr>
        <sz val="11"/>
        <color rgb="FFFF0000"/>
        <rFont val="Times New Roman"/>
        <charset val="134"/>
      </rPr>
      <t>1.0m</t>
    </r>
    <r>
      <rPr>
        <sz val="11"/>
        <color rgb="FFFF0000"/>
        <rFont val="宋体"/>
        <charset val="134"/>
      </rPr>
      <t>，宽度为</t>
    </r>
    <r>
      <rPr>
        <sz val="11"/>
        <color rgb="FFFF0000"/>
        <rFont val="Times New Roman"/>
        <charset val="134"/>
      </rPr>
      <t>0.90mm</t>
    </r>
  </si>
  <si>
    <r>
      <rPr>
        <sz val="11"/>
        <color rgb="FF000000"/>
        <rFont val="宋体"/>
        <charset val="134"/>
      </rPr>
      <t>左拱腰</t>
    </r>
  </si>
  <si>
    <r>
      <rPr>
        <sz val="11"/>
        <color rgb="FF000000"/>
        <rFont val="宋体"/>
        <charset val="134"/>
      </rPr>
      <t>涂料脱落</t>
    </r>
  </si>
  <si>
    <r>
      <rPr>
        <sz val="11"/>
        <color rgb="FF000000"/>
        <rFont val="宋体"/>
        <charset val="134"/>
      </rPr>
      <t>距板端</t>
    </r>
    <r>
      <rPr>
        <sz val="11"/>
        <color rgb="FF000000"/>
        <rFont val="Times New Roman"/>
        <charset val="134"/>
      </rPr>
      <t>0m</t>
    </r>
    <r>
      <rPr>
        <sz val="11"/>
        <color rgb="FF000000"/>
        <rFont val="宋体"/>
        <charset val="134"/>
      </rPr>
      <t>，左拱腰涂料脱落，面积为</t>
    </r>
    <r>
      <rPr>
        <sz val="11"/>
        <color rgb="FF000000"/>
        <rFont val="Times New Roman"/>
        <charset val="134"/>
      </rPr>
      <t xml:space="preserve"> 0.05×1m</t>
    </r>
    <r>
      <rPr>
        <vertAlign val="superscript"/>
        <sz val="11"/>
        <color rgb="FF000000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</si>
  <si>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 xml:space="preserve"> 1.2m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 xml:space="preserve"> 5.5m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 xml:space="preserve"> 0.5mm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</si>
  <si>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 xml:space="preserve"> 3m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 xml:space="preserve"> 0.90mm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</si>
  <si>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1m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 xml:space="preserve"> 6m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</si>
  <si>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7m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1m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 xml:space="preserve"> 4m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</si>
  <si>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1m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 xml:space="preserve"> 9.1m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 xml:space="preserve"> 0.5mm</t>
    </r>
    <r>
      <rPr>
        <sz val="11"/>
        <color theme="1"/>
        <rFont val="宋体"/>
        <charset val="134"/>
      </rPr>
      <t>，已修补</t>
    </r>
  </si>
  <si>
    <r>
      <rPr>
        <sz val="11"/>
        <color rgb="FFFF0000"/>
        <rFont val="宋体"/>
        <charset val="134"/>
      </rPr>
      <t>距板端</t>
    </r>
    <r>
      <rPr>
        <sz val="11"/>
        <color rgb="FFFF0000"/>
        <rFont val="Times New Roman"/>
        <charset val="134"/>
      </rPr>
      <t>0m</t>
    </r>
    <r>
      <rPr>
        <sz val="11"/>
        <color rgb="FFFF0000"/>
        <rFont val="宋体"/>
        <charset val="134"/>
      </rPr>
      <t>，距拱顶中心线</t>
    </r>
    <r>
      <rPr>
        <sz val="11"/>
        <color rgb="FFFF0000"/>
        <rFont val="Times New Roman"/>
        <charset val="134"/>
      </rPr>
      <t>1m</t>
    </r>
    <r>
      <rPr>
        <sz val="11"/>
        <color rgb="FFFF0000"/>
        <rFont val="宋体"/>
        <charset val="134"/>
      </rPr>
      <t>，纵向裂缝，长度为</t>
    </r>
    <r>
      <rPr>
        <sz val="11"/>
        <color rgb="FFFF0000"/>
        <rFont val="Times New Roman"/>
        <charset val="134"/>
      </rPr>
      <t xml:space="preserve"> 9m</t>
    </r>
    <r>
      <rPr>
        <sz val="11"/>
        <color rgb="FFFF0000"/>
        <rFont val="宋体"/>
        <charset val="134"/>
      </rPr>
      <t>，修补处局部起皮脱落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</si>
  <si>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7m</t>
    </r>
    <r>
      <rPr>
        <sz val="11"/>
        <color theme="1"/>
        <rFont val="宋体"/>
        <charset val="134"/>
      </rPr>
      <t>，右侧墙渗水印迹，面积为</t>
    </r>
    <r>
      <rPr>
        <sz val="11"/>
        <color theme="1"/>
        <rFont val="Times New Roman"/>
        <charset val="134"/>
      </rPr>
      <t xml:space="preserve"> 2.4m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</si>
  <si>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 xml:space="preserve"> 1m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 xml:space="preserve"> 1.00mm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</si>
  <si>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8.5m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6m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</si>
  <si>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7.0m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2.0mm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</si>
  <si>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8m</t>
    </r>
    <r>
      <rPr>
        <sz val="11"/>
        <color theme="1"/>
        <rFont val="宋体"/>
        <charset val="134"/>
      </rPr>
      <t>，施工缝环向裂缝，长度为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 xml:space="preserve"> 0.40mm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</si>
  <si>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，施工缝环向裂缝，长度为</t>
    </r>
    <r>
      <rPr>
        <sz val="11"/>
        <color theme="1"/>
        <rFont val="Times New Roman"/>
        <charset val="134"/>
      </rPr>
      <t>8m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 xml:space="preserve"> 0.80mm</t>
    </r>
    <r>
      <rPr>
        <sz val="11"/>
        <color theme="1"/>
        <rFont val="宋体"/>
        <charset val="134"/>
      </rPr>
      <t>，修补后破损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</si>
  <si>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，左侧检修道盖板陷落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</si>
  <si>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4.5m</t>
    </r>
    <r>
      <rPr>
        <sz val="11"/>
        <color theme="1"/>
        <rFont val="宋体"/>
        <charset val="134"/>
      </rPr>
      <t>，右侧墙消防指示标志失效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</si>
  <si>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9m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0.1mm</t>
    </r>
    <r>
      <rPr>
        <sz val="11"/>
        <color theme="1"/>
        <rFont val="宋体"/>
        <charset val="134"/>
      </rPr>
      <t>，伴有渗水印迹，已修补</t>
    </r>
  </si>
  <si>
    <r>
      <rPr>
        <sz val="11"/>
        <color rgb="FF000000"/>
        <rFont val="宋体"/>
        <charset val="134"/>
      </rPr>
      <t>左侧墙</t>
    </r>
  </si>
  <si>
    <r>
      <rPr>
        <sz val="11"/>
        <color rgb="FF000000"/>
        <rFont val="宋体"/>
        <charset val="134"/>
      </rPr>
      <t>距板端</t>
    </r>
    <r>
      <rPr>
        <sz val="11"/>
        <color rgb="FF000000"/>
        <rFont val="Times New Roman"/>
        <charset val="134"/>
      </rPr>
      <t>1m</t>
    </r>
    <r>
      <rPr>
        <sz val="11"/>
        <color rgb="FF000000"/>
        <rFont val="宋体"/>
        <charset val="134"/>
      </rPr>
      <t>，左侧墙瓷砖脱落，面积为</t>
    </r>
    <r>
      <rPr>
        <sz val="11"/>
        <color rgb="FF000000"/>
        <rFont val="Times New Roman"/>
        <charset val="134"/>
      </rPr>
      <t xml:space="preserve"> 0.1×0.3×1m</t>
    </r>
    <r>
      <rPr>
        <vertAlign val="superscript"/>
        <sz val="11"/>
        <color rgb="FF000000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</si>
  <si>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1m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0.1mm</t>
    </r>
    <r>
      <rPr>
        <sz val="11"/>
        <color theme="1"/>
        <rFont val="宋体"/>
        <charset val="134"/>
      </rPr>
      <t>，伴有渗水印迹，已修补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</si>
  <si>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7m</t>
    </r>
    <r>
      <rPr>
        <sz val="11"/>
        <color theme="1"/>
        <rFont val="宋体"/>
        <charset val="134"/>
      </rPr>
      <t>，右拱腰渗水印迹，面积为</t>
    </r>
    <r>
      <rPr>
        <sz val="11"/>
        <color theme="1"/>
        <rFont val="Times New Roman"/>
        <charset val="134"/>
      </rPr>
      <t xml:space="preserve"> 0.2m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</si>
  <si>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7m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 xml:space="preserve"> 4m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 xml:space="preserve"> 3m</t>
    </r>
    <r>
      <rPr>
        <sz val="11"/>
        <color theme="1"/>
        <rFont val="宋体"/>
        <charset val="134"/>
      </rPr>
      <t>，已修补</t>
    </r>
  </si>
  <si>
    <r>
      <rPr>
        <sz val="11"/>
        <color rgb="FF000000"/>
        <rFont val="宋体"/>
        <charset val="134"/>
      </rPr>
      <t>距板端</t>
    </r>
    <r>
      <rPr>
        <sz val="11"/>
        <color rgb="FF000000"/>
        <rFont val="Times New Roman"/>
        <charset val="134"/>
      </rPr>
      <t>7m</t>
    </r>
    <r>
      <rPr>
        <sz val="11"/>
        <color rgb="FF000000"/>
        <rFont val="宋体"/>
        <charset val="134"/>
      </rPr>
      <t>，右侧墙瓷砖脱落，面积为</t>
    </r>
    <r>
      <rPr>
        <sz val="11"/>
        <color rgb="FF000000"/>
        <rFont val="Times New Roman"/>
        <charset val="134"/>
      </rPr>
      <t>2.0×0.3m</t>
    </r>
    <r>
      <rPr>
        <vertAlign val="superscript"/>
        <sz val="11"/>
        <color rgb="FF000000"/>
        <rFont val="Times New Roman"/>
        <charset val="134"/>
      </rPr>
      <t>2</t>
    </r>
  </si>
  <si>
    <r>
      <rPr>
        <sz val="11"/>
        <color theme="1"/>
        <rFont val="宋体"/>
        <charset val="134"/>
      </rPr>
      <t>斜向裂缝</t>
    </r>
  </si>
  <si>
    <r>
      <rPr>
        <sz val="11"/>
        <color rgb="FFFF0000"/>
        <rFont val="宋体"/>
        <charset val="134"/>
      </rPr>
      <t>距板端</t>
    </r>
    <r>
      <rPr>
        <sz val="11"/>
        <color rgb="FFFF0000"/>
        <rFont val="Times New Roman"/>
        <charset val="134"/>
      </rPr>
      <t>1m</t>
    </r>
    <r>
      <rPr>
        <sz val="11"/>
        <color rgb="FFFF0000"/>
        <rFont val="宋体"/>
        <charset val="134"/>
      </rPr>
      <t>，距拱顶中心线</t>
    </r>
    <r>
      <rPr>
        <sz val="11"/>
        <color rgb="FFFF0000"/>
        <rFont val="Times New Roman"/>
        <charset val="134"/>
      </rPr>
      <t>2m</t>
    </r>
    <r>
      <rPr>
        <sz val="11"/>
        <color rgb="FFFF0000"/>
        <rFont val="宋体"/>
        <charset val="134"/>
      </rPr>
      <t>，斜向裂缝，长度为</t>
    </r>
    <r>
      <rPr>
        <sz val="11"/>
        <color rgb="FFFF0000"/>
        <rFont val="Times New Roman"/>
        <charset val="134"/>
      </rPr>
      <t>8m</t>
    </r>
    <r>
      <rPr>
        <sz val="11"/>
        <color rgb="FFFF0000"/>
        <rFont val="宋体"/>
        <charset val="134"/>
      </rPr>
      <t>，伴随渗水印迹，面积为</t>
    </r>
    <r>
      <rPr>
        <sz val="11"/>
        <color rgb="FFFF0000"/>
        <rFont val="Times New Roman"/>
        <charset val="134"/>
      </rPr>
      <t>0.1m</t>
    </r>
    <r>
      <rPr>
        <vertAlign val="superscript"/>
        <sz val="11"/>
        <color rgb="FFFF0000"/>
        <rFont val="Times New Roman"/>
        <charset val="134"/>
      </rPr>
      <t>2</t>
    </r>
    <r>
      <rPr>
        <sz val="11"/>
        <color rgb="FFFF0000"/>
        <rFont val="宋体"/>
        <charset val="134"/>
      </rPr>
      <t>，修补处局部起皮脱落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</si>
  <si>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0.5m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1.5m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 xml:space="preserve"> 0.80mm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</si>
  <si>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5m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 xml:space="preserve"> 2.5m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</si>
  <si>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7.4m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 xml:space="preserve"> 0.6mm</t>
    </r>
    <r>
      <rPr>
        <sz val="11"/>
        <color theme="1"/>
        <rFont val="宋体"/>
        <charset val="134"/>
      </rPr>
      <t>，已修补</t>
    </r>
  </si>
  <si>
    <r>
      <rPr>
        <sz val="11"/>
        <color rgb="FF000000"/>
        <rFont val="宋体"/>
        <charset val="134"/>
      </rPr>
      <t>距板端</t>
    </r>
    <r>
      <rPr>
        <sz val="11"/>
        <color rgb="FF000000"/>
        <rFont val="Times New Roman"/>
        <charset val="134"/>
      </rPr>
      <t>3m</t>
    </r>
    <r>
      <rPr>
        <sz val="11"/>
        <color rgb="FF000000"/>
        <rFont val="宋体"/>
        <charset val="134"/>
      </rPr>
      <t>，左侧墙瓷砖脱落，面积为</t>
    </r>
    <r>
      <rPr>
        <sz val="11"/>
        <color rgb="FF000000"/>
        <rFont val="Times New Roman"/>
        <charset val="134"/>
      </rPr>
      <t xml:space="preserve"> 0.1×0.3×15m</t>
    </r>
    <r>
      <rPr>
        <vertAlign val="superscript"/>
        <sz val="11"/>
        <color rgb="FF000000"/>
        <rFont val="Times New Roman"/>
        <charset val="134"/>
      </rPr>
      <t>2</t>
    </r>
  </si>
  <si>
    <r>
      <rPr>
        <sz val="11"/>
        <color rgb="FF000000"/>
        <rFont val="宋体"/>
        <charset val="134"/>
      </rPr>
      <t>距板端</t>
    </r>
    <r>
      <rPr>
        <sz val="11"/>
        <color rgb="FF000000"/>
        <rFont val="Times New Roman"/>
        <charset val="134"/>
      </rPr>
      <t>9m</t>
    </r>
    <r>
      <rPr>
        <sz val="11"/>
        <color rgb="FF000000"/>
        <rFont val="宋体"/>
        <charset val="134"/>
      </rPr>
      <t>，左侧墙瓷砖脱落，面积为</t>
    </r>
    <r>
      <rPr>
        <sz val="11"/>
        <color rgb="FF000000"/>
        <rFont val="Times New Roman"/>
        <charset val="134"/>
      </rPr>
      <t xml:space="preserve"> 1×1.5m</t>
    </r>
    <r>
      <rPr>
        <vertAlign val="superscript"/>
        <sz val="11"/>
        <color rgb="FF000000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</si>
  <si>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，网状裂缝，面积为</t>
    </r>
    <r>
      <rPr>
        <sz val="11"/>
        <color theme="1"/>
        <rFont val="Times New Roman"/>
        <charset val="134"/>
      </rPr>
      <t>32m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</si>
  <si>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，斜向裂缝，长度为</t>
    </r>
    <r>
      <rPr>
        <sz val="11"/>
        <color theme="1"/>
        <rFont val="Times New Roman"/>
        <charset val="134"/>
      </rPr>
      <t>9m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 xml:space="preserve"> 0.20mm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</si>
  <si>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6m</t>
    </r>
    <r>
      <rPr>
        <sz val="11"/>
        <color theme="1"/>
        <rFont val="宋体"/>
        <charset val="134"/>
      </rPr>
      <t>，已修补</t>
    </r>
  </si>
  <si>
    <r>
      <rPr>
        <sz val="11"/>
        <color rgb="FFFF0000"/>
        <rFont val="宋体"/>
        <charset val="134"/>
      </rPr>
      <t>距板端</t>
    </r>
    <r>
      <rPr>
        <sz val="11"/>
        <color rgb="FFFF0000"/>
        <rFont val="Times New Roman"/>
        <charset val="134"/>
      </rPr>
      <t>0m</t>
    </r>
    <r>
      <rPr>
        <sz val="11"/>
        <color rgb="FFFF0000"/>
        <rFont val="宋体"/>
        <charset val="134"/>
      </rPr>
      <t>，纵向裂缝，长度为</t>
    </r>
    <r>
      <rPr>
        <sz val="11"/>
        <color rgb="FFFF0000"/>
        <rFont val="Times New Roman"/>
        <charset val="134"/>
      </rPr>
      <t>9m</t>
    </r>
    <r>
      <rPr>
        <sz val="11"/>
        <color rgb="FFFF0000"/>
        <rFont val="宋体"/>
        <charset val="134"/>
      </rPr>
      <t>，宽度为</t>
    </r>
    <r>
      <rPr>
        <sz val="11"/>
        <color rgb="FFFF0000"/>
        <rFont val="Times New Roman"/>
        <charset val="134"/>
      </rPr>
      <t>0.60mm</t>
    </r>
    <r>
      <rPr>
        <sz val="11"/>
        <color rgb="FFFF0000"/>
        <rFont val="宋体"/>
        <charset val="134"/>
      </rPr>
      <t>，修补处局部起皮脱落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</si>
  <si>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8m</t>
    </r>
    <r>
      <rPr>
        <sz val="11"/>
        <color theme="1"/>
        <rFont val="宋体"/>
        <charset val="134"/>
      </rPr>
      <t>，右侧检修道盖板陷落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</si>
  <si>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t>路面</t>
  </si>
  <si>
    <t>侧墙</t>
  </si>
  <si>
    <r>
      <rPr>
        <sz val="11"/>
        <color theme="1"/>
        <rFont val="宋体"/>
        <charset val="134"/>
      </rPr>
      <t>人行横洞距下行入口</t>
    </r>
    <r>
      <rPr>
        <sz val="11"/>
        <color theme="1"/>
        <rFont val="Times New Roman"/>
        <charset val="134"/>
      </rPr>
      <t>8m</t>
    </r>
    <r>
      <rPr>
        <sz val="11"/>
        <color theme="1"/>
        <rFont val="宋体"/>
        <charset val="134"/>
      </rPr>
      <t>，涂层脱落，面积为</t>
    </r>
    <r>
      <rPr>
        <sz val="11"/>
        <color theme="1"/>
        <rFont val="Times New Roman"/>
        <charset val="134"/>
      </rPr>
      <t xml:space="preserve"> 0.8×0.1m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</si>
  <si>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电缆桥架及预埋件轻微锈蚀，氧化皮已开始剥落，尚未妨碍交通</t>
    </r>
  </si>
  <si>
    <t>61~70</t>
  </si>
  <si>
    <r>
      <rPr>
        <sz val="11"/>
        <color theme="1"/>
        <rFont val="宋体"/>
        <charset val="134"/>
      </rPr>
      <t>洞门</t>
    </r>
  </si>
  <si>
    <r>
      <rPr>
        <sz val="11"/>
        <color theme="1"/>
        <rFont val="宋体"/>
        <charset val="134"/>
      </rPr>
      <t>出口洞门</t>
    </r>
  </si>
  <si>
    <r>
      <rPr>
        <sz val="10.5"/>
        <color theme="1"/>
        <rFont val="宋体"/>
        <charset val="134"/>
      </rPr>
      <t>剥落</t>
    </r>
  </si>
  <si>
    <r>
      <rPr>
        <sz val="10.5"/>
        <color theme="1"/>
        <rFont val="宋体"/>
        <charset val="134"/>
      </rPr>
      <t>出洞口洞门两侧混凝土起层剥落，面积为</t>
    </r>
    <r>
      <rPr>
        <sz val="10.5"/>
        <color theme="1"/>
        <rFont val="Times New Roman"/>
        <charset val="134"/>
      </rPr>
      <t>3.0m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</si>
  <si>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左拱腰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</si>
  <si>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5.5m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0.30mm</t>
    </r>
    <r>
      <rPr>
        <sz val="10.5"/>
        <color theme="1"/>
        <rFont val="宋体"/>
        <charset val="134"/>
      </rPr>
      <t>，</t>
    </r>
    <r>
      <rPr>
        <sz val="10.5"/>
        <color rgb="FFFF0000"/>
        <rFont val="宋体"/>
        <charset val="134"/>
      </rPr>
      <t>修补处局部起皮脱落</t>
    </r>
  </si>
  <si>
    <r>
      <rPr>
        <sz val="10.5"/>
        <color theme="1"/>
        <rFont val="Times New Roman"/>
        <charset val="134"/>
      </rPr>
      <t>1~2</t>
    </r>
    <r>
      <rPr>
        <sz val="10.5"/>
        <color theme="1"/>
        <rFont val="宋体"/>
        <charset val="134"/>
      </rPr>
      <t>号板，距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10.0m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</si>
  <si>
    <r>
      <rPr>
        <sz val="10.5"/>
        <color theme="1"/>
        <rFont val="宋体"/>
        <charset val="134"/>
      </rPr>
      <t>右侧墙</t>
    </r>
  </si>
  <si>
    <t>斜向裂缝</t>
  </si>
  <si>
    <r>
      <rPr>
        <sz val="10.5"/>
        <color rgb="FFFF0000"/>
        <rFont val="宋体"/>
        <charset val="134"/>
      </rPr>
      <t>距板端</t>
    </r>
    <r>
      <rPr>
        <sz val="10.5"/>
        <color rgb="FFFF0000"/>
        <rFont val="Times New Roman"/>
        <charset val="134"/>
      </rPr>
      <t>4m</t>
    </r>
    <r>
      <rPr>
        <sz val="10.5"/>
        <color rgb="FFFF0000"/>
        <rFont val="宋体"/>
        <charset val="134"/>
      </rPr>
      <t>，斜向裂缝，长度为</t>
    </r>
    <r>
      <rPr>
        <sz val="10.5"/>
        <color rgb="FFFF0000"/>
        <rFont val="Times New Roman"/>
        <charset val="134"/>
      </rPr>
      <t>3m</t>
    </r>
    <r>
      <rPr>
        <sz val="10.5"/>
        <color rgb="FFFF0000"/>
        <rFont val="宋体"/>
        <charset val="134"/>
      </rPr>
      <t>，宽</t>
    </r>
    <r>
      <rPr>
        <sz val="10.5"/>
        <color rgb="FFFF0000"/>
        <rFont val="Times New Roman"/>
        <charset val="134"/>
      </rPr>
      <t>0.20mm</t>
    </r>
  </si>
  <si>
    <r>
      <rPr>
        <sz val="10.5"/>
        <color rgb="FFFF0000"/>
        <rFont val="宋体"/>
        <charset val="134"/>
      </rPr>
      <t>距板端</t>
    </r>
    <r>
      <rPr>
        <sz val="10.5"/>
        <color rgb="FFFF0000"/>
        <rFont val="Times New Roman"/>
        <charset val="134"/>
      </rPr>
      <t>5.5m</t>
    </r>
    <r>
      <rPr>
        <sz val="10.5"/>
        <color rgb="FFFF0000"/>
        <rFont val="宋体"/>
        <charset val="134"/>
      </rPr>
      <t>，斜向裂缝，长度为</t>
    </r>
    <r>
      <rPr>
        <sz val="10.5"/>
        <color rgb="FFFF0000"/>
        <rFont val="Times New Roman"/>
        <charset val="134"/>
      </rPr>
      <t>5m</t>
    </r>
    <r>
      <rPr>
        <sz val="10.5"/>
        <color rgb="FFFF0000"/>
        <rFont val="宋体"/>
        <charset val="134"/>
      </rPr>
      <t>，宽</t>
    </r>
    <r>
      <rPr>
        <sz val="10.5"/>
        <color rgb="FFFF0000"/>
        <rFont val="Times New Roman"/>
        <charset val="134"/>
      </rPr>
      <t>0.25mm</t>
    </r>
    <r>
      <rPr>
        <sz val="10.5"/>
        <color rgb="FFFF0000"/>
        <rFont val="宋体"/>
        <charset val="134"/>
      </rPr>
      <t>，修补后破损</t>
    </r>
  </si>
  <si>
    <r>
      <rPr>
        <sz val="10.5"/>
        <color theme="1"/>
        <rFont val="宋体"/>
        <charset val="134"/>
      </rPr>
      <t>右拱腰</t>
    </r>
  </si>
  <si>
    <r>
      <rPr>
        <sz val="10.5"/>
        <color theme="1"/>
        <rFont val="宋体"/>
        <charset val="134"/>
      </rPr>
      <t>露筋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</si>
  <si>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处露筋锈蚀，累计长度为</t>
    </r>
    <r>
      <rPr>
        <sz val="10.5"/>
        <color theme="1"/>
        <rFont val="Times New Roman"/>
        <charset val="134"/>
      </rPr>
      <t>1m</t>
    </r>
  </si>
  <si>
    <r>
      <rPr>
        <sz val="11"/>
        <rFont val="宋体"/>
        <charset val="134"/>
      </rPr>
      <t>内装饰</t>
    </r>
  </si>
  <si>
    <r>
      <rPr>
        <sz val="11"/>
        <rFont val="宋体"/>
        <charset val="134"/>
      </rPr>
      <t>右侧墙</t>
    </r>
  </si>
  <si>
    <r>
      <rPr>
        <sz val="11"/>
        <rFont val="宋体"/>
        <charset val="134"/>
      </rPr>
      <t>瓷砖脱落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</si>
  <si>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，右侧墙瓷砖脱落，面积为</t>
    </r>
    <r>
      <rPr>
        <sz val="11"/>
        <rFont val="Times New Roman"/>
        <charset val="134"/>
      </rPr>
      <t xml:space="preserve"> 0.09m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</si>
  <si>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左侧墙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</si>
  <si>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，左侧墙瓷砖脱落，面积为</t>
    </r>
    <r>
      <rPr>
        <sz val="11"/>
        <rFont val="Times New Roman"/>
        <charset val="134"/>
      </rPr>
      <t xml:space="preserve"> 0.045m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</si>
  <si>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涂层脱落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</si>
  <si>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，右侧墙防火涂层脱落，面积为</t>
    </r>
    <r>
      <rPr>
        <sz val="11"/>
        <rFont val="Times New Roman"/>
        <charset val="134"/>
      </rPr>
      <t>3.5m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</si>
  <si>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，左侧墙防火涂层脱落，面积为</t>
    </r>
    <r>
      <rPr>
        <sz val="11"/>
        <rFont val="Times New Roman"/>
        <charset val="134"/>
      </rPr>
      <t>2.5m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</si>
  <si>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衬砌</t>
    </r>
  </si>
  <si>
    <r>
      <rPr>
        <sz val="11"/>
        <rFont val="宋体"/>
        <charset val="134"/>
      </rPr>
      <t>环向裂缝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</si>
  <si>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，左侧墙环</t>
    </r>
    <r>
      <rPr>
        <sz val="11"/>
        <rFont val="宋体"/>
        <charset val="134"/>
      </rPr>
      <t>向裂缝，长度为</t>
    </r>
    <r>
      <rPr>
        <sz val="11"/>
        <rFont val="Times New Roman"/>
        <charset val="134"/>
      </rPr>
      <t>1.8m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 0.6mm</t>
    </r>
  </si>
  <si>
    <r>
      <rPr>
        <sz val="11"/>
        <rFont val="宋体"/>
        <charset val="134"/>
      </rPr>
      <t>斜向裂缝</t>
    </r>
  </si>
  <si>
    <r>
      <rPr>
        <sz val="10.5"/>
        <color theme="1"/>
        <rFont val="宋体"/>
        <charset val="134"/>
      </rPr>
      <t>距板端</t>
    </r>
    <r>
      <rPr>
        <sz val="11"/>
        <rFont val="Times New Roman"/>
        <charset val="134"/>
      </rPr>
      <t>3m</t>
    </r>
    <r>
      <rPr>
        <sz val="11"/>
        <rFont val="宋体"/>
        <charset val="134"/>
      </rPr>
      <t>，左侧墙斜向裂缝，长度为</t>
    </r>
    <r>
      <rPr>
        <sz val="11"/>
        <rFont val="Times New Roman"/>
        <charset val="134"/>
      </rPr>
      <t>1.5m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 0.20mm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</si>
  <si>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</si>
  <si>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rgb="FF000000"/>
        <rFont val="宋体"/>
        <charset val="134"/>
      </rPr>
      <t>检修道</t>
    </r>
  </si>
  <si>
    <r>
      <rPr>
        <sz val="11"/>
        <color rgb="FF000000"/>
        <rFont val="宋体"/>
        <charset val="134"/>
      </rPr>
      <t>盖板破损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</si>
  <si>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，右侧检修道盖板破损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</si>
  <si>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t>堵塞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</si>
  <si>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，右侧排水边沟杂物未清理</t>
    </r>
  </si>
  <si>
    <r>
      <rPr>
        <sz val="11"/>
        <rFont val="宋体"/>
        <charset val="134"/>
      </rPr>
      <t>拱顶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</si>
  <si>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，拱顶防火涂层脱落，面积为</t>
    </r>
    <r>
      <rPr>
        <sz val="11"/>
        <rFont val="Times New Roman"/>
        <charset val="134"/>
      </rPr>
      <t>0.05×1.5m</t>
    </r>
    <r>
      <rPr>
        <vertAlign val="superscript"/>
        <sz val="1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</si>
  <si>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，左侧墙轮廓标缺失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个</t>
    </r>
  </si>
  <si>
    <r>
      <rPr>
        <sz val="11"/>
        <color rgb="FF000000"/>
        <rFont val="宋体"/>
        <charset val="134"/>
      </rPr>
      <t>左侧</t>
    </r>
  </si>
  <si>
    <r>
      <rPr>
        <sz val="11"/>
        <color rgb="FF000000"/>
        <rFont val="宋体"/>
        <charset val="134"/>
      </rPr>
      <t>镶面破损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</si>
  <si>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6m</t>
    </r>
    <r>
      <rPr>
        <sz val="11"/>
        <color theme="1"/>
        <rFont val="宋体"/>
        <charset val="134"/>
      </rPr>
      <t>，左侧检修道侧壁镶面破损，</t>
    </r>
    <r>
      <rPr>
        <sz val="11"/>
        <color theme="1"/>
        <rFont val="Times New Roman"/>
        <charset val="134"/>
      </rPr>
      <t>S=0.2m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，已修补</t>
    </r>
  </si>
  <si>
    <r>
      <rPr>
        <sz val="11"/>
        <rFont val="宋体"/>
        <charset val="134"/>
      </rPr>
      <t>左拱腰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</si>
  <si>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4.5m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0.15m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</si>
  <si>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0.45mm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</si>
  <si>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0.5m</t>
    </r>
    <r>
      <rPr>
        <sz val="11"/>
        <color theme="1"/>
        <rFont val="宋体"/>
        <charset val="134"/>
      </rPr>
      <t>，右侧墙紧急疏散标志失效</t>
    </r>
  </si>
  <si>
    <r>
      <rPr>
        <sz val="11"/>
        <rFont val="宋体"/>
        <charset val="134"/>
      </rPr>
      <t>检修道</t>
    </r>
  </si>
  <si>
    <r>
      <rPr>
        <sz val="11"/>
        <rFont val="宋体"/>
        <charset val="134"/>
      </rPr>
      <t>左检道</t>
    </r>
  </si>
  <si>
    <r>
      <rPr>
        <sz val="11"/>
        <rFont val="宋体"/>
        <charset val="134"/>
      </rPr>
      <t>盖板掉角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</si>
  <si>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7m</t>
    </r>
    <r>
      <rPr>
        <sz val="11"/>
        <rFont val="宋体"/>
        <charset val="134"/>
      </rPr>
      <t>，左检道盖板掉角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</si>
  <si>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0.5"/>
        <color theme="1"/>
        <rFont val="宋体"/>
        <charset val="134"/>
      </rPr>
      <t>左侧墙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</si>
  <si>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18m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</si>
  <si>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 xml:space="preserve"> 0m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 xml:space="preserve"> 0.1×0.3m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</si>
  <si>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</si>
  <si>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风机结构及预埋件轻微锈蚀，氧化皮已开始剥落，尚未妨碍交通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</si>
  <si>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，右侧检修道盖板陷落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块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</si>
  <si>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3m</t>
    </r>
    <r>
      <rPr>
        <sz val="11"/>
        <rFont val="宋体"/>
        <charset val="134"/>
      </rPr>
      <t>，左检道盖板掉角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块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</si>
  <si>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4m</t>
    </r>
    <r>
      <rPr>
        <sz val="11"/>
        <rFont val="宋体"/>
        <charset val="134"/>
      </rPr>
      <t>，左检道盖板掉角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</si>
  <si>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，左侧墙环</t>
    </r>
    <r>
      <rPr>
        <sz val="11"/>
        <rFont val="宋体"/>
        <charset val="134"/>
      </rPr>
      <t>向裂缝，长度为</t>
    </r>
    <r>
      <rPr>
        <sz val="11"/>
        <rFont val="Times New Roman"/>
        <charset val="134"/>
      </rPr>
      <t>1.2m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 0.02mm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</si>
  <si>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3.5m</t>
    </r>
    <r>
      <rPr>
        <sz val="11"/>
        <rFont val="宋体"/>
        <charset val="134"/>
      </rPr>
      <t>，左侧墙环向裂缝，长度为</t>
    </r>
    <r>
      <rPr>
        <sz val="11"/>
        <rFont val="Times New Roman"/>
        <charset val="134"/>
      </rPr>
      <t>2.0m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 0.10mm</t>
    </r>
  </si>
  <si>
    <r>
      <rPr>
        <sz val="11"/>
        <color rgb="FF000000"/>
        <rFont val="宋体"/>
        <charset val="134"/>
      </rPr>
      <t>斜向裂缝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</si>
  <si>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6m</t>
    </r>
    <r>
      <rPr>
        <sz val="11"/>
        <color theme="1"/>
        <rFont val="宋体"/>
        <charset val="134"/>
      </rPr>
      <t>，行车道路面斜向裂缝，长度为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2.00mm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</si>
  <si>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7.6m</t>
    </r>
    <r>
      <rPr>
        <sz val="11"/>
        <rFont val="宋体"/>
        <charset val="134"/>
      </rPr>
      <t>，环向裂缝，长度为</t>
    </r>
    <r>
      <rPr>
        <sz val="11"/>
        <rFont val="Times New Roman"/>
        <charset val="134"/>
      </rPr>
      <t>0.6m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 0.60mm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</si>
  <si>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0.3×3m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</si>
  <si>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0.1m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</si>
  <si>
    <r>
      <rPr>
        <sz val="10.5"/>
        <color theme="1"/>
        <rFont val="宋体"/>
        <charset val="134"/>
      </rPr>
      <t>右边墙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</si>
  <si>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3.5m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</si>
  <si>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 xml:space="preserve"> 0m</t>
    </r>
    <r>
      <rPr>
        <sz val="11"/>
        <rFont val="宋体"/>
        <charset val="134"/>
      </rPr>
      <t>，右侧墙瓷砖脱落，面积为</t>
    </r>
    <r>
      <rPr>
        <sz val="11"/>
        <rFont val="Times New Roman"/>
        <charset val="134"/>
      </rPr>
      <t xml:space="preserve"> 0.03m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</si>
  <si>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拱顶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</si>
  <si>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  <r>
      <rPr>
        <sz val="10.5"/>
        <color theme="1"/>
        <rFont val="宋体"/>
        <charset val="134"/>
      </rPr>
      <t>，已修补</t>
    </r>
  </si>
  <si>
    <t>盖板破损</t>
  </si>
  <si>
    <r>
      <rPr>
        <sz val="10.5"/>
        <color theme="1"/>
        <rFont val="Times New Roman"/>
        <charset val="134"/>
      </rPr>
      <t>61~70</t>
    </r>
    <r>
      <rPr>
        <sz val="10.5"/>
        <color theme="1"/>
        <rFont val="宋体"/>
        <charset val="134"/>
      </rPr>
      <t>号板，两侧检修道盖板破损</t>
    </r>
  </si>
  <si>
    <r>
      <rPr>
        <sz val="11"/>
        <rFont val="宋体"/>
        <charset val="134"/>
      </rPr>
      <t>右拱腰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</si>
  <si>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 xml:space="preserve"> 0m</t>
    </r>
    <r>
      <rPr>
        <sz val="11"/>
        <rFont val="宋体"/>
        <charset val="134"/>
      </rPr>
      <t>，右拱腰防火涂层脱落，面积为</t>
    </r>
    <r>
      <rPr>
        <sz val="11"/>
        <rFont val="Times New Roman"/>
        <charset val="134"/>
      </rPr>
      <t xml:space="preserve"> 0.1×0.7m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</si>
  <si>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0.30mm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</si>
  <si>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 xml:space="preserve"> 0m</t>
    </r>
    <r>
      <rPr>
        <sz val="11"/>
        <rFont val="宋体"/>
        <charset val="134"/>
      </rPr>
      <t>，右拱腰防火涂层脱落，面积为</t>
    </r>
    <r>
      <rPr>
        <sz val="11"/>
        <rFont val="Times New Roman"/>
        <charset val="134"/>
      </rPr>
      <t>0.16m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</si>
  <si>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7.6m</t>
    </r>
    <r>
      <rPr>
        <sz val="11"/>
        <rFont val="宋体"/>
        <charset val="134"/>
      </rPr>
      <t>，环向裂缝，长度为</t>
    </r>
    <r>
      <rPr>
        <sz val="11"/>
        <rFont val="Times New Roman"/>
        <charset val="134"/>
      </rPr>
      <t>0.6m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 0.50mm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</si>
  <si>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2.0m</t>
    </r>
    <r>
      <rPr>
        <sz val="11"/>
        <color theme="1"/>
        <rFont val="宋体"/>
        <charset val="134"/>
      </rPr>
      <t>，右侧墙消防指示标志失效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</si>
  <si>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4.0m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0.15mm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</si>
  <si>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</si>
  <si>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，左侧边墙环向裂缝，长度为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0.10mm</t>
    </r>
  </si>
  <si>
    <r>
      <rPr>
        <sz val="10.5"/>
        <color theme="1"/>
        <rFont val="Times New Roman"/>
        <charset val="134"/>
      </rPr>
      <t>71~80</t>
    </r>
    <r>
      <rPr>
        <sz val="10.5"/>
        <color theme="1"/>
        <rFont val="宋体"/>
        <charset val="134"/>
      </rPr>
      <t>号板，两侧检修道盖板破损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</si>
  <si>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 xml:space="preserve"> 2m</t>
    </r>
    <r>
      <rPr>
        <sz val="11"/>
        <rFont val="宋体"/>
        <charset val="134"/>
      </rPr>
      <t>，左检道盖板掉角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</si>
  <si>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0.5"/>
        <color theme="1"/>
        <rFont val="Times New Roman"/>
        <charset val="134"/>
      </rPr>
      <t>72~77</t>
    </r>
    <r>
      <rPr>
        <sz val="10.5"/>
        <color theme="1"/>
        <rFont val="宋体"/>
        <charset val="134"/>
      </rPr>
      <t>号板，距</t>
    </r>
    <r>
      <rPr>
        <sz val="10.5"/>
        <color theme="1"/>
        <rFont val="Times New Roman"/>
        <charset val="134"/>
      </rPr>
      <t>072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，纵向裂缝，累计长度为</t>
    </r>
    <r>
      <rPr>
        <sz val="10.5"/>
        <color theme="1"/>
        <rFont val="Times New Roman"/>
        <charset val="134"/>
      </rPr>
      <t>45.6m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</si>
  <si>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 xml:space="preserve"> 0m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 xml:space="preserve"> 0.1×1.5m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</si>
  <si>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4m</t>
    </r>
    <r>
      <rPr>
        <sz val="11"/>
        <rFont val="宋体"/>
        <charset val="134"/>
      </rPr>
      <t>，左侧检道盖板掉角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</si>
  <si>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0.1×4m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</si>
  <si>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8.0m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</si>
  <si>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4.0m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</si>
  <si>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5.5m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</si>
  <si>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0.1×2m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</si>
  <si>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 xml:space="preserve"> 0m</t>
    </r>
    <r>
      <rPr>
        <sz val="11"/>
        <rFont val="宋体"/>
        <charset val="134"/>
      </rPr>
      <t>，左侧墙瓷砖脱落，面积为</t>
    </r>
    <r>
      <rPr>
        <sz val="11"/>
        <rFont val="Times New Roman"/>
        <charset val="134"/>
      </rPr>
      <t xml:space="preserve"> 0.045m</t>
    </r>
    <r>
      <rPr>
        <vertAlign val="superscript"/>
        <sz val="11"/>
        <rFont val="Times New Roman"/>
        <charset val="134"/>
      </rPr>
      <t>2</t>
    </r>
  </si>
  <si>
    <t>破损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</si>
  <si>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，右拱腰边角破损，面积为</t>
    </r>
    <r>
      <rPr>
        <sz val="10.5"/>
        <color theme="1"/>
        <rFont val="Times New Roman"/>
        <charset val="134"/>
      </rPr>
      <t>0.12m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</si>
  <si>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rFont val="宋体"/>
        <charset val="134"/>
      </rPr>
      <t>人行横洞涂层脱落，面积为</t>
    </r>
    <r>
      <rPr>
        <sz val="11"/>
        <rFont val="Times New Roman"/>
        <charset val="134"/>
      </rPr>
      <t xml:space="preserve"> 0.5×0.4m</t>
    </r>
    <r>
      <rPr>
        <vertAlign val="superscript"/>
        <sz val="11"/>
        <rFont val="Times New Roman"/>
        <charset val="134"/>
      </rPr>
      <t>2</t>
    </r>
  </si>
  <si>
    <t>71~84</t>
  </si>
  <si>
    <r>
      <rPr>
        <sz val="11"/>
        <color theme="1"/>
        <rFont val="宋体"/>
        <charset val="134"/>
      </rPr>
      <t>入口洞门</t>
    </r>
  </si>
  <si>
    <r>
      <rPr>
        <sz val="11"/>
        <color theme="1"/>
        <rFont val="宋体"/>
        <charset val="134"/>
      </rPr>
      <t>水蚀</t>
    </r>
  </si>
  <si>
    <r>
      <rPr>
        <sz val="11"/>
        <color theme="1"/>
        <rFont val="宋体"/>
        <charset val="134"/>
      </rPr>
      <t>入口端洞门两侧受雨水侵蚀，面积约</t>
    </r>
    <r>
      <rPr>
        <sz val="11"/>
        <color theme="1"/>
        <rFont val="Times New Roman"/>
        <charset val="134"/>
      </rPr>
      <t>9m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</si>
  <si>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rFont val="宋体"/>
        <charset val="134"/>
      </rPr>
      <t>洞门</t>
    </r>
  </si>
  <si>
    <r>
      <rPr>
        <sz val="11"/>
        <rFont val="宋体"/>
        <charset val="134"/>
      </rPr>
      <t>入口洞门</t>
    </r>
  </si>
  <si>
    <r>
      <rPr>
        <sz val="11"/>
        <rFont val="宋体"/>
        <charset val="134"/>
      </rPr>
      <t>破损</t>
    </r>
  </si>
  <si>
    <r>
      <rPr>
        <sz val="11"/>
        <rFont val="宋体"/>
        <charset val="134"/>
      </rPr>
      <t>入洞口洞门左侧混凝土破损，面积为</t>
    </r>
    <r>
      <rPr>
        <sz val="11"/>
        <rFont val="Times New Roman"/>
        <charset val="134"/>
      </rPr>
      <t>0.1×0.5m</t>
    </r>
    <r>
      <rPr>
        <vertAlign val="superscript"/>
        <sz val="1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</si>
  <si>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，斜向裂缝，长度为</t>
    </r>
    <r>
      <rPr>
        <sz val="11"/>
        <color theme="1"/>
        <rFont val="Times New Roman"/>
        <charset val="134"/>
      </rPr>
      <t>1.0m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0.30mm</t>
    </r>
  </si>
  <si>
    <r>
      <rPr>
        <sz val="11"/>
        <color theme="1"/>
        <rFont val="Times New Roman"/>
        <charset val="134"/>
      </rPr>
      <t>1~2</t>
    </r>
    <r>
      <rPr>
        <sz val="11"/>
        <color theme="1"/>
        <rFont val="宋体"/>
        <charset val="134"/>
      </rPr>
      <t>号板，距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号板板端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，网状裂缝，面积为</t>
    </r>
    <r>
      <rPr>
        <sz val="11"/>
        <color theme="1"/>
        <rFont val="Times New Roman"/>
        <charset val="134"/>
      </rPr>
      <t>120m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</si>
  <si>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 xml:space="preserve"> 2m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7m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</si>
  <si>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，左侧墙斜向裂缝，长度为</t>
    </r>
    <r>
      <rPr>
        <sz val="11"/>
        <rFont val="Times New Roman"/>
        <charset val="134"/>
      </rPr>
      <t>1.5m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 0.40mm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</si>
  <si>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4m</t>
    </r>
    <r>
      <rPr>
        <sz val="11"/>
        <rFont val="宋体"/>
        <charset val="134"/>
      </rPr>
      <t>，左侧墙环向裂缝，长度为</t>
    </r>
    <r>
      <rPr>
        <sz val="11"/>
        <rFont val="Times New Roman"/>
        <charset val="134"/>
      </rPr>
      <t>4.0m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 0.20mm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</si>
  <si>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6m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0.8m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0.15mm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</si>
  <si>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0.25mm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</si>
  <si>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13m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</si>
  <si>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，网状裂缝，面积为</t>
    </r>
    <r>
      <rPr>
        <sz val="11"/>
        <color theme="1"/>
        <rFont val="Times New Roman"/>
        <charset val="134"/>
      </rPr>
      <t>50m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</si>
  <si>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7.6m</t>
    </r>
    <r>
      <rPr>
        <sz val="11"/>
        <color theme="1"/>
        <rFont val="宋体"/>
        <charset val="134"/>
      </rPr>
      <t>，封缝层起皮</t>
    </r>
  </si>
  <si>
    <r>
      <rPr>
        <sz val="11"/>
        <color theme="1"/>
        <rFont val="Times New Roman"/>
        <charset val="134"/>
      </rPr>
      <t>7~8</t>
    </r>
    <r>
      <rPr>
        <sz val="11"/>
        <color theme="1"/>
        <rFont val="宋体"/>
        <charset val="134"/>
      </rPr>
      <t>号板，距</t>
    </r>
    <r>
      <rPr>
        <sz val="11"/>
        <color theme="1"/>
        <rFont val="Times New Roman"/>
        <charset val="134"/>
      </rPr>
      <t>007</t>
    </r>
    <r>
      <rPr>
        <sz val="11"/>
        <color theme="1"/>
        <rFont val="宋体"/>
        <charset val="134"/>
      </rPr>
      <t>号板板端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15.7m</t>
    </r>
    <r>
      <rPr>
        <sz val="11"/>
        <color theme="1"/>
        <rFont val="宋体"/>
        <charset val="134"/>
      </rPr>
      <t>，封缝层起皮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</si>
  <si>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7.0m</t>
    </r>
    <r>
      <rPr>
        <sz val="11"/>
        <color theme="1"/>
        <rFont val="宋体"/>
        <charset val="134"/>
      </rPr>
      <t>，右侧排水边沟及沉砂井堵塞，长度约</t>
    </r>
    <r>
      <rPr>
        <sz val="11"/>
        <color theme="1"/>
        <rFont val="Times New Roman"/>
        <charset val="134"/>
      </rPr>
      <t>3m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</si>
  <si>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</si>
  <si>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7m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</si>
  <si>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1m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</si>
  <si>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检修道</t>
    </r>
  </si>
  <si>
    <r>
      <rPr>
        <sz val="11"/>
        <color theme="1"/>
        <rFont val="宋体"/>
        <charset val="134"/>
      </rPr>
      <t>右侧</t>
    </r>
  </si>
  <si>
    <r>
      <rPr>
        <sz val="11"/>
        <color theme="1"/>
        <rFont val="宋体"/>
        <charset val="134"/>
      </rPr>
      <t>盖板掉角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</si>
  <si>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0.5m</t>
    </r>
    <r>
      <rPr>
        <sz val="11"/>
        <rFont val="宋体"/>
        <charset val="134"/>
      </rPr>
      <t>，右侧检修道盖板掉角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</si>
  <si>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1"/>
        <color theme="1"/>
        <rFont val="Times New Roman"/>
        <charset val="134"/>
      </rPr>
      <t>11~12</t>
    </r>
    <r>
      <rPr>
        <sz val="11"/>
        <color theme="1"/>
        <rFont val="宋体"/>
        <charset val="134"/>
      </rPr>
      <t>号板，距</t>
    </r>
    <r>
      <rPr>
        <sz val="11"/>
        <color theme="1"/>
        <rFont val="Times New Roman"/>
        <charset val="134"/>
      </rPr>
      <t>011</t>
    </r>
    <r>
      <rPr>
        <sz val="11"/>
        <color theme="1"/>
        <rFont val="宋体"/>
        <charset val="134"/>
      </rPr>
      <t>号板板端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15.3m</t>
    </r>
    <r>
      <rPr>
        <sz val="11"/>
        <color theme="1"/>
        <rFont val="宋体"/>
        <charset val="134"/>
      </rPr>
      <t>，封缝层起皮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</si>
  <si>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1.5m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</si>
  <si>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，施工缝渗水印迹，面积为</t>
    </r>
    <r>
      <rPr>
        <sz val="11"/>
        <color theme="1"/>
        <rFont val="Times New Roman"/>
        <charset val="134"/>
      </rPr>
      <t>18m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</si>
  <si>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0.2m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0.80mm</t>
    </r>
  </si>
  <si>
    <r>
      <rPr>
        <sz val="11"/>
        <color theme="1"/>
        <rFont val="Times New Roman"/>
        <charset val="134"/>
      </rPr>
      <t>13~15</t>
    </r>
    <r>
      <rPr>
        <sz val="11"/>
        <color theme="1"/>
        <rFont val="宋体"/>
        <charset val="134"/>
      </rPr>
      <t>号板，距</t>
    </r>
    <r>
      <rPr>
        <sz val="11"/>
        <color theme="1"/>
        <rFont val="Times New Roman"/>
        <charset val="134"/>
      </rPr>
      <t>13</t>
    </r>
    <r>
      <rPr>
        <sz val="11"/>
        <color theme="1"/>
        <rFont val="宋体"/>
        <charset val="134"/>
      </rPr>
      <t>号板板端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22.8m</t>
    </r>
    <r>
      <rPr>
        <sz val="11"/>
        <color theme="1"/>
        <rFont val="宋体"/>
        <charset val="134"/>
      </rPr>
      <t>，封缝层起皮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</si>
  <si>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0.3m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1.00mm</t>
    </r>
  </si>
  <si>
    <r>
      <rPr>
        <sz val="11"/>
        <color theme="1"/>
        <rFont val="Times New Roman"/>
        <charset val="134"/>
      </rPr>
      <t>16~17</t>
    </r>
    <r>
      <rPr>
        <sz val="11"/>
        <color theme="1"/>
        <rFont val="宋体"/>
        <charset val="134"/>
      </rPr>
      <t>号板，距</t>
    </r>
    <r>
      <rPr>
        <sz val="11"/>
        <color theme="1"/>
        <rFont val="Times New Roman"/>
        <charset val="134"/>
      </rPr>
      <t>16</t>
    </r>
    <r>
      <rPr>
        <sz val="11"/>
        <color theme="1"/>
        <rFont val="宋体"/>
        <charset val="134"/>
      </rPr>
      <t>号板板端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15.6m</t>
    </r>
    <r>
      <rPr>
        <sz val="11"/>
        <color theme="1"/>
        <rFont val="宋体"/>
        <charset val="134"/>
      </rPr>
      <t>，封缝层起皮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</si>
  <si>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，斜向裂缝，长度为</t>
    </r>
    <r>
      <rPr>
        <sz val="11"/>
        <color theme="1"/>
        <rFont val="Times New Roman"/>
        <charset val="134"/>
      </rPr>
      <t>10m</t>
    </r>
    <r>
      <rPr>
        <sz val="11"/>
        <color theme="1"/>
        <rFont val="宋体"/>
        <charset val="134"/>
      </rPr>
      <t>，封缝层起皮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</si>
  <si>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，斜向裂缝，长度为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</si>
  <si>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左边墙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</si>
  <si>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4.5m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0.10mm</t>
    </r>
  </si>
  <si>
    <r>
      <rPr>
        <sz val="11"/>
        <color rgb="FFFF0000"/>
        <rFont val="宋体"/>
        <charset val="134"/>
      </rPr>
      <t>距板端</t>
    </r>
    <r>
      <rPr>
        <sz val="11"/>
        <color rgb="FFFF0000"/>
        <rFont val="Times New Roman"/>
        <charset val="134"/>
      </rPr>
      <t>0m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0.20mm</t>
    </r>
  </si>
  <si>
    <r>
      <rPr>
        <sz val="11"/>
        <color theme="1"/>
        <rFont val="宋体"/>
        <charset val="134"/>
      </rPr>
      <t>距</t>
    </r>
    <r>
      <rPr>
        <sz val="11"/>
        <color theme="1"/>
        <rFont val="Times New Roman"/>
        <charset val="134"/>
      </rPr>
      <t>020</t>
    </r>
    <r>
      <rPr>
        <sz val="11"/>
        <color theme="1"/>
        <rFont val="宋体"/>
        <charset val="134"/>
      </rPr>
      <t>号板板端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14m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</si>
  <si>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，斜向裂缝，长度为</t>
    </r>
    <r>
      <rPr>
        <sz val="11"/>
        <color theme="1"/>
        <rFont val="Times New Roman"/>
        <charset val="134"/>
      </rPr>
      <t>8m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</si>
  <si>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4.5m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1.00mm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</si>
  <si>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7.8m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</si>
  <si>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左侧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</si>
  <si>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，左侧检修道盖板掉角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</si>
  <si>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1"/>
        <color rgb="FFFF0000"/>
        <rFont val="宋体"/>
        <charset val="134"/>
      </rPr>
      <t>距</t>
    </r>
    <r>
      <rPr>
        <sz val="11"/>
        <color rgb="FFFF0000"/>
        <rFont val="Times New Roman"/>
        <charset val="134"/>
      </rPr>
      <t>024</t>
    </r>
    <r>
      <rPr>
        <sz val="11"/>
        <color rgb="FFFF0000"/>
        <rFont val="宋体"/>
        <charset val="134"/>
      </rPr>
      <t>号板板端</t>
    </r>
    <r>
      <rPr>
        <sz val="11"/>
        <color rgb="FFFF0000"/>
        <rFont val="Times New Roman"/>
        <charset val="134"/>
      </rPr>
      <t>0m</t>
    </r>
    <r>
      <rPr>
        <sz val="11"/>
        <color rgb="FFFF0000"/>
        <rFont val="宋体"/>
        <charset val="134"/>
      </rPr>
      <t>，纵向裂缝，长度为</t>
    </r>
    <r>
      <rPr>
        <sz val="11"/>
        <color rgb="FFFF0000"/>
        <rFont val="Times New Roman"/>
        <charset val="134"/>
      </rPr>
      <t>15.3m</t>
    </r>
    <r>
      <rPr>
        <sz val="11"/>
        <color rgb="FFFF0000"/>
        <rFont val="宋体"/>
        <charset val="134"/>
      </rPr>
      <t>，修补处局部起皮脱落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</si>
  <si>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0.40mm</t>
    </r>
  </si>
  <si>
    <r>
      <rPr>
        <sz val="11"/>
        <rFont val="宋体"/>
        <charset val="134"/>
      </rPr>
      <t>左侧</t>
    </r>
  </si>
  <si>
    <r>
      <rPr>
        <sz val="11"/>
        <rFont val="宋体"/>
        <charset val="134"/>
      </rPr>
      <t>盖板陷落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</si>
  <si>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 xml:space="preserve"> 7m</t>
    </r>
    <r>
      <rPr>
        <sz val="11"/>
        <rFont val="宋体"/>
        <charset val="134"/>
      </rPr>
      <t>，左检道盖板陷落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</si>
  <si>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1.7m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0.20mm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</si>
  <si>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，左检道盖板掉角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</si>
  <si>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1"/>
        <color theme="1"/>
        <rFont val="宋体"/>
        <charset val="134"/>
      </rPr>
      <t>距</t>
    </r>
    <r>
      <rPr>
        <sz val="11"/>
        <color theme="1"/>
        <rFont val="Times New Roman"/>
        <charset val="134"/>
      </rPr>
      <t>026</t>
    </r>
    <r>
      <rPr>
        <sz val="11"/>
        <color theme="1"/>
        <rFont val="宋体"/>
        <charset val="134"/>
      </rPr>
      <t>号板板端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14.9m</t>
    </r>
    <r>
      <rPr>
        <sz val="11"/>
        <color theme="1"/>
        <rFont val="宋体"/>
        <charset val="134"/>
      </rPr>
      <t>，已修补</t>
    </r>
  </si>
  <si>
    <r>
      <rPr>
        <sz val="11"/>
        <color rgb="FFFF0000"/>
        <rFont val="宋体"/>
        <charset val="134"/>
      </rPr>
      <t>距板端</t>
    </r>
    <r>
      <rPr>
        <sz val="11"/>
        <color rgb="FFFF0000"/>
        <rFont val="Times New Roman"/>
        <charset val="134"/>
      </rPr>
      <t>5m</t>
    </r>
    <r>
      <rPr>
        <sz val="11"/>
        <color rgb="FFFF0000"/>
        <rFont val="宋体"/>
        <charset val="134"/>
      </rPr>
      <t>，纵向裂缝，长度为</t>
    </r>
    <r>
      <rPr>
        <sz val="11"/>
        <color rgb="FFFF0000"/>
        <rFont val="Times New Roman"/>
        <charset val="134"/>
      </rPr>
      <t>3.0m</t>
    </r>
    <r>
      <rPr>
        <sz val="11"/>
        <color rgb="FFFF0000"/>
        <rFont val="宋体"/>
        <charset val="134"/>
      </rPr>
      <t>，宽度为</t>
    </r>
    <r>
      <rPr>
        <sz val="11"/>
        <color rgb="FFFF0000"/>
        <rFont val="Times New Roman"/>
        <charset val="134"/>
      </rPr>
      <t>0.30mm</t>
    </r>
  </si>
  <si>
    <r>
      <rPr>
        <sz val="11"/>
        <color theme="1"/>
        <rFont val="宋体"/>
        <charset val="134"/>
      </rPr>
      <t>风机结构及预埋件锈蚀，氧化皮已因为锈蚀而剥落，但在正常视力观察下仅见到少量点蚀，尚未影响行车安全</t>
    </r>
  </si>
  <si>
    <r>
      <rPr>
        <sz val="11"/>
        <rFont val="宋体"/>
        <charset val="134"/>
      </rPr>
      <t>纵向裂缝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</si>
  <si>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3.5m</t>
    </r>
    <r>
      <rPr>
        <sz val="11"/>
        <rFont val="宋体"/>
        <charset val="134"/>
      </rPr>
      <t>，距拱顶中心线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，左拱腰纵向裂缝，长度为</t>
    </r>
    <r>
      <rPr>
        <sz val="11"/>
        <rFont val="Times New Roman"/>
        <charset val="134"/>
      </rPr>
      <t>4.1m</t>
    </r>
    <r>
      <rPr>
        <sz val="11"/>
        <rFont val="宋体"/>
        <charset val="134"/>
      </rPr>
      <t>，封缝料起皮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</si>
  <si>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</si>
  <si>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0.60mm</t>
    </r>
  </si>
  <si>
    <r>
      <rPr>
        <sz val="11"/>
        <color theme="1"/>
        <rFont val="宋体"/>
        <charset val="134"/>
      </rPr>
      <t>标志脱落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</si>
  <si>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，右侧墙轮廓标脱落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</si>
  <si>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0.5m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0.8m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0.20mm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</si>
  <si>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</si>
  <si>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0.60mm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</si>
  <si>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2.5m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2.5m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0.10mm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</si>
  <si>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0.5m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8m</t>
    </r>
    <r>
      <rPr>
        <sz val="11"/>
        <color theme="1"/>
        <rFont val="宋体"/>
        <charset val="134"/>
      </rPr>
      <t>，封缝层起皮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</si>
  <si>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7.8m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</si>
  <si>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5.5m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2.0m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0.32mm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</si>
  <si>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7.6m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</si>
  <si>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2.5m</t>
    </r>
    <r>
      <rPr>
        <sz val="11"/>
        <color theme="1"/>
        <rFont val="宋体"/>
        <charset val="134"/>
      </rPr>
      <t>，斜向裂缝，长度为</t>
    </r>
    <r>
      <rPr>
        <sz val="11"/>
        <color theme="1"/>
        <rFont val="Times New Roman"/>
        <charset val="134"/>
      </rPr>
      <t>6m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1.00mm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</si>
  <si>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3.0m</t>
    </r>
    <r>
      <rPr>
        <sz val="11"/>
        <color theme="1"/>
        <rFont val="宋体"/>
        <charset val="134"/>
      </rPr>
      <t>，斜向裂缝，长度为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0.2mm</t>
    </r>
    <r>
      <rPr>
        <sz val="11"/>
        <color theme="1"/>
        <rFont val="宋体"/>
        <charset val="134"/>
      </rPr>
      <t>，渗水泛碱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</si>
  <si>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3.0m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1.5m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0.15mm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</si>
  <si>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，网状裂缝，面积为</t>
    </r>
    <r>
      <rPr>
        <sz val="11"/>
        <color theme="1"/>
        <rFont val="Times New Roman"/>
        <charset val="134"/>
      </rPr>
      <t>3×7m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，泌死</t>
    </r>
  </si>
  <si>
    <r>
      <rPr>
        <sz val="11"/>
        <color theme="1"/>
        <rFont val="Times New Roman"/>
        <charset val="134"/>
      </rPr>
      <t>36~38</t>
    </r>
    <r>
      <rPr>
        <sz val="11"/>
        <color theme="1"/>
        <rFont val="宋体"/>
        <charset val="134"/>
      </rPr>
      <t>号板，距</t>
    </r>
    <r>
      <rPr>
        <sz val="11"/>
        <color theme="1"/>
        <rFont val="Times New Roman"/>
        <charset val="134"/>
      </rPr>
      <t>36</t>
    </r>
    <r>
      <rPr>
        <sz val="11"/>
        <color theme="1"/>
        <rFont val="宋体"/>
        <charset val="134"/>
      </rPr>
      <t>号板板端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22.6m</t>
    </r>
    <r>
      <rPr>
        <sz val="11"/>
        <color theme="1"/>
        <rFont val="宋体"/>
        <charset val="134"/>
      </rPr>
      <t>，封缝层起皮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</si>
  <si>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0.02m</t>
    </r>
    <r>
      <rPr>
        <vertAlign val="superscript"/>
        <sz val="1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</si>
  <si>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4.0m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2.3m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0.15mm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</si>
  <si>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，右侧墙轮廓标脱落</t>
    </r>
  </si>
  <si>
    <t>镶面破损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</si>
  <si>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，左侧检修道镶面破损，面积为</t>
    </r>
    <r>
      <rPr>
        <sz val="11"/>
        <color theme="1"/>
        <rFont val="Times New Roman"/>
        <charset val="134"/>
      </rPr>
      <t>0.5×0.4×</t>
    </r>
    <r>
      <rPr>
        <sz val="11"/>
        <color theme="1"/>
        <rFont val="宋体"/>
        <charset val="134"/>
      </rPr>
      <t>4</t>
    </r>
    <r>
      <rPr>
        <sz val="11"/>
        <color theme="1"/>
        <rFont val="Times New Roman"/>
        <charset val="134"/>
      </rPr>
      <t>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</si>
  <si>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40~41</t>
    </r>
    <r>
      <rPr>
        <sz val="11"/>
        <color theme="1"/>
        <rFont val="宋体"/>
        <charset val="134"/>
      </rPr>
      <t>号板，距</t>
    </r>
    <r>
      <rPr>
        <sz val="11"/>
        <color theme="1"/>
        <rFont val="Times New Roman"/>
        <charset val="134"/>
      </rPr>
      <t>040</t>
    </r>
    <r>
      <rPr>
        <sz val="11"/>
        <color theme="1"/>
        <rFont val="宋体"/>
        <charset val="134"/>
      </rPr>
      <t>号板板端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15m</t>
    </r>
    <r>
      <rPr>
        <sz val="11"/>
        <color theme="1"/>
        <rFont val="宋体"/>
        <charset val="134"/>
      </rPr>
      <t>，封缝层起皮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</si>
  <si>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，纵向裂缝，长度</t>
    </r>
    <r>
      <rPr>
        <sz val="11"/>
        <color theme="1"/>
        <rFont val="Times New Roman"/>
        <charset val="134"/>
      </rPr>
      <t>7.7m</t>
    </r>
    <r>
      <rPr>
        <sz val="11"/>
        <color theme="1"/>
        <rFont val="宋体"/>
        <charset val="134"/>
      </rPr>
      <t>，封缝层起皮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</si>
  <si>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，封缝层起皮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</si>
  <si>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2.0m</t>
    </r>
    <r>
      <rPr>
        <sz val="11"/>
        <color theme="1"/>
        <rFont val="宋体"/>
        <charset val="134"/>
      </rPr>
      <t>，右侧沉砂井堵塞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</si>
  <si>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 xml:space="preserve"> 6m</t>
    </r>
    <r>
      <rPr>
        <sz val="11"/>
        <rFont val="宋体"/>
        <charset val="134"/>
      </rPr>
      <t>，左侧墙渗水泛碱，面积约</t>
    </r>
    <r>
      <rPr>
        <sz val="11"/>
        <rFont val="Times New Roman"/>
        <charset val="134"/>
      </rPr>
      <t>1×1m</t>
    </r>
    <r>
      <rPr>
        <vertAlign val="superscript"/>
        <sz val="11"/>
        <rFont val="Times New Roman"/>
        <charset val="134"/>
      </rPr>
      <t>2</t>
    </r>
  </si>
  <si>
    <r>
      <rPr>
        <sz val="11"/>
        <color theme="1"/>
        <rFont val="宋体"/>
        <charset val="134"/>
      </rPr>
      <t>左侧墙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</si>
  <si>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，施工缝渗水印迹，面积约</t>
    </r>
    <r>
      <rPr>
        <sz val="11"/>
        <color theme="1"/>
        <rFont val="Times New Roman"/>
        <charset val="134"/>
      </rPr>
      <t>1.0×0.4m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</si>
  <si>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，施工缝渗水印迹，面积约</t>
    </r>
    <r>
      <rPr>
        <sz val="11"/>
        <color theme="1"/>
        <rFont val="Times New Roman"/>
        <charset val="134"/>
      </rPr>
      <t>0.5×3m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</si>
  <si>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5.0m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2.3m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0.15mm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</si>
  <si>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7.6m</t>
    </r>
    <r>
      <rPr>
        <sz val="11"/>
        <color theme="1"/>
        <rFont val="宋体"/>
        <charset val="134"/>
      </rPr>
      <t>，封缝层起皮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</si>
  <si>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，施工缝渗水印迹，面积为</t>
    </r>
    <r>
      <rPr>
        <sz val="11"/>
        <color theme="1"/>
        <rFont val="Times New Roman"/>
        <charset val="134"/>
      </rPr>
      <t>0.1×3m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</si>
  <si>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rgb="FFFF0000"/>
        <rFont val="宋体"/>
        <charset val="134"/>
      </rPr>
      <t>距板端</t>
    </r>
    <r>
      <rPr>
        <sz val="11"/>
        <color rgb="FFFF0000"/>
        <rFont val="Times New Roman"/>
        <charset val="134"/>
      </rPr>
      <t>3m</t>
    </r>
    <r>
      <rPr>
        <sz val="11"/>
        <color rgb="FFFF0000"/>
        <rFont val="宋体"/>
        <charset val="134"/>
      </rPr>
      <t>，环向裂缝，长度为</t>
    </r>
    <r>
      <rPr>
        <sz val="11"/>
        <color rgb="FFFF0000"/>
        <rFont val="Times New Roman"/>
        <charset val="134"/>
      </rPr>
      <t>7m</t>
    </r>
    <r>
      <rPr>
        <sz val="11"/>
        <color rgb="FFFF0000"/>
        <rFont val="宋体"/>
        <charset val="134"/>
      </rPr>
      <t>，修补处局部起皮脱落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</si>
  <si>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5.5m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2.5m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0.20mm</t>
    </r>
    <r>
      <rPr>
        <sz val="11"/>
        <color theme="1"/>
        <rFont val="宋体"/>
        <charset val="134"/>
      </rPr>
      <t>，并伴渗水泛碱印迹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</si>
  <si>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，施工缝渗水印迹，面积为</t>
    </r>
    <r>
      <rPr>
        <sz val="11"/>
        <color theme="1"/>
        <rFont val="Times New Roman"/>
        <charset val="134"/>
      </rPr>
      <t>0.3×4.0m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</si>
  <si>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rFont val="宋体"/>
        <charset val="134"/>
      </rPr>
      <t>渗水印迹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</si>
  <si>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 xml:space="preserve"> 4m</t>
    </r>
    <r>
      <rPr>
        <sz val="11"/>
        <rFont val="宋体"/>
        <charset val="134"/>
      </rPr>
      <t>，左拱腰渗水印迹，面积为</t>
    </r>
    <r>
      <rPr>
        <sz val="11"/>
        <rFont val="Times New Roman"/>
        <charset val="134"/>
      </rPr>
      <t>0.5×1m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</si>
  <si>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 xml:space="preserve"> 0m</t>
    </r>
    <r>
      <rPr>
        <sz val="11"/>
        <rFont val="宋体"/>
        <charset val="134"/>
      </rPr>
      <t>，右拱腰施工缝未见小股涌流，存在渗水印迹，面积为</t>
    </r>
    <r>
      <rPr>
        <sz val="11"/>
        <rFont val="Times New Roman"/>
        <charset val="134"/>
      </rPr>
      <t>3×0.2m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</si>
  <si>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左拱腰、左侧墙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</si>
  <si>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 xml:space="preserve"> 0m</t>
    </r>
    <r>
      <rPr>
        <sz val="11"/>
        <rFont val="宋体"/>
        <charset val="134"/>
      </rPr>
      <t>，左拱腰、左侧墙施工缝渗水印迹，面积为</t>
    </r>
    <r>
      <rPr>
        <sz val="11"/>
        <rFont val="Times New Roman"/>
        <charset val="134"/>
      </rPr>
      <t>0.5×4m</t>
    </r>
    <r>
      <rPr>
        <vertAlign val="superscript"/>
        <sz val="1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</si>
  <si>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，施工缝渗水印迹，面积为</t>
    </r>
    <r>
      <rPr>
        <sz val="11"/>
        <color theme="1"/>
        <rFont val="Times New Roman"/>
        <charset val="134"/>
      </rPr>
      <t>0.3×1.5m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</si>
  <si>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5.0m</t>
    </r>
    <r>
      <rPr>
        <sz val="11"/>
        <color theme="1"/>
        <rFont val="宋体"/>
        <charset val="134"/>
      </rPr>
      <t>，斜向裂缝，长度为</t>
    </r>
    <r>
      <rPr>
        <sz val="11"/>
        <color theme="1"/>
        <rFont val="Times New Roman"/>
        <charset val="134"/>
      </rPr>
      <t>2.5m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0.20mm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</si>
  <si>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，渗水印迹，面积为</t>
    </r>
    <r>
      <rPr>
        <sz val="11"/>
        <color theme="1"/>
        <rFont val="Times New Roman"/>
        <charset val="134"/>
      </rPr>
      <t>3×5m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</si>
  <si>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4.5m</t>
    </r>
    <r>
      <rPr>
        <sz val="11"/>
        <color theme="1"/>
        <rFont val="宋体"/>
        <charset val="134"/>
      </rPr>
      <t>，斜向裂缝，长度为</t>
    </r>
    <r>
      <rPr>
        <sz val="11"/>
        <color theme="1"/>
        <rFont val="Times New Roman"/>
        <charset val="134"/>
      </rPr>
      <t>3.5m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0.30mm</t>
    </r>
    <r>
      <rPr>
        <sz val="11"/>
        <color theme="1"/>
        <rFont val="宋体"/>
        <charset val="134"/>
      </rPr>
      <t>，并伴渗水泛碱印迹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</si>
  <si>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3m</t>
    </r>
    <r>
      <rPr>
        <sz val="11"/>
        <rFont val="宋体"/>
        <charset val="134"/>
      </rPr>
      <t>，环向裂缝伴有渗水泛碱，长度为</t>
    </r>
    <r>
      <rPr>
        <sz val="11"/>
        <rFont val="Times New Roman"/>
        <charset val="134"/>
      </rPr>
      <t>2.0m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>0.20mm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</si>
  <si>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4m</t>
    </r>
    <r>
      <rPr>
        <sz val="11"/>
        <rFont val="宋体"/>
        <charset val="134"/>
      </rPr>
      <t>，环向裂缝伴有渗水泛碱，长度为</t>
    </r>
    <r>
      <rPr>
        <sz val="11"/>
        <rFont val="Times New Roman"/>
        <charset val="134"/>
      </rPr>
      <t>1.8m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>0.10mm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</si>
  <si>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7m</t>
    </r>
    <r>
      <rPr>
        <sz val="11"/>
        <rFont val="宋体"/>
        <charset val="134"/>
      </rPr>
      <t>，左侧墙渗水泛碱，面积约</t>
    </r>
    <r>
      <rPr>
        <sz val="11"/>
        <rFont val="Times New Roman"/>
        <charset val="134"/>
      </rPr>
      <t>1.0×1.0m</t>
    </r>
    <r>
      <rPr>
        <vertAlign val="superscript"/>
        <sz val="1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</si>
  <si>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7.7m</t>
    </r>
    <r>
      <rPr>
        <sz val="11"/>
        <color theme="1"/>
        <rFont val="宋体"/>
        <charset val="134"/>
      </rPr>
      <t>，封缝层起皮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</si>
  <si>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0.5m</t>
    </r>
    <r>
      <rPr>
        <sz val="11"/>
        <color theme="1"/>
        <rFont val="宋体"/>
        <charset val="134"/>
      </rPr>
      <t>，右侧检修道盖板破损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</si>
  <si>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，渗水印迹，面积为</t>
    </r>
    <r>
      <rPr>
        <sz val="11"/>
        <color theme="1"/>
        <rFont val="Times New Roman"/>
        <charset val="134"/>
      </rPr>
      <t>2.0×0.3m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</si>
  <si>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7.0m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1.0m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0.20mm</t>
    </r>
  </si>
  <si>
    <r>
      <rPr>
        <sz val="11"/>
        <color rgb="FFFF0000"/>
        <rFont val="宋体"/>
        <charset val="134"/>
      </rPr>
      <t>距板端</t>
    </r>
    <r>
      <rPr>
        <sz val="11"/>
        <color rgb="FFFF0000"/>
        <rFont val="Times New Roman"/>
        <charset val="134"/>
      </rPr>
      <t>1m</t>
    </r>
    <r>
      <rPr>
        <sz val="11"/>
        <color rgb="FFFF0000"/>
        <rFont val="宋体"/>
        <charset val="134"/>
      </rPr>
      <t>，左侧墙纵向裂缝，长度为</t>
    </r>
    <r>
      <rPr>
        <sz val="11"/>
        <color rgb="FFFF0000"/>
        <rFont val="Times New Roman"/>
        <charset val="134"/>
      </rPr>
      <t>6.0m</t>
    </r>
    <r>
      <rPr>
        <sz val="11"/>
        <color rgb="FFFF0000"/>
        <rFont val="宋体"/>
        <charset val="134"/>
      </rPr>
      <t>，宽度为</t>
    </r>
    <r>
      <rPr>
        <sz val="11"/>
        <color rgb="FFFF0000"/>
        <rFont val="Times New Roman"/>
        <charset val="134"/>
      </rPr>
      <t xml:space="preserve"> 0.16mm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</si>
  <si>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2.5m</t>
    </r>
    <r>
      <rPr>
        <sz val="11"/>
        <color theme="1"/>
        <rFont val="宋体"/>
        <charset val="134"/>
      </rPr>
      <t>，左侧检修道镶面破损，面积为</t>
    </r>
    <r>
      <rPr>
        <sz val="11"/>
        <color theme="1"/>
        <rFont val="Times New Roman"/>
        <charset val="134"/>
      </rPr>
      <t>0.5×0.4×2m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</si>
  <si>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63~63</t>
    </r>
    <r>
      <rPr>
        <sz val="11"/>
        <color theme="1"/>
        <rFont val="宋体"/>
        <charset val="134"/>
      </rPr>
      <t>板，左侧检修道镶面破损，面积为</t>
    </r>
    <r>
      <rPr>
        <sz val="11"/>
        <color theme="1"/>
        <rFont val="Times New Roman"/>
        <charset val="134"/>
      </rPr>
      <t>0.5×0.4×2m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</si>
  <si>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0.2m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1.00mm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</si>
  <si>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，左侧检修道镶面破损，面积为</t>
    </r>
    <r>
      <rPr>
        <sz val="11"/>
        <color theme="1"/>
        <rFont val="Times New Roman"/>
        <charset val="134"/>
      </rPr>
      <t>0.5×0.4×3m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</si>
  <si>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，右侧检修道镶面破损，面积为</t>
    </r>
    <r>
      <rPr>
        <sz val="11"/>
        <color theme="1"/>
        <rFont val="Times New Roman"/>
        <charset val="134"/>
      </rPr>
      <t>0.5×0.4×2m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</si>
  <si>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，右侧检修道盖板破损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</si>
  <si>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2.5m</t>
    </r>
    <r>
      <rPr>
        <sz val="11"/>
        <color theme="1"/>
        <rFont val="宋体"/>
        <charset val="134"/>
      </rPr>
      <t>，右侧墙轮廓标缺失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个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</si>
  <si>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0.03m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</si>
  <si>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4m</t>
    </r>
    <r>
      <rPr>
        <sz val="11"/>
        <rFont val="宋体"/>
        <charset val="134"/>
      </rPr>
      <t>，右检道盖板掉角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</si>
  <si>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3m</t>
    </r>
    <r>
      <rPr>
        <sz val="11"/>
        <rFont val="宋体"/>
        <charset val="134"/>
      </rPr>
      <t>，右检道盖板掉角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</si>
  <si>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1"/>
        <color theme="1"/>
        <rFont val="宋体"/>
        <charset val="134"/>
      </rPr>
      <t>露筋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</si>
  <si>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，纵向露筋，长度为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，修补后破损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</si>
  <si>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6m</t>
    </r>
    <r>
      <rPr>
        <sz val="11"/>
        <rFont val="宋体"/>
        <charset val="134"/>
      </rPr>
      <t>，左检道盖板掉角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</si>
  <si>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，拱顶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处锈胀露筋，长度为</t>
    </r>
    <r>
      <rPr>
        <sz val="11"/>
        <color theme="1"/>
        <rFont val="Times New Roman"/>
        <charset val="134"/>
      </rPr>
      <t>0.8m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</si>
  <si>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8.0m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2.3m</t>
    </r>
    <r>
      <rPr>
        <sz val="11"/>
        <color theme="1"/>
        <rFont val="宋体"/>
        <charset val="134"/>
      </rPr>
      <t>，泌死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</si>
  <si>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，网状裂缝，宽度为</t>
    </r>
    <r>
      <rPr>
        <sz val="11"/>
        <color theme="1"/>
        <rFont val="Times New Roman"/>
        <charset val="134"/>
      </rPr>
      <t>0.5mm</t>
    </r>
    <r>
      <rPr>
        <sz val="11"/>
        <color theme="1"/>
        <rFont val="宋体"/>
        <charset val="134"/>
      </rPr>
      <t>，面积为</t>
    </r>
    <r>
      <rPr>
        <sz val="11"/>
        <color theme="1"/>
        <rFont val="Times New Roman"/>
        <charset val="134"/>
      </rPr>
      <t>20m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，封缝层起皮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</si>
  <si>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2.5m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</si>
  <si>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8m</t>
    </r>
    <r>
      <rPr>
        <sz val="11"/>
        <color theme="1"/>
        <rFont val="宋体"/>
        <charset val="134"/>
      </rPr>
      <t>，右侧沉砂井堵塞</t>
    </r>
  </si>
  <si>
    <r>
      <rPr>
        <sz val="11"/>
        <rFont val="宋体"/>
        <charset val="134"/>
      </rPr>
      <t>瓷砖破损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</si>
  <si>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6m</t>
    </r>
    <r>
      <rPr>
        <sz val="11"/>
        <rFont val="宋体"/>
        <charset val="134"/>
      </rPr>
      <t>，左侧墙瓷砖破损，面积为</t>
    </r>
    <r>
      <rPr>
        <sz val="11"/>
        <rFont val="Times New Roman"/>
        <charset val="134"/>
      </rPr>
      <t xml:space="preserve"> 0.1×0.3×3m</t>
    </r>
    <r>
      <rPr>
        <vertAlign val="superscript"/>
        <sz val="11"/>
        <rFont val="Times New Roman"/>
        <charset val="134"/>
      </rPr>
      <t>2</t>
    </r>
  </si>
  <si>
    <r>
      <rPr>
        <sz val="11"/>
        <color theme="1"/>
        <rFont val="宋体"/>
        <charset val="134"/>
      </rPr>
      <t>路面</t>
    </r>
  </si>
  <si>
    <r>
      <rPr>
        <sz val="11"/>
        <color theme="1"/>
        <rFont val="宋体"/>
        <charset val="134"/>
      </rPr>
      <t>全隧道路面已重铺，基本完好</t>
    </r>
  </si>
  <si>
    <t>71~80</t>
  </si>
  <si>
    <t>81~91</t>
  </si>
  <si>
    <t>入口洞门</t>
  </si>
  <si>
    <t>入口端两侧洞门受雨水侵蚀</t>
  </si>
  <si>
    <t>出口</t>
  </si>
  <si>
    <t>出洞口</t>
  </si>
  <si>
    <t>出洞口右侧边坡挂网防护</t>
  </si>
  <si>
    <r>
      <rPr>
        <sz val="11"/>
        <color rgb="FF000000"/>
        <rFont val="宋体"/>
        <charset val="134"/>
      </rPr>
      <t>破损</t>
    </r>
  </si>
  <si>
    <r>
      <rPr>
        <sz val="11"/>
        <color rgb="FFFF0000"/>
        <rFont val="宋体"/>
        <charset val="134"/>
      </rPr>
      <t>距板端</t>
    </r>
    <r>
      <rPr>
        <sz val="11"/>
        <color rgb="FFFF0000"/>
        <rFont val="Times New Roman"/>
        <charset val="134"/>
      </rPr>
      <t>0m</t>
    </r>
    <r>
      <rPr>
        <sz val="11"/>
        <color rgb="FFFF0000"/>
        <rFont val="宋体"/>
        <charset val="134"/>
      </rPr>
      <t>，右侧排水边沟与路面接缝处破损，长度为</t>
    </r>
    <r>
      <rPr>
        <sz val="11"/>
        <color rgb="FFFF0000"/>
        <rFont val="Times New Roman"/>
        <charset val="134"/>
      </rPr>
      <t>6.0m</t>
    </r>
    <r>
      <rPr>
        <sz val="11"/>
        <color rgb="FFFF0000"/>
        <rFont val="宋体"/>
        <charset val="134"/>
      </rPr>
      <t>；局部杂物堆积</t>
    </r>
  </si>
  <si>
    <t>1~3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</si>
  <si>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，右侧排水边沟堵塞，</t>
    </r>
    <r>
      <rPr>
        <sz val="11"/>
        <color theme="1"/>
        <rFont val="Times New Roman"/>
        <charset val="134"/>
      </rPr>
      <t>L=18.0m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</si>
  <si>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，左侧墙斜向裂缝，长度为</t>
    </r>
    <r>
      <rPr>
        <sz val="11"/>
        <rFont val="Times New Roman"/>
        <charset val="134"/>
      </rPr>
      <t>2.0m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 0.20mm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</si>
  <si>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4.5m</t>
    </r>
    <r>
      <rPr>
        <sz val="11"/>
        <rFont val="宋体"/>
        <charset val="134"/>
      </rPr>
      <t>，右侧墙斜向裂缝，长度为</t>
    </r>
    <r>
      <rPr>
        <sz val="11"/>
        <rFont val="Times New Roman"/>
        <charset val="134"/>
      </rPr>
      <t>2.5m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 0.15mm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</si>
  <si>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2.3m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</si>
  <si>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</si>
  <si>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，右侧排水边沟杂物堆积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</si>
  <si>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</si>
  <si>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，斜向裂缝，长度为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</si>
  <si>
    <r>
      <rPr>
        <sz val="10.5"/>
        <color theme="1"/>
        <rFont val="宋体"/>
        <charset val="134"/>
      </rPr>
      <t>露筋锈蚀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</si>
  <si>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，拱顶</t>
    </r>
    <r>
      <rPr>
        <sz val="10.5"/>
        <color theme="1"/>
        <rFont val="Times New Roman"/>
        <charset val="134"/>
      </rPr>
      <t>5</t>
    </r>
    <r>
      <rPr>
        <sz val="10.5"/>
        <color theme="1"/>
        <rFont val="宋体"/>
        <charset val="134"/>
      </rPr>
      <t>处锈胀</t>
    </r>
    <r>
      <rPr>
        <sz val="10.5"/>
        <color theme="1"/>
        <rFont val="宋体"/>
        <charset val="134"/>
      </rPr>
      <t>露筋，长度约</t>
    </r>
    <r>
      <rPr>
        <sz val="10.5"/>
        <color theme="1"/>
        <rFont val="Times New Roman"/>
        <charset val="134"/>
      </rPr>
      <t>0.5m</t>
    </r>
  </si>
  <si>
    <r>
      <rPr>
        <sz val="11"/>
        <color rgb="FFFF0000"/>
        <rFont val="宋体"/>
        <charset val="134"/>
      </rPr>
      <t>距板端</t>
    </r>
    <r>
      <rPr>
        <sz val="11"/>
        <color rgb="FFFF0000"/>
        <rFont val="Times New Roman"/>
        <charset val="134"/>
      </rPr>
      <t>0m</t>
    </r>
    <r>
      <rPr>
        <sz val="11"/>
        <color rgb="FFFF0000"/>
        <rFont val="宋体"/>
        <charset val="134"/>
      </rPr>
      <t>，右侧墙瓷砖脱落，面积为</t>
    </r>
    <r>
      <rPr>
        <sz val="11"/>
        <color rgb="FFFF0000"/>
        <rFont val="Times New Roman"/>
        <charset val="134"/>
      </rPr>
      <t xml:space="preserve"> 0.1×0.2m</t>
    </r>
    <r>
      <rPr>
        <vertAlign val="superscript"/>
        <sz val="11"/>
        <color rgb="FFFF0000"/>
        <rFont val="Times New Roman"/>
        <charset val="134"/>
      </rPr>
      <t>2</t>
    </r>
  </si>
  <si>
    <t>涂层脱落</t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</si>
  <si>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0.1×3m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</si>
  <si>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0.05×2m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</si>
  <si>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0.1×1.5m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</si>
  <si>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0.2m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</si>
  <si>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</si>
  <si>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</si>
  <si>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3.5m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0.10mm</t>
    </r>
  </si>
  <si>
    <t>左拱腰、右拱腰</t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</si>
  <si>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，左拱腰、右拱腰防火涂层脱落，面积为</t>
    </r>
    <r>
      <rPr>
        <sz val="11"/>
        <rFont val="Times New Roman"/>
        <charset val="134"/>
      </rPr>
      <t>0.1×4m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</si>
  <si>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</si>
  <si>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0.75mm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</si>
  <si>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8m</t>
    </r>
    <r>
      <rPr>
        <sz val="11"/>
        <color theme="1"/>
        <rFont val="宋体"/>
        <charset val="134"/>
      </rPr>
      <t>，右侧检修道盖板破损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</si>
  <si>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color rgb="FFFF0000"/>
        <rFont val="宋体"/>
        <charset val="134"/>
      </rPr>
      <t>衬砌</t>
    </r>
  </si>
  <si>
    <r>
      <rPr>
        <sz val="10.5"/>
        <color rgb="FFFF0000"/>
        <rFont val="宋体"/>
        <charset val="134"/>
      </rPr>
      <t>拱顶</t>
    </r>
  </si>
  <si>
    <r>
      <rPr>
        <sz val="10.5"/>
        <color rgb="FFFF0000"/>
        <rFont val="宋体"/>
        <charset val="134"/>
      </rPr>
      <t>距</t>
    </r>
    <r>
      <rPr>
        <sz val="10.5"/>
        <color rgb="FFFF0000"/>
        <rFont val="Times New Roman"/>
        <charset val="134"/>
      </rPr>
      <t>19</t>
    </r>
    <r>
      <rPr>
        <sz val="10.5"/>
        <color rgb="FFFF0000"/>
        <rFont val="宋体"/>
        <charset val="134"/>
      </rPr>
      <t>号板板端</t>
    </r>
    <r>
      <rPr>
        <sz val="10.5"/>
        <color rgb="FFFF0000"/>
        <rFont val="Times New Roman"/>
        <charset val="134"/>
      </rPr>
      <t>0m</t>
    </r>
    <r>
      <rPr>
        <sz val="10.5"/>
        <color rgb="FFFF0000"/>
        <rFont val="宋体"/>
        <charset val="134"/>
      </rPr>
      <t>，纵向裂缝，长度为</t>
    </r>
    <r>
      <rPr>
        <sz val="10.5"/>
        <color rgb="FFFF0000"/>
        <rFont val="Times New Roman"/>
        <charset val="134"/>
      </rPr>
      <t>9.1m</t>
    </r>
    <r>
      <rPr>
        <sz val="10.5"/>
        <color rgb="FFFF0000"/>
        <rFont val="宋体"/>
        <charset val="134"/>
      </rPr>
      <t>，宽度为</t>
    </r>
    <r>
      <rPr>
        <sz val="10.5"/>
        <color rgb="FFFF0000"/>
        <rFont val="Times New Roman"/>
        <charset val="134"/>
      </rPr>
      <t>0.40mm</t>
    </r>
    <r>
      <rPr>
        <sz val="10.5"/>
        <color rgb="FFFF0000"/>
        <rFont val="宋体"/>
        <charset val="134"/>
      </rPr>
      <t>，修补处局部起皮脱落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</si>
  <si>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19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</si>
  <si>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0.5×3.5m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</si>
  <si>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9.0m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0.70mm</t>
    </r>
    <r>
      <rPr>
        <sz val="10.5"/>
        <color theme="1"/>
        <rFont val="宋体"/>
        <charset val="134"/>
      </rPr>
      <t>，已修补</t>
    </r>
  </si>
  <si>
    <t>风机结构及预埋件已重新喷漆</t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</si>
  <si>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，右拱腰防火涂层脱落，面积为</t>
    </r>
    <r>
      <rPr>
        <sz val="11"/>
        <rFont val="Times New Roman"/>
        <charset val="134"/>
      </rPr>
      <t>0.5×1m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</si>
  <si>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9.1m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</si>
  <si>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9.0m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，已修补</t>
    </r>
  </si>
  <si>
    <t>左检道</t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</si>
  <si>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5m</t>
    </r>
    <r>
      <rPr>
        <sz val="11"/>
        <rFont val="宋体"/>
        <charset val="134"/>
      </rPr>
      <t>，左检道盖板掉角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块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</si>
  <si>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，左检道盖板掉角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</si>
  <si>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</si>
  <si>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</si>
  <si>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0.1×0.6m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</si>
  <si>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7m</t>
    </r>
    <r>
      <rPr>
        <sz val="11"/>
        <rFont val="宋体"/>
        <charset val="134"/>
      </rPr>
      <t>，左检道盖板破损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</si>
  <si>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0.5"/>
        <color theme="1"/>
        <rFont val="Times New Roman"/>
        <charset val="134"/>
      </rPr>
      <t>33-37</t>
    </r>
    <r>
      <rPr>
        <sz val="10.5"/>
        <color theme="1"/>
        <rFont val="宋体"/>
        <charset val="134"/>
      </rPr>
      <t>号板，距</t>
    </r>
    <r>
      <rPr>
        <sz val="10.5"/>
        <color theme="1"/>
        <rFont val="Times New Roman"/>
        <charset val="134"/>
      </rPr>
      <t>33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44m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</si>
  <si>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，左侧墙瓷砖脱落，面积为</t>
    </r>
    <r>
      <rPr>
        <sz val="11"/>
        <rFont val="Times New Roman"/>
        <charset val="134"/>
      </rPr>
      <t xml:space="preserve"> 0.1×0.3×10m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</si>
  <si>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0.4mm</t>
    </r>
    <r>
      <rPr>
        <sz val="10.5"/>
        <color theme="1"/>
        <rFont val="宋体"/>
        <charset val="134"/>
      </rPr>
      <t>，修补后破损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</si>
  <si>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</si>
  <si>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9.1m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</si>
  <si>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</si>
  <si>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9.2m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</si>
  <si>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9.0m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0.4m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</si>
  <si>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4.5m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</si>
  <si>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</si>
  <si>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</si>
  <si>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破损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</si>
  <si>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，施工缝左侧拱腰处填缝料局部破损，长度约</t>
    </r>
    <r>
      <rPr>
        <sz val="10.5"/>
        <color theme="1"/>
        <rFont val="Times New Roman"/>
        <charset val="134"/>
      </rPr>
      <t>3m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</si>
  <si>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5.4m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0.70mm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</si>
  <si>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055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4.5m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39.9m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  <r>
      <rPr>
        <sz val="10.5"/>
        <color theme="1"/>
        <rFont val="宋体"/>
        <charset val="134"/>
      </rPr>
      <t>，已修补</t>
    </r>
  </si>
  <si>
    <r>
      <rPr>
        <sz val="11"/>
        <color rgb="FF000000"/>
        <rFont val="宋体"/>
        <charset val="134"/>
      </rPr>
      <t>盖板陷落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</si>
  <si>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，右侧检修道盖板陷落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</si>
  <si>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4.5m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</si>
  <si>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，左侧墙瓷砖脱落，面积为</t>
    </r>
    <r>
      <rPr>
        <sz val="11"/>
        <rFont val="Times New Roman"/>
        <charset val="134"/>
      </rPr>
      <t xml:space="preserve"> 0.1×0.3×2m</t>
    </r>
    <r>
      <rPr>
        <vertAlign val="superscript"/>
        <sz val="11"/>
        <rFont val="Times New Roman"/>
        <charset val="134"/>
      </rPr>
      <t>2</t>
    </r>
  </si>
  <si>
    <r>
      <rPr>
        <sz val="11"/>
        <color rgb="FFFF0000"/>
        <rFont val="宋体"/>
        <charset val="134"/>
      </rPr>
      <t>距板端</t>
    </r>
    <r>
      <rPr>
        <sz val="11"/>
        <color rgb="FFFF0000"/>
        <rFont val="Times New Roman"/>
        <charset val="134"/>
      </rPr>
      <t>0m</t>
    </r>
    <r>
      <rPr>
        <sz val="11"/>
        <color rgb="FFFF0000"/>
        <rFont val="宋体"/>
        <charset val="134"/>
      </rPr>
      <t>，右侧墙瓷砖脱落，面积为</t>
    </r>
    <r>
      <rPr>
        <sz val="11"/>
        <color rgb="FFFF0000"/>
        <rFont val="Times New Roman"/>
        <charset val="134"/>
      </rPr>
      <t xml:space="preserve"> 0.1×0.2×3m</t>
    </r>
    <r>
      <rPr>
        <vertAlign val="superscript"/>
        <sz val="11"/>
        <color rgb="FFFF0000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</si>
  <si>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，右拱腰防火涂层脱落，面积为</t>
    </r>
    <r>
      <rPr>
        <sz val="11"/>
        <rFont val="Times New Roman"/>
        <charset val="134"/>
      </rPr>
      <t>1.5m</t>
    </r>
    <r>
      <rPr>
        <vertAlign val="superscript"/>
        <sz val="11"/>
        <rFont val="Times New Roman"/>
        <charset val="134"/>
      </rPr>
      <t>2</t>
    </r>
  </si>
  <si>
    <t>右侧检修道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</si>
  <si>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，右侧检修道侧壁轮廓标缺失</t>
    </r>
  </si>
  <si>
    <r>
      <rPr>
        <sz val="11"/>
        <color rgb="FFFF0000"/>
        <rFont val="宋体"/>
        <charset val="134"/>
      </rPr>
      <t>距板端</t>
    </r>
    <r>
      <rPr>
        <sz val="11"/>
        <color rgb="FFFF0000"/>
        <rFont val="Times New Roman"/>
        <charset val="134"/>
      </rPr>
      <t>1m</t>
    </r>
    <r>
      <rPr>
        <sz val="11"/>
        <color rgb="FFFF0000"/>
        <rFont val="宋体"/>
        <charset val="134"/>
      </rPr>
      <t>，左拱腰防火涂层脱落，面积为</t>
    </r>
    <r>
      <rPr>
        <sz val="11"/>
        <color rgb="FFFF0000"/>
        <rFont val="Times New Roman"/>
        <charset val="134"/>
      </rPr>
      <t>3.5×0.5m</t>
    </r>
    <r>
      <rPr>
        <vertAlign val="superscript"/>
        <sz val="11"/>
        <color rgb="FFFF0000"/>
        <rFont val="Times New Roman"/>
        <charset val="134"/>
      </rPr>
      <t>2</t>
    </r>
  </si>
  <si>
    <t>左边墙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</si>
  <si>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0.14mm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</si>
  <si>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，拱顶防火涂层脱落，面积为</t>
    </r>
    <r>
      <rPr>
        <sz val="11"/>
        <rFont val="Times New Roman"/>
        <charset val="134"/>
      </rPr>
      <t>0.05×2m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</si>
  <si>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，右拱腰防火涂层脱落，面积为</t>
    </r>
    <r>
      <rPr>
        <sz val="11"/>
        <rFont val="Times New Roman"/>
        <charset val="134"/>
      </rPr>
      <t>0.2×0.4m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</si>
  <si>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0.6m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</si>
  <si>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3m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0.5×1.8m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</si>
  <si>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rgb="FFFF0000"/>
        <rFont val="Times New Roman"/>
        <charset val="134"/>
      </rPr>
      <t>1.5m</t>
    </r>
    <r>
      <rPr>
        <vertAlign val="superscript"/>
        <sz val="10.5"/>
        <color rgb="FFFF0000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</si>
  <si>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，左侧墙瓷砖脱落，面积为</t>
    </r>
    <r>
      <rPr>
        <sz val="11"/>
        <rFont val="Times New Roman"/>
        <charset val="134"/>
      </rPr>
      <t xml:space="preserve"> 0.045m</t>
    </r>
    <r>
      <rPr>
        <vertAlign val="superscript"/>
        <sz val="1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</si>
  <si>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7m</t>
    </r>
    <r>
      <rPr>
        <sz val="11"/>
        <color theme="1"/>
        <rFont val="宋体"/>
        <charset val="134"/>
      </rPr>
      <t>，左侧墙轮廓标缺失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个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</si>
  <si>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0.5×2m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</si>
  <si>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3.5m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3.0m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0.12mm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</si>
  <si>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，左侧检修道镶面石破损脱落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</si>
  <si>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，右侧墙轮廓标缺失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个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</si>
  <si>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</si>
  <si>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0.05×0.2m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</si>
  <si>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，右侧墙环向裂缝，长度为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0.12mm</t>
    </r>
  </si>
  <si>
    <t>全隧道盖板因施工未复位</t>
  </si>
  <si>
    <t>全隧道电缆桥架及预埋件已重新喷漆</t>
  </si>
  <si>
    <r>
      <rPr>
        <sz val="11"/>
        <color theme="1"/>
        <rFont val="宋体"/>
        <charset val="134"/>
      </rPr>
      <t>洞口</t>
    </r>
  </si>
  <si>
    <r>
      <rPr>
        <sz val="11"/>
        <color rgb="FF000000"/>
        <rFont val="宋体"/>
        <charset val="134"/>
      </rPr>
      <t>渗漏水</t>
    </r>
  </si>
  <si>
    <r>
      <rPr>
        <sz val="11"/>
        <color rgb="FFFF0000"/>
        <rFont val="宋体"/>
        <charset val="134"/>
      </rPr>
      <t>入洞口右侧墙脚渗漏水，呈涌流状，流入电缆沟内部，已修复</t>
    </r>
  </si>
  <si>
    <r>
      <rPr>
        <sz val="11"/>
        <color theme="1"/>
        <rFont val="宋体"/>
        <charset val="134"/>
      </rPr>
      <t>入洞口右侧边坡挂网防护</t>
    </r>
  </si>
  <si>
    <r>
      <rPr>
        <sz val="11"/>
        <color theme="1"/>
        <rFont val="宋体"/>
        <charset val="134"/>
      </rPr>
      <t>出口侧</t>
    </r>
  </si>
  <si>
    <r>
      <rPr>
        <sz val="11"/>
        <color theme="1"/>
        <rFont val="宋体"/>
        <charset val="134"/>
      </rPr>
      <t>裂缝发育</t>
    </r>
  </si>
  <si>
    <r>
      <rPr>
        <sz val="11"/>
        <color theme="1"/>
        <rFont val="宋体"/>
        <charset val="134"/>
      </rPr>
      <t>出洞口左侧岩体裂缝发育，面积为</t>
    </r>
    <r>
      <rPr>
        <sz val="11"/>
        <color theme="1"/>
        <rFont val="Times New Roman"/>
        <charset val="134"/>
      </rPr>
      <t>25m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，已修建挡土墙防护</t>
    </r>
  </si>
  <si>
    <r>
      <rPr>
        <sz val="11"/>
        <color theme="1"/>
        <rFont val="宋体"/>
        <charset val="134"/>
      </rPr>
      <t>出洞口右侧边坡土石滑落，面积约</t>
    </r>
    <r>
      <rPr>
        <sz val="11"/>
        <color theme="1"/>
        <rFont val="Times New Roman"/>
        <charset val="134"/>
      </rPr>
      <t>18m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，山坡水流流入电缆沟内</t>
    </r>
  </si>
  <si>
    <r>
      <rPr>
        <sz val="11"/>
        <color theme="1"/>
        <rFont val="宋体"/>
        <charset val="134"/>
      </rPr>
      <t>入口侧</t>
    </r>
  </si>
  <si>
    <r>
      <rPr>
        <sz val="11"/>
        <color theme="1"/>
        <rFont val="宋体"/>
        <charset val="134"/>
      </rPr>
      <t>雨水侵蚀</t>
    </r>
  </si>
  <si>
    <r>
      <rPr>
        <sz val="11"/>
        <color theme="1"/>
        <rFont val="宋体"/>
        <charset val="134"/>
      </rPr>
      <t>入口洞门受雨水侵蚀，面积约</t>
    </r>
    <r>
      <rPr>
        <sz val="11"/>
        <color theme="1"/>
        <rFont val="Times New Roman"/>
        <charset val="134"/>
      </rPr>
      <t>9m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</si>
  <si>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rgb="FF000000"/>
        <rFont val="宋体"/>
        <charset val="134"/>
      </rPr>
      <t>洞顶</t>
    </r>
  </si>
  <si>
    <r>
      <rPr>
        <sz val="11"/>
        <color theme="1"/>
        <rFont val="宋体"/>
        <charset val="134"/>
      </rPr>
      <t>截水沟堵塞</t>
    </r>
  </si>
  <si>
    <r>
      <rPr>
        <sz val="11"/>
        <color theme="1"/>
        <rFont val="宋体"/>
        <charset val="134"/>
      </rPr>
      <t>入口端洞顶截水沟堵塞、排水不畅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</si>
  <si>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4.5m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2.5m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0.10mm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</si>
  <si>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3m</t>
    </r>
    <r>
      <rPr>
        <sz val="11"/>
        <rFont val="宋体"/>
        <charset val="134"/>
      </rPr>
      <t>，左侧墙斜向裂缝，长度为</t>
    </r>
    <r>
      <rPr>
        <sz val="11"/>
        <rFont val="Times New Roman"/>
        <charset val="134"/>
      </rPr>
      <t>2.5m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 0.20mm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</si>
  <si>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</si>
  <si>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，网状裂缝，面积为</t>
    </r>
    <r>
      <rPr>
        <sz val="11"/>
        <color theme="1"/>
        <rFont val="Times New Roman"/>
        <charset val="134"/>
      </rPr>
      <t>20m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</si>
  <si>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2.0m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1.4m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0.10mm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</si>
  <si>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0.2m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1.00mm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</si>
  <si>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7m</t>
    </r>
    <r>
      <rPr>
        <sz val="11"/>
        <color theme="1"/>
        <rFont val="宋体"/>
        <charset val="134"/>
      </rPr>
      <t>，渗水印迹，面积为</t>
    </r>
    <r>
      <rPr>
        <sz val="11"/>
        <color theme="1"/>
        <rFont val="Times New Roman"/>
        <charset val="134"/>
      </rPr>
      <t>1m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</si>
  <si>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，施工缝渗水印迹，面积为</t>
    </r>
    <r>
      <rPr>
        <sz val="11"/>
        <color theme="1"/>
        <rFont val="Times New Roman"/>
        <charset val="134"/>
      </rPr>
      <t>2m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</si>
  <si>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，渗水印迹，面积为</t>
    </r>
    <r>
      <rPr>
        <sz val="11"/>
        <color theme="1"/>
        <rFont val="Times New Roman"/>
        <charset val="134"/>
      </rPr>
      <t>2m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</si>
  <si>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rgb="FF000000"/>
        <rFont val="宋体"/>
        <charset val="134"/>
      </rPr>
      <t>锈胀露筋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</si>
  <si>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，拱顶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处锈胀露筋，累计长度约</t>
    </r>
    <r>
      <rPr>
        <sz val="11"/>
        <color theme="1"/>
        <rFont val="Times New Roman"/>
        <charset val="134"/>
      </rPr>
      <t>1.5m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</si>
  <si>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6m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2.5m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0.10mm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</si>
  <si>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8m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0.80mm</t>
    </r>
    <r>
      <rPr>
        <sz val="11"/>
        <color theme="1"/>
        <rFont val="宋体"/>
        <charset val="134"/>
      </rPr>
      <t>，封缝料起皮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</si>
  <si>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0.2m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1.5m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0.60mm</t>
    </r>
  </si>
  <si>
    <r>
      <rPr>
        <sz val="11"/>
        <color theme="1"/>
        <rFont val="宋体"/>
        <charset val="134"/>
      </rPr>
      <t>左侧检修道</t>
    </r>
  </si>
  <si>
    <r>
      <rPr>
        <sz val="11"/>
        <color theme="1"/>
        <rFont val="宋体"/>
        <charset val="134"/>
      </rPr>
      <t>标志缺失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</si>
  <si>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，左侧检修道侧壁轮廓标缺失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个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</si>
  <si>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8.5m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1.5m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1.20mm</t>
    </r>
    <r>
      <rPr>
        <sz val="11"/>
        <color theme="1"/>
        <rFont val="宋体"/>
        <charset val="134"/>
      </rPr>
      <t>，已修补</t>
    </r>
  </si>
  <si>
    <r>
      <rPr>
        <sz val="11"/>
        <color rgb="FF000000"/>
        <rFont val="宋体"/>
        <charset val="134"/>
      </rPr>
      <t>盖板掉角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</si>
  <si>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7m</t>
    </r>
    <r>
      <rPr>
        <sz val="11"/>
        <color theme="1"/>
        <rFont val="宋体"/>
        <charset val="134"/>
      </rPr>
      <t>，右侧检修道盖板掉角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</si>
  <si>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，左侧检修道盖板陷落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</si>
  <si>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5m</t>
    </r>
    <r>
      <rPr>
        <sz val="11"/>
        <rFont val="宋体"/>
        <charset val="134"/>
      </rPr>
      <t>，左侧墙瓷砖脱落，面积为</t>
    </r>
    <r>
      <rPr>
        <sz val="11"/>
        <rFont val="Times New Roman"/>
        <charset val="134"/>
      </rPr>
      <t xml:space="preserve"> 0.1×0.3×1m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</si>
  <si>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7m</t>
    </r>
    <r>
      <rPr>
        <sz val="11"/>
        <rFont val="宋体"/>
        <charset val="134"/>
      </rPr>
      <t>，斜向裂缝，长度为</t>
    </r>
    <r>
      <rPr>
        <sz val="11"/>
        <rFont val="Times New Roman"/>
        <charset val="134"/>
      </rPr>
      <t>3.5m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>0.20mm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</si>
  <si>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3.5m</t>
    </r>
    <r>
      <rPr>
        <sz val="11"/>
        <color theme="1"/>
        <rFont val="宋体"/>
        <charset val="134"/>
      </rPr>
      <t>，渗水印迹，面积为</t>
    </r>
    <r>
      <rPr>
        <sz val="11"/>
        <color theme="1"/>
        <rFont val="Times New Roman"/>
        <charset val="134"/>
      </rPr>
      <t>12m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</si>
  <si>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6m</t>
    </r>
    <r>
      <rPr>
        <sz val="11"/>
        <color theme="1"/>
        <rFont val="宋体"/>
        <charset val="134"/>
      </rPr>
      <t>，渗水印迹，面积为</t>
    </r>
    <r>
      <rPr>
        <sz val="11"/>
        <color theme="1"/>
        <rFont val="Times New Roman"/>
        <charset val="134"/>
      </rPr>
      <t>0.5m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</si>
  <si>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1m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处渗水印迹，面积为</t>
    </r>
    <r>
      <rPr>
        <sz val="11"/>
        <color theme="1"/>
        <rFont val="Times New Roman"/>
        <charset val="134"/>
      </rPr>
      <t>1.2m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</si>
  <si>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4.0m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0.30mm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</si>
  <si>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0.5m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0.60mm</t>
    </r>
  </si>
  <si>
    <r>
      <rPr>
        <sz val="11"/>
        <color theme="1"/>
        <rFont val="宋体"/>
        <charset val="134"/>
      </rPr>
      <t>左拱腰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左侧墙</t>
    </r>
  </si>
  <si>
    <r>
      <rPr>
        <sz val="11"/>
        <color rgb="FFFF0000"/>
        <rFont val="宋体"/>
        <charset val="134"/>
      </rPr>
      <t>距板端</t>
    </r>
    <r>
      <rPr>
        <sz val="11"/>
        <color rgb="FFFF0000"/>
        <rFont val="Times New Roman"/>
        <charset val="134"/>
      </rPr>
      <t>6m</t>
    </r>
    <r>
      <rPr>
        <sz val="11"/>
        <color rgb="FFFF0000"/>
        <rFont val="宋体"/>
        <charset val="134"/>
      </rPr>
      <t>，环向裂缝，长度为</t>
    </r>
    <r>
      <rPr>
        <sz val="11"/>
        <color rgb="FFFF0000"/>
        <rFont val="Times New Roman"/>
        <charset val="134"/>
      </rPr>
      <t>5m</t>
    </r>
    <r>
      <rPr>
        <sz val="11"/>
        <color rgb="FFFF0000"/>
        <rFont val="宋体"/>
        <charset val="134"/>
      </rPr>
      <t>，宽度为</t>
    </r>
    <r>
      <rPr>
        <sz val="11"/>
        <color rgb="FFFF0000"/>
        <rFont val="Times New Roman"/>
        <charset val="134"/>
      </rPr>
      <t>0.20mm</t>
    </r>
    <r>
      <rPr>
        <sz val="11"/>
        <color rgb="FFFF0000"/>
        <rFont val="宋体"/>
        <charset val="134"/>
      </rPr>
      <t>，修补处局部起皮脱落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</si>
  <si>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0.2m</t>
    </r>
    <r>
      <rPr>
        <sz val="11"/>
        <color theme="1"/>
        <rFont val="宋体"/>
        <charset val="134"/>
      </rPr>
      <t>，环向裂缝，</t>
    </r>
    <r>
      <rPr>
        <sz val="11"/>
        <color rgb="FFFF0000"/>
        <rFont val="宋体"/>
        <charset val="134"/>
      </rPr>
      <t>长度为</t>
    </r>
    <r>
      <rPr>
        <sz val="11"/>
        <color rgb="FFFF0000"/>
        <rFont val="Times New Roman"/>
        <charset val="134"/>
      </rPr>
      <t>1.0m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0.80mm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</si>
  <si>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，渗水印迹，面积为</t>
    </r>
    <r>
      <rPr>
        <sz val="11"/>
        <color theme="1"/>
        <rFont val="Times New Roman"/>
        <charset val="134"/>
      </rPr>
      <t>3m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</si>
  <si>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0.5×3m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</si>
  <si>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，环向裂缝，长度为</t>
    </r>
    <r>
      <rPr>
        <sz val="11"/>
        <rFont val="Times New Roman"/>
        <charset val="134"/>
      </rPr>
      <t>2.5m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>0.10mm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</si>
  <si>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</si>
  <si>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7m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0.5×1m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</si>
  <si>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5m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0.6×2.5m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</si>
  <si>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0.2×0.4m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</si>
  <si>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排水系统</t>
    </r>
  </si>
  <si>
    <r>
      <rPr>
        <sz val="11"/>
        <rFont val="宋体"/>
        <charset val="134"/>
      </rPr>
      <t>左、右侧</t>
    </r>
  </si>
  <si>
    <r>
      <rPr>
        <sz val="11"/>
        <rFont val="宋体"/>
        <charset val="134"/>
      </rPr>
      <t>堵塞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</si>
  <si>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，两侧沉砂井淤积、堵塞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</si>
  <si>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2.0m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0.10mm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</si>
  <si>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0.3m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1m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0.80mm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</si>
  <si>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1m</t>
    </r>
    <r>
      <rPr>
        <sz val="11"/>
        <color theme="1"/>
        <rFont val="宋体"/>
        <charset val="134"/>
      </rPr>
      <t>，右侧检修道盖板陷落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</si>
  <si>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color rgb="FF000000"/>
        <rFont val="宋体"/>
        <charset val="134"/>
      </rPr>
      <t>盖板缺失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</si>
  <si>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，左侧检修道盖板缺失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</si>
  <si>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2.5m</t>
    </r>
    <r>
      <rPr>
        <sz val="11"/>
        <color theme="1"/>
        <rFont val="宋体"/>
        <charset val="134"/>
      </rPr>
      <t>，斜向裂缝，长度为</t>
    </r>
    <r>
      <rPr>
        <sz val="11"/>
        <color theme="1"/>
        <rFont val="Times New Roman"/>
        <charset val="134"/>
      </rPr>
      <t>3.0m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0.20mm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</si>
  <si>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，斜向裂缝，长度为</t>
    </r>
    <r>
      <rPr>
        <sz val="11"/>
        <color theme="1"/>
        <rFont val="Times New Roman"/>
        <charset val="134"/>
      </rPr>
      <t>4.5m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0.40mm</t>
    </r>
    <r>
      <rPr>
        <sz val="11"/>
        <color theme="1"/>
        <rFont val="宋体"/>
        <charset val="134"/>
      </rPr>
      <t>，修补处局部起皮脱落</t>
    </r>
  </si>
  <si>
    <r>
      <rPr>
        <sz val="11"/>
        <color theme="1"/>
        <rFont val="宋体"/>
        <charset val="134"/>
      </rPr>
      <t>锈胀露筋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</si>
  <si>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5.5m</t>
    </r>
    <r>
      <rPr>
        <sz val="11"/>
        <color theme="1"/>
        <rFont val="宋体"/>
        <charset val="134"/>
      </rPr>
      <t>，拱顶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处锈胀露筋，累计长度为</t>
    </r>
    <r>
      <rPr>
        <sz val="11"/>
        <color theme="1"/>
        <rFont val="Times New Roman"/>
        <charset val="134"/>
      </rPr>
      <t>2.0m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</si>
  <si>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3m</t>
    </r>
    <r>
      <rPr>
        <sz val="11"/>
        <rFont val="宋体"/>
        <charset val="134"/>
      </rPr>
      <t>，左侧墙斜向裂缝，长度为</t>
    </r>
    <r>
      <rPr>
        <sz val="11"/>
        <rFont val="Times New Roman"/>
        <charset val="134"/>
      </rPr>
      <t>1.0m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 0.10mm</t>
    </r>
  </si>
  <si>
    <r>
      <rPr>
        <sz val="11"/>
        <color theme="1"/>
        <rFont val="宋体"/>
        <charset val="134"/>
      </rPr>
      <t>锈胀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</si>
  <si>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6.0m</t>
    </r>
    <r>
      <rPr>
        <sz val="11"/>
        <color theme="1"/>
        <rFont val="宋体"/>
        <charset val="134"/>
      </rPr>
      <t>，拱顶锈胀，累计长度为</t>
    </r>
    <r>
      <rPr>
        <sz val="11"/>
        <color theme="1"/>
        <rFont val="Times New Roman"/>
        <charset val="134"/>
      </rPr>
      <t>5.0m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</si>
  <si>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5m</t>
    </r>
    <r>
      <rPr>
        <sz val="11"/>
        <rFont val="宋体"/>
        <charset val="134"/>
      </rPr>
      <t>，左侧墙渗水印迹，面积为</t>
    </r>
    <r>
      <rPr>
        <sz val="11"/>
        <rFont val="Times New Roman"/>
        <charset val="134"/>
      </rPr>
      <t>1×2m</t>
    </r>
    <r>
      <rPr>
        <vertAlign val="superscript"/>
        <sz val="1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</si>
  <si>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，左侧检修道盖板掉角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</si>
  <si>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，施工缝渗水印迹，面积为</t>
    </r>
    <r>
      <rPr>
        <sz val="11"/>
        <color theme="1"/>
        <rFont val="Times New Roman"/>
        <charset val="134"/>
      </rPr>
      <t>0.3m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</si>
  <si>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8m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0.9mm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</si>
  <si>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风机结构及预埋件锈蚀，氧化皮已因为锈蚀而剥落，但在正常视力观察下仅见到少量点蚀，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尚未影响行车安全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</si>
  <si>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8m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</si>
  <si>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1m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8m</t>
    </r>
    <r>
      <rPr>
        <sz val="11"/>
        <color theme="1"/>
        <rFont val="宋体"/>
        <charset val="134"/>
      </rPr>
      <t>，封缝料起皮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</si>
  <si>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6m</t>
    </r>
    <r>
      <rPr>
        <sz val="11"/>
        <color theme="1"/>
        <rFont val="宋体"/>
        <charset val="134"/>
      </rPr>
      <t>，左侧检修道侧壁轮廓标缺失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个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</si>
  <si>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，斜向裂缝，长度为</t>
    </r>
    <r>
      <rPr>
        <sz val="11"/>
        <color theme="1"/>
        <rFont val="Times New Roman"/>
        <charset val="134"/>
      </rPr>
      <t>10m</t>
    </r>
    <r>
      <rPr>
        <sz val="11"/>
        <color theme="1"/>
        <rFont val="宋体"/>
        <charset val="134"/>
      </rPr>
      <t>，封缝料起皮</t>
    </r>
  </si>
  <si>
    <r>
      <rPr>
        <sz val="11"/>
        <color theme="1"/>
        <rFont val="宋体"/>
        <charset val="134"/>
      </rPr>
      <t>距板板端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，施工缝渗水印迹，面积为</t>
    </r>
    <r>
      <rPr>
        <sz val="11"/>
        <color theme="1"/>
        <rFont val="Times New Roman"/>
        <charset val="134"/>
      </rPr>
      <t>0.8m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</si>
  <si>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69~70</t>
    </r>
    <r>
      <rPr>
        <sz val="11"/>
        <color theme="1"/>
        <rFont val="宋体"/>
        <charset val="134"/>
      </rPr>
      <t>号板，距</t>
    </r>
    <r>
      <rPr>
        <sz val="11"/>
        <color theme="1"/>
        <rFont val="Times New Roman"/>
        <charset val="134"/>
      </rPr>
      <t>69</t>
    </r>
    <r>
      <rPr>
        <sz val="11"/>
        <color theme="1"/>
        <rFont val="宋体"/>
        <charset val="134"/>
      </rPr>
      <t>号板板端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21m</t>
    </r>
    <r>
      <rPr>
        <sz val="11"/>
        <color theme="1"/>
        <rFont val="宋体"/>
        <charset val="134"/>
      </rPr>
      <t>，封缝料起皮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</si>
  <si>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，左侧检修道盖板掉角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</si>
  <si>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6m</t>
    </r>
    <r>
      <rPr>
        <sz val="11"/>
        <rFont val="宋体"/>
        <charset val="134"/>
      </rPr>
      <t>，左侧墙瓷砖破损，面积为</t>
    </r>
    <r>
      <rPr>
        <sz val="11"/>
        <rFont val="Times New Roman"/>
        <charset val="134"/>
      </rPr>
      <t xml:space="preserve"> 0.1×0.3×12m</t>
    </r>
    <r>
      <rPr>
        <vertAlign val="superscript"/>
        <sz val="1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</si>
  <si>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1m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8m</t>
    </r>
    <r>
      <rPr>
        <sz val="11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</si>
  <si>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8m</t>
    </r>
    <r>
      <rPr>
        <sz val="11"/>
        <rFont val="宋体"/>
        <charset val="134"/>
      </rPr>
      <t>，左检道盖板掉角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</si>
  <si>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1"/>
        <color theme="1"/>
        <rFont val="Times New Roman"/>
        <charset val="134"/>
      </rPr>
      <t>73~74</t>
    </r>
    <r>
      <rPr>
        <sz val="11"/>
        <color theme="1"/>
        <rFont val="宋体"/>
        <charset val="134"/>
      </rPr>
      <t>号板，距</t>
    </r>
    <r>
      <rPr>
        <sz val="11"/>
        <color theme="1"/>
        <rFont val="Times New Roman"/>
        <charset val="134"/>
      </rPr>
      <t>73</t>
    </r>
    <r>
      <rPr>
        <sz val="11"/>
        <color theme="1"/>
        <rFont val="宋体"/>
        <charset val="134"/>
      </rPr>
      <t>号板板端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17m</t>
    </r>
    <r>
      <rPr>
        <sz val="11"/>
        <color theme="1"/>
        <rFont val="宋体"/>
        <charset val="134"/>
      </rPr>
      <t>，封缝料起皮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</si>
  <si>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1.5m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8.6m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0.4mm</t>
    </r>
    <r>
      <rPr>
        <sz val="11"/>
        <color theme="1"/>
        <rFont val="宋体"/>
        <charset val="134"/>
      </rPr>
      <t>，修补处局部起皮脱落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</si>
  <si>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2.5m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8.8m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0.8mm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</si>
  <si>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1m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6m</t>
    </r>
    <r>
      <rPr>
        <sz val="11"/>
        <color theme="1"/>
        <rFont val="宋体"/>
        <charset val="134"/>
      </rPr>
      <t>，封缝料起皮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</si>
  <si>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8m</t>
    </r>
    <r>
      <rPr>
        <sz val="11"/>
        <color theme="1"/>
        <rFont val="宋体"/>
        <charset val="134"/>
      </rPr>
      <t>，封缝料起皮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</si>
  <si>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4.5m</t>
    </r>
    <r>
      <rPr>
        <sz val="11"/>
        <color theme="1"/>
        <rFont val="宋体"/>
        <charset val="134"/>
      </rPr>
      <t>，网状裂缝，面积为</t>
    </r>
    <r>
      <rPr>
        <sz val="11"/>
        <color theme="1"/>
        <rFont val="Times New Roman"/>
        <charset val="134"/>
      </rPr>
      <t>1×1.2m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</si>
  <si>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Times New Roman"/>
        <charset val="134"/>
      </rPr>
      <t>82~84</t>
    </r>
    <r>
      <rPr>
        <sz val="11"/>
        <color theme="1"/>
        <rFont val="宋体"/>
        <charset val="134"/>
      </rPr>
      <t>号板，距</t>
    </r>
    <r>
      <rPr>
        <sz val="11"/>
        <color theme="1"/>
        <rFont val="Times New Roman"/>
        <charset val="134"/>
      </rPr>
      <t>82</t>
    </r>
    <r>
      <rPr>
        <sz val="11"/>
        <color theme="1"/>
        <rFont val="宋体"/>
        <charset val="134"/>
      </rPr>
      <t>号板板端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，施工缝渗水印迹，每板</t>
    </r>
    <r>
      <rPr>
        <sz val="11"/>
        <color theme="1"/>
        <rFont val="Times New Roman"/>
        <charset val="134"/>
      </rPr>
      <t>6.6m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，累计面积为</t>
    </r>
    <r>
      <rPr>
        <sz val="11"/>
        <color theme="1"/>
        <rFont val="Times New Roman"/>
        <charset val="134"/>
      </rPr>
      <t>19.8m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</si>
  <si>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82~84</t>
    </r>
    <r>
      <rPr>
        <sz val="11"/>
        <color theme="1"/>
        <rFont val="宋体"/>
        <charset val="134"/>
      </rPr>
      <t>号板，距</t>
    </r>
    <r>
      <rPr>
        <sz val="11"/>
        <color theme="1"/>
        <rFont val="Times New Roman"/>
        <charset val="134"/>
      </rPr>
      <t>82</t>
    </r>
    <r>
      <rPr>
        <sz val="11"/>
        <color theme="1"/>
        <rFont val="宋体"/>
        <charset val="134"/>
      </rPr>
      <t>号板板端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，施工缝渗水印迹，每板</t>
    </r>
    <r>
      <rPr>
        <sz val="11"/>
        <color theme="1"/>
        <rFont val="Times New Roman"/>
        <charset val="134"/>
      </rPr>
      <t>2.3m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，累计面积为</t>
    </r>
    <r>
      <rPr>
        <sz val="11"/>
        <color theme="1"/>
        <rFont val="Times New Roman"/>
        <charset val="134"/>
      </rPr>
      <t>6.9m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</si>
  <si>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，网状裂缝，面积为</t>
    </r>
    <r>
      <rPr>
        <sz val="11"/>
        <color theme="1"/>
        <rFont val="Times New Roman"/>
        <charset val="134"/>
      </rPr>
      <t>8×1.2m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，已修补</t>
    </r>
  </si>
  <si>
    <r>
      <rPr>
        <sz val="11"/>
        <rFont val="宋体"/>
        <charset val="134"/>
      </rPr>
      <t>网状裂缝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</si>
  <si>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4.5m</t>
    </r>
    <r>
      <rPr>
        <sz val="11"/>
        <rFont val="宋体"/>
        <charset val="134"/>
      </rPr>
      <t>，左拱腰网状裂缝，面积为</t>
    </r>
    <r>
      <rPr>
        <sz val="11"/>
        <rFont val="Times New Roman"/>
        <charset val="134"/>
      </rPr>
      <t>1×1.2m</t>
    </r>
    <r>
      <rPr>
        <vertAlign val="superscript"/>
        <sz val="11"/>
        <rFont val="Times New Roman"/>
        <charset val="134"/>
      </rPr>
      <t>2</t>
    </r>
    <r>
      <rPr>
        <sz val="1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</si>
  <si>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0.4m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4.0m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0.2mm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</si>
  <si>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0.80mm</t>
    </r>
    <r>
      <rPr>
        <sz val="11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</si>
  <si>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，左拱腰网状裂缝，面积为</t>
    </r>
    <r>
      <rPr>
        <sz val="11"/>
        <rFont val="Times New Roman"/>
        <charset val="134"/>
      </rPr>
      <t>8×1.2m</t>
    </r>
    <r>
      <rPr>
        <vertAlign val="superscript"/>
        <sz val="11"/>
        <rFont val="Times New Roman"/>
        <charset val="134"/>
      </rPr>
      <t>2</t>
    </r>
    <r>
      <rPr>
        <sz val="1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</si>
  <si>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0.5m</t>
    </r>
    <r>
      <rPr>
        <sz val="11"/>
        <color theme="1"/>
        <rFont val="宋体"/>
        <charset val="134"/>
      </rPr>
      <t>，左侧检修道盖板掉角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</si>
  <si>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，网状裂缝，面积为</t>
    </r>
    <r>
      <rPr>
        <sz val="11"/>
        <color theme="1"/>
        <rFont val="Times New Roman"/>
        <charset val="134"/>
      </rPr>
      <t>3×1.0m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</si>
  <si>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Times New Roman"/>
        <charset val="134"/>
      </rPr>
      <t>87~89</t>
    </r>
    <r>
      <rPr>
        <sz val="11"/>
        <color theme="1"/>
        <rFont val="宋体"/>
        <charset val="134"/>
      </rPr>
      <t>号板，距</t>
    </r>
    <r>
      <rPr>
        <sz val="11"/>
        <color theme="1"/>
        <rFont val="Times New Roman"/>
        <charset val="134"/>
      </rPr>
      <t>087</t>
    </r>
    <r>
      <rPr>
        <sz val="11"/>
        <color theme="1"/>
        <rFont val="宋体"/>
        <charset val="134"/>
      </rPr>
      <t>号板板端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，渗水印迹，每板</t>
    </r>
    <r>
      <rPr>
        <sz val="11"/>
        <color theme="1"/>
        <rFont val="Times New Roman"/>
        <charset val="134"/>
      </rPr>
      <t>5.3m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，累计面积为</t>
    </r>
    <r>
      <rPr>
        <sz val="11"/>
        <color theme="1"/>
        <rFont val="Times New Roman"/>
        <charset val="134"/>
      </rPr>
      <t>15.9m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</si>
  <si>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</t>
    </r>
    <r>
      <rPr>
        <sz val="11"/>
        <color theme="1"/>
        <rFont val="Times New Roman"/>
        <charset val="134"/>
      </rPr>
      <t>087</t>
    </r>
    <r>
      <rPr>
        <sz val="11"/>
        <color theme="1"/>
        <rFont val="宋体"/>
        <charset val="134"/>
      </rPr>
      <t>号板板端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，渗水印迹，每板</t>
    </r>
    <r>
      <rPr>
        <sz val="11"/>
        <color theme="1"/>
        <rFont val="Times New Roman"/>
        <charset val="134"/>
      </rPr>
      <t>4m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，累计面积为</t>
    </r>
    <r>
      <rPr>
        <sz val="11"/>
        <color theme="1"/>
        <rFont val="Times New Roman"/>
        <charset val="134"/>
      </rPr>
      <t>12m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</si>
  <si>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6m</t>
    </r>
    <r>
      <rPr>
        <sz val="11"/>
        <color theme="1"/>
        <rFont val="宋体"/>
        <charset val="134"/>
      </rPr>
      <t>，左侧检修道盖板掉角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</si>
  <si>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0.50mm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</si>
  <si>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Times New Roman"/>
        <charset val="134"/>
      </rPr>
      <t>95~97</t>
    </r>
    <r>
      <rPr>
        <sz val="11"/>
        <color theme="1"/>
        <rFont val="宋体"/>
        <charset val="134"/>
      </rPr>
      <t>号板，距</t>
    </r>
    <r>
      <rPr>
        <sz val="11"/>
        <color theme="1"/>
        <rFont val="Times New Roman"/>
        <charset val="134"/>
      </rPr>
      <t>95</t>
    </r>
    <r>
      <rPr>
        <sz val="11"/>
        <color theme="1"/>
        <rFont val="宋体"/>
        <charset val="134"/>
      </rPr>
      <t>号板板端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24m</t>
    </r>
    <r>
      <rPr>
        <sz val="11"/>
        <color theme="1"/>
        <rFont val="宋体"/>
        <charset val="134"/>
      </rPr>
      <t>，封缝料起皮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</si>
  <si>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7m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0.5m</t>
    </r>
    <r>
      <rPr>
        <sz val="11"/>
        <color theme="1"/>
        <rFont val="宋体"/>
        <charset val="134"/>
      </rPr>
      <t>，泌死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</si>
  <si>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，施工缝渗水印迹，面积为</t>
    </r>
    <r>
      <rPr>
        <sz val="11"/>
        <color theme="1"/>
        <rFont val="Times New Roman"/>
        <charset val="134"/>
      </rPr>
      <t>0.1×2m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</si>
  <si>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5.5m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1.2m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2.5m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0.2mm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</si>
  <si>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，左拱腰渗水碱蚀，面积为</t>
    </r>
    <r>
      <rPr>
        <sz val="11"/>
        <color theme="1"/>
        <rFont val="Times New Roman"/>
        <charset val="134"/>
      </rPr>
      <t>0.5×1m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</si>
  <si>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，左拱腰渗水碱蚀，面积为</t>
    </r>
    <r>
      <rPr>
        <sz val="11"/>
        <color theme="1"/>
        <rFont val="Times New Roman"/>
        <charset val="134"/>
      </rPr>
      <t>0.6×1m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</si>
  <si>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1.5m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0.70mm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</si>
  <si>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，拱顶防火涂层脱落，面积为</t>
    </r>
    <r>
      <rPr>
        <sz val="11"/>
        <rFont val="Times New Roman"/>
        <charset val="134"/>
      </rPr>
      <t>0.1m</t>
    </r>
    <r>
      <rPr>
        <vertAlign val="superscript"/>
        <sz val="1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</si>
  <si>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0.2m</t>
    </r>
    <r>
      <rPr>
        <sz val="11"/>
        <color theme="1"/>
        <rFont val="宋体"/>
        <charset val="134"/>
      </rPr>
      <t>，锈胀露筋，长度为</t>
    </r>
    <r>
      <rPr>
        <sz val="11"/>
        <color theme="1"/>
        <rFont val="Times New Roman"/>
        <charset val="134"/>
      </rPr>
      <t>1m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</si>
  <si>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，右拱腰防火涂层脱落，面积为</t>
    </r>
    <r>
      <rPr>
        <sz val="11"/>
        <rFont val="Times New Roman"/>
        <charset val="134"/>
      </rPr>
      <t>0.1×1.5m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</si>
  <si>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0.3×0.6m</t>
    </r>
    <r>
      <rPr>
        <vertAlign val="superscript"/>
        <sz val="11"/>
        <rFont val="Times New Roman"/>
        <charset val="134"/>
      </rPr>
      <t>2</t>
    </r>
  </si>
  <si>
    <r>
      <rPr>
        <sz val="11"/>
        <color rgb="FFFF0000"/>
        <rFont val="宋体"/>
        <charset val="134"/>
      </rPr>
      <t>距板端</t>
    </r>
    <r>
      <rPr>
        <sz val="11"/>
        <color rgb="FFFF0000"/>
        <rFont val="Times New Roman"/>
        <charset val="134"/>
      </rPr>
      <t>0m</t>
    </r>
    <r>
      <rPr>
        <sz val="11"/>
        <color rgb="FFFF0000"/>
        <rFont val="宋体"/>
        <charset val="134"/>
      </rPr>
      <t>，左侧墙斜向裂缝，长度为</t>
    </r>
    <r>
      <rPr>
        <sz val="11"/>
        <color rgb="FFFF0000"/>
        <rFont val="Times New Roman"/>
        <charset val="134"/>
      </rPr>
      <t>5.0m</t>
    </r>
    <r>
      <rPr>
        <sz val="11"/>
        <color rgb="FFFF0000"/>
        <rFont val="宋体"/>
        <charset val="134"/>
      </rPr>
      <t>，宽度为</t>
    </r>
    <r>
      <rPr>
        <sz val="11"/>
        <color rgb="FFFF0000"/>
        <rFont val="Times New Roman"/>
        <charset val="134"/>
      </rPr>
      <t xml:space="preserve"> 0.10mm</t>
    </r>
  </si>
  <si>
    <t>右侧墙消防指示标志失效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</si>
  <si>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7m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0.30mm</t>
    </r>
    <r>
      <rPr>
        <sz val="11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</si>
  <si>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8m</t>
    </r>
    <r>
      <rPr>
        <sz val="11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</si>
  <si>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0.1×4m</t>
    </r>
    <r>
      <rPr>
        <vertAlign val="superscript"/>
        <sz val="1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</si>
  <si>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，左侧检修道盖板掉角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</si>
  <si>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0.6m</t>
    </r>
    <r>
      <rPr>
        <vertAlign val="superscript"/>
        <sz val="1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</si>
  <si>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，左侧检修道盖板陷落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</si>
  <si>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0.1×0.5m</t>
    </r>
    <r>
      <rPr>
        <vertAlign val="superscript"/>
        <sz val="11"/>
        <rFont val="Times New Roman"/>
        <charset val="134"/>
      </rPr>
      <t>2</t>
    </r>
  </si>
  <si>
    <r>
      <rPr>
        <sz val="11"/>
        <color theme="1"/>
        <rFont val="宋体"/>
        <charset val="134"/>
      </rPr>
      <t>右拱腰右边墙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</si>
  <si>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，施工缝渗水碱蚀，面积为</t>
    </r>
    <r>
      <rPr>
        <sz val="11"/>
        <color theme="1"/>
        <rFont val="Times New Roman"/>
        <charset val="134"/>
      </rPr>
      <t>3.2×0.2m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</si>
  <si>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8m</t>
    </r>
    <r>
      <rPr>
        <sz val="11"/>
        <color theme="1"/>
        <rFont val="宋体"/>
        <charset val="134"/>
      </rPr>
      <t>，环向裂缝，长度为</t>
    </r>
    <r>
      <rPr>
        <sz val="11"/>
        <color theme="1"/>
        <rFont val="Times New Roman"/>
        <charset val="134"/>
      </rPr>
      <t>0.5m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0.4mm</t>
    </r>
    <r>
      <rPr>
        <sz val="11"/>
        <color theme="1"/>
        <rFont val="宋体"/>
        <charset val="134"/>
      </rPr>
      <t>，修补后破损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</si>
  <si>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，右拱腰防火涂层脱落，面积为</t>
    </r>
    <r>
      <rPr>
        <sz val="11"/>
        <rFont val="Times New Roman"/>
        <charset val="134"/>
      </rPr>
      <t>0.1×2m</t>
    </r>
    <r>
      <rPr>
        <vertAlign val="superscript"/>
        <sz val="1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</si>
  <si>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，施工缝渗水，面积为</t>
    </r>
    <r>
      <rPr>
        <sz val="11"/>
        <color theme="1"/>
        <rFont val="Times New Roman"/>
        <charset val="134"/>
      </rPr>
      <t>2.5×0.3m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</si>
  <si>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rgb="FFFF0000"/>
        <rFont val="宋体"/>
        <charset val="134"/>
      </rPr>
      <t>距板端</t>
    </r>
    <r>
      <rPr>
        <sz val="11"/>
        <color rgb="FFFF0000"/>
        <rFont val="Times New Roman"/>
        <charset val="134"/>
      </rPr>
      <t>0m</t>
    </r>
    <r>
      <rPr>
        <sz val="11"/>
        <color rgb="FFFF0000"/>
        <rFont val="宋体"/>
        <charset val="134"/>
      </rPr>
      <t>，右边墙施工缝处渗水印迹，面积为</t>
    </r>
    <r>
      <rPr>
        <sz val="11"/>
        <color rgb="FFFF0000"/>
        <rFont val="Times New Roman"/>
        <charset val="134"/>
      </rPr>
      <t>0.5×1m</t>
    </r>
    <r>
      <rPr>
        <vertAlign val="superscript"/>
        <sz val="11"/>
        <color rgb="FFFF0000"/>
        <rFont val="Times New Roman"/>
        <charset val="134"/>
      </rPr>
      <t>2</t>
    </r>
  </si>
  <si>
    <r>
      <rPr>
        <sz val="11"/>
        <rFont val="宋体"/>
        <charset val="134"/>
      </rPr>
      <t>左拱腰、右拱腰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</si>
  <si>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，左拱腰、右拱腰防火涂层脱落，面积为</t>
    </r>
    <r>
      <rPr>
        <sz val="11"/>
        <rFont val="Times New Roman"/>
        <charset val="134"/>
      </rPr>
      <t>0.2m</t>
    </r>
    <r>
      <rPr>
        <vertAlign val="superscript"/>
        <sz val="11"/>
        <rFont val="Times New Roman"/>
        <charset val="134"/>
      </rPr>
      <t>2</t>
    </r>
  </si>
  <si>
    <t>电缆沟积水</t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</si>
  <si>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，右侧电缆沟积水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</si>
  <si>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，距拱顶中心线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，纵向裂缝，长度为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0.30mm</t>
    </r>
    <r>
      <rPr>
        <sz val="11"/>
        <color theme="1"/>
        <rFont val="宋体"/>
        <charset val="134"/>
      </rPr>
      <t>，开裂伴有浸渗，已修补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</si>
  <si>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0.1×0.3m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</si>
  <si>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4m</t>
    </r>
    <r>
      <rPr>
        <sz val="11"/>
        <rFont val="宋体"/>
        <charset val="134"/>
      </rPr>
      <t>，右拱腰防火涂层脱落，面积为</t>
    </r>
    <r>
      <rPr>
        <sz val="11"/>
        <rFont val="Times New Roman"/>
        <charset val="134"/>
      </rPr>
      <t>0.1×0.2m</t>
    </r>
    <r>
      <rPr>
        <vertAlign val="superscript"/>
        <sz val="11"/>
        <rFont val="Times New Roman"/>
        <charset val="134"/>
      </rPr>
      <t>2</t>
    </r>
  </si>
  <si>
    <t>101~110</t>
  </si>
  <si>
    <t>111~121</t>
  </si>
  <si>
    <t>81~90</t>
  </si>
  <si>
    <t>91~100</t>
  </si>
  <si>
    <r>
      <rPr>
        <sz val="11"/>
        <color theme="1"/>
        <rFont val="宋体"/>
        <charset val="134"/>
      </rPr>
      <t>出口</t>
    </r>
  </si>
  <si>
    <r>
      <rPr>
        <sz val="10.5"/>
        <color theme="1"/>
        <rFont val="宋体"/>
        <charset val="134"/>
      </rPr>
      <t>出洞口右侧挡土墙渗水印迹，面积为</t>
    </r>
    <r>
      <rPr>
        <sz val="10.5"/>
        <color theme="1"/>
        <rFont val="Times New Roman"/>
        <charset val="134"/>
      </rPr>
      <t>10m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</si>
  <si>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出洞口洞门两侧渗水印迹，总计面积为</t>
    </r>
    <r>
      <rPr>
        <sz val="10.5"/>
        <color theme="1"/>
        <rFont val="Times New Roman"/>
        <charset val="134"/>
      </rPr>
      <t>15m</t>
    </r>
    <r>
      <rPr>
        <vertAlign val="superscript"/>
        <sz val="10.5"/>
        <color theme="1"/>
        <rFont val="Times New Roman"/>
        <charset val="134"/>
      </rPr>
      <t>2</t>
    </r>
  </si>
  <si>
    <t>竖向裂缝</t>
  </si>
  <si>
    <r>
      <rPr>
        <sz val="11"/>
        <color theme="1"/>
        <rFont val="宋体"/>
        <charset val="134"/>
      </rPr>
      <t>出洞口洞门，超车道上方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条竖向裂缝，长度为</t>
    </r>
    <r>
      <rPr>
        <sz val="11"/>
        <color theme="1"/>
        <rFont val="Times New Roman"/>
        <charset val="134"/>
      </rPr>
      <t>2.0m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4.0mm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</si>
  <si>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2.0m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</si>
  <si>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，左侧排水边沟淤积、堵塞，长度约</t>
    </r>
    <r>
      <rPr>
        <sz val="11"/>
        <color theme="1"/>
        <rFont val="Times New Roman"/>
        <charset val="134"/>
      </rPr>
      <t>8.0m</t>
    </r>
  </si>
  <si>
    <r>
      <rPr>
        <sz val="10.5"/>
        <color theme="1"/>
        <rFont val="宋体"/>
        <charset val="134"/>
      </rPr>
      <t>纵向裂缝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</si>
  <si>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0.65mm</t>
    </r>
    <r>
      <rPr>
        <sz val="10.5"/>
        <color theme="1"/>
        <rFont val="宋体"/>
        <charset val="134"/>
      </rPr>
      <t>，修后破损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</si>
  <si>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，左侧排水边沟淤积、堵塞，长度约</t>
    </r>
    <r>
      <rPr>
        <sz val="11"/>
        <color theme="1"/>
        <rFont val="Times New Roman"/>
        <charset val="134"/>
      </rPr>
      <t>10.0m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</si>
  <si>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，右拱腰防火涂层脱落，面积为</t>
    </r>
    <r>
      <rPr>
        <sz val="11"/>
        <rFont val="Times New Roman"/>
        <charset val="134"/>
      </rPr>
      <t>1m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</si>
  <si>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，拱顶防火涂层脱落，面积为</t>
    </r>
    <r>
      <rPr>
        <sz val="11"/>
        <rFont val="Times New Roman"/>
        <charset val="134"/>
      </rPr>
      <t>0.5×0.5m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</si>
  <si>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6m</t>
    </r>
    <r>
      <rPr>
        <sz val="11"/>
        <rFont val="宋体"/>
        <charset val="134"/>
      </rPr>
      <t>，拱顶防火涂层脱落，面积为</t>
    </r>
    <r>
      <rPr>
        <sz val="11"/>
        <rFont val="Times New Roman"/>
        <charset val="134"/>
      </rPr>
      <t>0.4×0.4m</t>
    </r>
    <r>
      <rPr>
        <vertAlign val="superscript"/>
        <sz val="11"/>
        <rFont val="Times New Roman"/>
        <charset val="134"/>
      </rPr>
      <t>2</t>
    </r>
  </si>
  <si>
    <r>
      <rPr>
        <sz val="10.5"/>
        <color rgb="FFFF0000"/>
        <rFont val="宋体"/>
        <charset val="134"/>
      </rPr>
      <t>距板端</t>
    </r>
    <r>
      <rPr>
        <sz val="10.5"/>
        <color rgb="FFFF0000"/>
        <rFont val="Times New Roman"/>
        <charset val="134"/>
      </rPr>
      <t>5m</t>
    </r>
    <r>
      <rPr>
        <sz val="10.5"/>
        <color rgb="FFFF0000"/>
        <rFont val="宋体"/>
        <charset val="134"/>
      </rPr>
      <t>，纵向裂缝，长度为</t>
    </r>
    <r>
      <rPr>
        <sz val="10.5"/>
        <color rgb="FFFF0000"/>
        <rFont val="Times New Roman"/>
        <charset val="134"/>
      </rPr>
      <t>4m</t>
    </r>
    <r>
      <rPr>
        <sz val="10.5"/>
        <color rgb="FFFF0000"/>
        <rFont val="宋体"/>
        <charset val="134"/>
      </rPr>
      <t>，宽度为</t>
    </r>
    <r>
      <rPr>
        <sz val="10.5"/>
        <color rgb="FFFF0000"/>
        <rFont val="Times New Roman"/>
        <charset val="134"/>
      </rPr>
      <t>0.80mm</t>
    </r>
    <r>
      <rPr>
        <sz val="10.5"/>
        <color rgb="FFFF0000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</si>
  <si>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，右拱腰防火涂层脱落，面积为</t>
    </r>
    <r>
      <rPr>
        <sz val="11"/>
        <rFont val="Times New Roman"/>
        <charset val="134"/>
      </rPr>
      <t>0.5×0.6m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</si>
  <si>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4m</t>
    </r>
    <r>
      <rPr>
        <sz val="11"/>
        <rFont val="宋体"/>
        <charset val="134"/>
      </rPr>
      <t>，左检检修道盖板陷落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</si>
  <si>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0.5"/>
        <color rgb="FFFF0000"/>
        <rFont val="宋体"/>
        <charset val="134"/>
      </rPr>
      <t>距板端</t>
    </r>
    <r>
      <rPr>
        <sz val="10.5"/>
        <color rgb="FFFF0000"/>
        <rFont val="Times New Roman"/>
        <charset val="134"/>
      </rPr>
      <t>2m</t>
    </r>
    <r>
      <rPr>
        <sz val="10.5"/>
        <color rgb="FFFF0000"/>
        <rFont val="宋体"/>
        <charset val="134"/>
      </rPr>
      <t>，拱顶</t>
    </r>
    <r>
      <rPr>
        <sz val="10.5"/>
        <color rgb="FFFF0000"/>
        <rFont val="Times New Roman"/>
        <charset val="134"/>
      </rPr>
      <t>3</t>
    </r>
    <r>
      <rPr>
        <sz val="10.5"/>
        <color rgb="FFFF0000"/>
        <rFont val="宋体"/>
        <charset val="134"/>
      </rPr>
      <t>处锈胀露筋，总长度为</t>
    </r>
    <r>
      <rPr>
        <sz val="10.5"/>
        <color rgb="FFFF0000"/>
        <rFont val="Times New Roman"/>
        <charset val="134"/>
      </rPr>
      <t>0.8m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</si>
  <si>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0.05×1m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</si>
  <si>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</si>
  <si>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0.70mm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</si>
  <si>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3m</t>
    </r>
    <r>
      <rPr>
        <sz val="11"/>
        <rFont val="宋体"/>
        <charset val="134"/>
      </rPr>
      <t>，左侧墙公里桩标志侵限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</si>
  <si>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，斜向裂缝，开裂伴有浸渗，长度为</t>
    </r>
    <r>
      <rPr>
        <sz val="10.5"/>
        <color theme="1"/>
        <rFont val="Times New Roman"/>
        <charset val="134"/>
      </rPr>
      <t>8.6m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0.70mm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</si>
  <si>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  <r>
      <rPr>
        <sz val="10.5"/>
        <color theme="1"/>
        <rFont val="宋体"/>
        <charset val="134"/>
      </rPr>
      <t>，修后破损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</si>
  <si>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，斜向裂缝，长度为</t>
    </r>
    <r>
      <rPr>
        <sz val="10.5"/>
        <color theme="1"/>
        <rFont val="Times New Roman"/>
        <charset val="134"/>
      </rPr>
      <t>1.2m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</si>
  <si>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5m</t>
    </r>
    <r>
      <rPr>
        <sz val="11"/>
        <rFont val="宋体"/>
        <charset val="134"/>
      </rPr>
      <t>，左检检修道盖板陷落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</si>
  <si>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，纵向裂缝，修补后开裂，长度为</t>
    </r>
    <r>
      <rPr>
        <sz val="10.5"/>
        <color theme="1"/>
        <rFont val="Times New Roman"/>
        <charset val="134"/>
      </rPr>
      <t>8.7m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0.70mm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</si>
  <si>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</si>
  <si>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rgb="FFFF0000"/>
        <rFont val="宋体"/>
        <charset val="134"/>
      </rPr>
      <t>距板端</t>
    </r>
    <r>
      <rPr>
        <sz val="10.5"/>
        <color rgb="FFFF0000"/>
        <rFont val="Times New Roman"/>
        <charset val="134"/>
      </rPr>
      <t>0m</t>
    </r>
    <r>
      <rPr>
        <sz val="10.5"/>
        <color rgb="FFFF0000"/>
        <rFont val="宋体"/>
        <charset val="134"/>
      </rPr>
      <t>，纵向裂缝，长度为</t>
    </r>
    <r>
      <rPr>
        <sz val="10.5"/>
        <color rgb="FFFF0000"/>
        <rFont val="Times New Roman"/>
        <charset val="134"/>
      </rPr>
      <t>4.5m</t>
    </r>
    <r>
      <rPr>
        <sz val="10.5"/>
        <color rgb="FFFF0000"/>
        <rFont val="宋体"/>
        <charset val="134"/>
      </rPr>
      <t>，宽度为</t>
    </r>
    <r>
      <rPr>
        <sz val="10.5"/>
        <color rgb="FFFF0000"/>
        <rFont val="Times New Roman"/>
        <charset val="134"/>
      </rPr>
      <t>0.40mm</t>
    </r>
    <r>
      <rPr>
        <sz val="10.5"/>
        <color rgb="FFFF0000"/>
        <rFont val="宋体"/>
        <charset val="134"/>
      </rPr>
      <t>，修补后局部起皮脱落</t>
    </r>
  </si>
  <si>
    <r>
      <rPr>
        <sz val="10.5"/>
        <color rgb="FFFF0000"/>
        <rFont val="宋体"/>
        <charset val="134"/>
      </rPr>
      <t>距板端</t>
    </r>
    <r>
      <rPr>
        <sz val="10.5"/>
        <color rgb="FFFF0000"/>
        <rFont val="Times New Roman"/>
        <charset val="134"/>
      </rPr>
      <t>0m</t>
    </r>
    <r>
      <rPr>
        <sz val="10.5"/>
        <color rgb="FFFF0000"/>
        <rFont val="宋体"/>
        <charset val="134"/>
      </rPr>
      <t>，纵向裂缝，长度为</t>
    </r>
    <r>
      <rPr>
        <sz val="10.5"/>
        <color rgb="FFFF0000"/>
        <rFont val="Times New Roman"/>
        <charset val="134"/>
      </rPr>
      <t>7m</t>
    </r>
    <r>
      <rPr>
        <sz val="10.5"/>
        <color rgb="FFFF0000"/>
        <rFont val="宋体"/>
        <charset val="134"/>
      </rPr>
      <t>，宽度为</t>
    </r>
    <r>
      <rPr>
        <sz val="10.5"/>
        <color rgb="FFFF0000"/>
        <rFont val="Times New Roman"/>
        <charset val="134"/>
      </rPr>
      <t>0.40mm</t>
    </r>
    <r>
      <rPr>
        <sz val="10.5"/>
        <color rgb="FFFF0000"/>
        <rFont val="宋体"/>
        <charset val="134"/>
      </rPr>
      <t>，修补后局部起皮脱落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</si>
  <si>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0.45mm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</si>
  <si>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3m</t>
    </r>
    <r>
      <rPr>
        <sz val="11"/>
        <rFont val="宋体"/>
        <charset val="134"/>
      </rPr>
      <t>，左检检修道盖板陷落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</si>
  <si>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0.55mm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</si>
  <si>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，纵向裂缝，开裂伴有渗水印迹，长度为</t>
    </r>
    <r>
      <rPr>
        <sz val="10.5"/>
        <color theme="1"/>
        <rFont val="Times New Roman"/>
        <charset val="134"/>
      </rPr>
      <t>8.7m</t>
    </r>
    <r>
      <rPr>
        <sz val="10.5"/>
        <color theme="1"/>
        <rFont val="宋体"/>
        <charset val="134"/>
      </rPr>
      <t>，</t>
    </r>
    <r>
      <rPr>
        <sz val="10.5"/>
        <color rgb="FFFF0000"/>
        <rFont val="宋体"/>
        <charset val="134"/>
      </rPr>
      <t>修补处局部起皮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</si>
  <si>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，左侧墙环向裂缝，长度为</t>
    </r>
    <r>
      <rPr>
        <sz val="10.5"/>
        <color theme="1"/>
        <rFont val="Times New Roman"/>
        <charset val="134"/>
      </rPr>
      <t>3.0m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0.10mm</t>
    </r>
  </si>
  <si>
    <r>
      <rPr>
        <sz val="10.5"/>
        <color theme="1"/>
        <rFont val="宋体"/>
        <charset val="134"/>
      </rPr>
      <t>环向裂缝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</si>
  <si>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0.3m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</si>
  <si>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，露筋，长度为</t>
    </r>
    <r>
      <rPr>
        <sz val="10.5"/>
        <color theme="1"/>
        <rFont val="Times New Roman"/>
        <charset val="134"/>
      </rPr>
      <t>0.2m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</si>
  <si>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，纵向裂缝，修补后开裂，长度为</t>
    </r>
    <r>
      <rPr>
        <sz val="10.5"/>
        <color theme="1"/>
        <rFont val="Times New Roman"/>
        <charset val="134"/>
      </rPr>
      <t>8.7m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，修后破损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</si>
  <si>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，纵向裂缝，修补后开裂，长度为</t>
    </r>
    <r>
      <rPr>
        <sz val="10.5"/>
        <color theme="1"/>
        <rFont val="Times New Roman"/>
        <charset val="134"/>
      </rPr>
      <t>7.2m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</si>
  <si>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0.2m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</si>
  <si>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3.5m</t>
    </r>
    <r>
      <rPr>
        <sz val="11"/>
        <color theme="1"/>
        <rFont val="宋体"/>
        <charset val="134"/>
      </rPr>
      <t>，行车道路面横向裂缝，长度为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1mm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</si>
  <si>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，右侧墙瓷砖脱落，面积为</t>
    </r>
    <r>
      <rPr>
        <sz val="11"/>
        <rFont val="Times New Roman"/>
        <charset val="134"/>
      </rPr>
      <t xml:space="preserve"> 0.4×4.5m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</si>
  <si>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028</t>
    </r>
    <r>
      <rPr>
        <sz val="10.5"/>
        <color theme="1"/>
        <rFont val="宋体"/>
        <charset val="134"/>
      </rPr>
      <t>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17.3m</t>
    </r>
    <r>
      <rPr>
        <sz val="10.5"/>
        <color theme="1"/>
        <rFont val="宋体"/>
        <charset val="134"/>
      </rPr>
      <t>，封缝料起皮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</si>
  <si>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，左侧排水边沟结构破损，长度约</t>
    </r>
    <r>
      <rPr>
        <sz val="11"/>
        <color theme="1"/>
        <rFont val="Times New Roman"/>
        <charset val="134"/>
      </rPr>
      <t>2.0m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</si>
  <si>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8.6mm</t>
    </r>
    <r>
      <rPr>
        <sz val="10.5"/>
        <color theme="1"/>
        <rFont val="宋体"/>
        <charset val="134"/>
      </rPr>
      <t>，封缝料起皮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</si>
  <si>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，右拱腰防火涂层脱落，面积为</t>
    </r>
    <r>
      <rPr>
        <sz val="11"/>
        <rFont val="Times New Roman"/>
        <charset val="134"/>
      </rPr>
      <t>0.2m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</si>
  <si>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，纵向裂缝，修补后开裂，长度为</t>
    </r>
    <r>
      <rPr>
        <sz val="10.5"/>
        <color theme="1"/>
        <rFont val="Times New Roman"/>
        <charset val="134"/>
      </rPr>
      <t>8.8m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</si>
  <si>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8.8m</t>
    </r>
    <r>
      <rPr>
        <sz val="10.5"/>
        <color theme="1"/>
        <rFont val="宋体"/>
        <charset val="134"/>
      </rPr>
      <t>，修补处局部起皮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</si>
  <si>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</si>
  <si>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，纵向裂缝，修补后开裂，长度为</t>
    </r>
    <r>
      <rPr>
        <sz val="10.5"/>
        <color theme="1"/>
        <rFont val="Times New Roman"/>
        <charset val="134"/>
      </rPr>
      <t>8.5m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</si>
  <si>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037</t>
    </r>
    <r>
      <rPr>
        <sz val="10.5"/>
        <color theme="1"/>
        <rFont val="宋体"/>
        <charset val="134"/>
      </rPr>
      <t>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34.5m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</si>
  <si>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，纵向裂缝修补后局部起皮脱落，长度为</t>
    </r>
    <r>
      <rPr>
        <sz val="10.5"/>
        <color theme="1"/>
        <rFont val="Times New Roman"/>
        <charset val="134"/>
      </rPr>
      <t>4m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</si>
  <si>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，左检检修道盖板陷落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</si>
  <si>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0.3m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</si>
  <si>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0.5m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5.5m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</si>
  <si>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</si>
  <si>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，纵向裂缝，开裂伴有渗水印迹渗，长度为</t>
    </r>
    <r>
      <rPr>
        <sz val="10.5"/>
        <color theme="1"/>
        <rFont val="Times New Roman"/>
        <charset val="134"/>
      </rPr>
      <t>16m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</si>
  <si>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0.4m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</si>
  <si>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0.2×3m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</si>
  <si>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046</t>
    </r>
    <r>
      <rPr>
        <sz val="10.5"/>
        <color theme="1"/>
        <rFont val="宋体"/>
        <charset val="134"/>
      </rPr>
      <t>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56m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</si>
  <si>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2.2m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处渗水印迹，面积为</t>
    </r>
    <r>
      <rPr>
        <sz val="10.5"/>
        <color theme="1"/>
        <rFont val="Times New Roman"/>
        <charset val="134"/>
      </rPr>
      <t>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</si>
  <si>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8.7m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</si>
  <si>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8.5m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</si>
  <si>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</si>
  <si>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8.6m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</si>
  <si>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</si>
  <si>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6.6m</t>
    </r>
    <r>
      <rPr>
        <sz val="10.5"/>
        <color theme="1"/>
        <rFont val="宋体"/>
        <charset val="134"/>
      </rPr>
      <t>，修补处局部起皮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</si>
  <si>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062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16m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</si>
  <si>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，路缘排水沟结构破损，长度约</t>
    </r>
    <r>
      <rPr>
        <sz val="11"/>
        <color theme="1"/>
        <rFont val="Times New Roman"/>
        <charset val="134"/>
      </rPr>
      <t>0.5m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</si>
  <si>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</si>
  <si>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</si>
  <si>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4.6m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</si>
  <si>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  <r>
      <rPr>
        <sz val="10.5"/>
        <color theme="1"/>
        <rFont val="宋体"/>
        <charset val="134"/>
      </rPr>
      <t>，修后破损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</si>
  <si>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3.5m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</si>
  <si>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  <r>
      <rPr>
        <sz val="10.5"/>
        <color theme="1"/>
        <rFont val="宋体"/>
        <charset val="134"/>
      </rPr>
      <t>，修后破损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</si>
  <si>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0.1m</t>
    </r>
    <r>
      <rPr>
        <vertAlign val="superscript"/>
        <sz val="1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</si>
  <si>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，路缘排水沟结构破损，长度约</t>
    </r>
    <r>
      <rPr>
        <sz val="11"/>
        <color theme="1"/>
        <rFont val="Times New Roman"/>
        <charset val="134"/>
      </rPr>
      <t>0.5m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</si>
  <si>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2×0.3m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</si>
  <si>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1×1m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</si>
  <si>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3×0.3m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</si>
  <si>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8m</t>
    </r>
    <r>
      <rPr>
        <sz val="11"/>
        <color theme="1"/>
        <rFont val="宋体"/>
        <charset val="134"/>
      </rPr>
      <t>，左侧沉砂井滤水篦子缺失</t>
    </r>
  </si>
  <si>
    <r>
      <rPr>
        <sz val="11"/>
        <rFont val="宋体"/>
        <charset val="134"/>
      </rPr>
      <t>渗漏水</t>
    </r>
  </si>
  <si>
    <r>
      <rPr>
        <sz val="11"/>
        <rFont val="宋体"/>
        <charset val="134"/>
      </rPr>
      <t>入洞口洞门两侧端墙渗漏水，渗水面积约</t>
    </r>
    <r>
      <rPr>
        <sz val="11"/>
        <rFont val="Times New Roman"/>
        <charset val="134"/>
      </rPr>
      <t>15m</t>
    </r>
    <r>
      <rPr>
        <vertAlign val="superscript"/>
        <sz val="11"/>
        <rFont val="Times New Roman"/>
        <charset val="134"/>
      </rPr>
      <t>2</t>
    </r>
  </si>
  <si>
    <t>洞口</t>
  </si>
  <si>
    <t>入洞口</t>
  </si>
  <si>
    <t>截水沟破损</t>
  </si>
  <si>
    <r>
      <rPr>
        <sz val="11"/>
        <rFont val="宋体"/>
        <charset val="134"/>
      </rPr>
      <t>入洞口端洞顶截水沟沟底水泥抹面隆起破损，长度约</t>
    </r>
    <r>
      <rPr>
        <sz val="11"/>
        <rFont val="Times New Roman"/>
        <charset val="134"/>
      </rPr>
      <t>8m</t>
    </r>
  </si>
  <si>
    <r>
      <rPr>
        <sz val="11"/>
        <rFont val="宋体"/>
        <charset val="134"/>
      </rPr>
      <t>入洞口端洞顶仰坡喷射混凝土破损，面积约4</t>
    </r>
    <r>
      <rPr>
        <sz val="11"/>
        <rFont val="Times New Roman"/>
        <charset val="134"/>
      </rPr>
      <t>m</t>
    </r>
    <r>
      <rPr>
        <vertAlign val="superscript"/>
        <sz val="11"/>
        <rFont val="Times New Roman"/>
        <charset val="134"/>
      </rPr>
      <t>2</t>
    </r>
    <r>
      <rPr>
        <sz val="11"/>
        <rFont val="宋体"/>
        <charset val="134"/>
      </rPr>
      <t>，存在土石滑落迹象</t>
    </r>
  </si>
  <si>
    <r>
      <rPr>
        <sz val="11"/>
        <color theme="1"/>
        <rFont val="宋体"/>
        <charset val="134"/>
      </rPr>
      <t>入洞口</t>
    </r>
  </si>
  <si>
    <r>
      <rPr>
        <sz val="10.5"/>
        <color theme="1"/>
        <rFont val="宋体"/>
        <charset val="134"/>
      </rPr>
      <t>滑坡</t>
    </r>
  </si>
  <si>
    <r>
      <rPr>
        <sz val="10.5"/>
        <color theme="1"/>
        <rFont val="宋体"/>
        <charset val="134"/>
      </rPr>
      <t>入洞口左侧山体土石滑落，面积约</t>
    </r>
    <r>
      <rPr>
        <sz val="10.5"/>
        <color theme="1"/>
        <rFont val="Times New Roman"/>
        <charset val="134"/>
      </rPr>
      <t>20m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</si>
  <si>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出洞口</t>
    </r>
  </si>
  <si>
    <r>
      <rPr>
        <sz val="10.5"/>
        <color theme="1"/>
        <rFont val="宋体"/>
        <charset val="134"/>
      </rPr>
      <t>出洞口右侧山体土石滑落，面积约</t>
    </r>
    <r>
      <rPr>
        <sz val="10.5"/>
        <color theme="1"/>
        <rFont val="Times New Roman"/>
        <charset val="134"/>
      </rPr>
      <t>40m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</si>
  <si>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开裂</t>
    </r>
  </si>
  <si>
    <r>
      <rPr>
        <sz val="10.5"/>
        <color theme="1"/>
        <rFont val="宋体"/>
        <charset val="134"/>
      </rPr>
      <t>入洞口洞门右侧竖向裂缝，长为</t>
    </r>
    <r>
      <rPr>
        <sz val="10.5"/>
        <color theme="1"/>
        <rFont val="Times New Roman"/>
        <charset val="134"/>
      </rPr>
      <t>4.5m</t>
    </r>
    <r>
      <rPr>
        <sz val="10.5"/>
        <color theme="1"/>
        <rFont val="宋体"/>
        <charset val="134"/>
      </rPr>
      <t>，宽为</t>
    </r>
    <r>
      <rPr>
        <sz val="10.5"/>
        <color theme="1"/>
        <rFont val="Times New Roman"/>
        <charset val="134"/>
      </rPr>
      <t>10mm</t>
    </r>
  </si>
  <si>
    <r>
      <rPr>
        <sz val="11"/>
        <color rgb="FF000000"/>
        <rFont val="宋体"/>
        <charset val="134"/>
      </rPr>
      <t>结构破损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</si>
  <si>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，右侧路缘排水沟结构破损，长度为</t>
    </r>
    <r>
      <rPr>
        <sz val="11"/>
        <color theme="1"/>
        <rFont val="Times New Roman"/>
        <charset val="134"/>
      </rPr>
      <t>5.0m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</si>
  <si>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0.45mm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</si>
  <si>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3.5m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</si>
  <si>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5.5m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</si>
  <si>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0.3×4m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</si>
  <si>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</si>
  <si>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</si>
  <si>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</si>
  <si>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0.70mm</t>
    </r>
    <r>
      <rPr>
        <sz val="10.5"/>
        <color theme="1"/>
        <rFont val="宋体"/>
        <charset val="134"/>
      </rPr>
      <t>，已修补</t>
    </r>
  </si>
  <si>
    <t>轻微淤积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</si>
  <si>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，右侧路缘排水沟轻微淤积，长度为</t>
    </r>
    <r>
      <rPr>
        <sz val="11"/>
        <color theme="1"/>
        <rFont val="Times New Roman"/>
        <charset val="134"/>
      </rPr>
      <t>18.0m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</si>
  <si>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8.9m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</si>
  <si>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5m</t>
    </r>
    <r>
      <rPr>
        <sz val="11"/>
        <rFont val="宋体"/>
        <charset val="134"/>
      </rPr>
      <t>，左侧墙环向裂缝，长度为</t>
    </r>
    <r>
      <rPr>
        <sz val="11"/>
        <rFont val="Times New Roman"/>
        <charset val="134"/>
      </rPr>
      <t>2.2m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 0.25mm</t>
    </r>
    <r>
      <rPr>
        <sz val="11"/>
        <rFont val="宋体"/>
        <charset val="134"/>
      </rPr>
      <t>，封缝料起皮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</si>
  <si>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4.5m</t>
    </r>
    <r>
      <rPr>
        <sz val="11"/>
        <rFont val="宋体"/>
        <charset val="134"/>
      </rPr>
      <t>，右侧墙瓷砖破损，面积为</t>
    </r>
    <r>
      <rPr>
        <sz val="11"/>
        <rFont val="Times New Roman"/>
        <charset val="134"/>
      </rPr>
      <t>0.03m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</si>
  <si>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5m</t>
    </r>
    <r>
      <rPr>
        <sz val="11"/>
        <rFont val="宋体"/>
        <charset val="134"/>
      </rPr>
      <t>，左拱腰环向裂缝，长度为</t>
    </r>
    <r>
      <rPr>
        <sz val="11"/>
        <rFont val="Times New Roman"/>
        <charset val="134"/>
      </rPr>
      <t>1.0m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>0.25mm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</si>
  <si>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0.24mm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</si>
  <si>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7.9m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</si>
  <si>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3.5m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，封缝料起皮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</si>
  <si>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7m</t>
    </r>
    <r>
      <rPr>
        <sz val="11"/>
        <color theme="1"/>
        <rFont val="宋体"/>
        <charset val="134"/>
      </rPr>
      <t>，右侧路缘排水沟结构破损，长度为</t>
    </r>
    <r>
      <rPr>
        <sz val="11"/>
        <color theme="1"/>
        <rFont val="Times New Roman"/>
        <charset val="134"/>
      </rPr>
      <t>0.5m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</si>
  <si>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0.2m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0.5m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</si>
  <si>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017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17.9m</t>
    </r>
    <r>
      <rPr>
        <sz val="10.5"/>
        <color theme="1"/>
        <rFont val="宋体"/>
        <charset val="134"/>
      </rPr>
      <t>，封缝料起皮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</si>
  <si>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6.5m</t>
    </r>
    <r>
      <rPr>
        <sz val="11"/>
        <color theme="1"/>
        <rFont val="宋体"/>
        <charset val="134"/>
      </rPr>
      <t>，右侧横向裂缝，长度为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3mm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</si>
  <si>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0.1×5m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</si>
  <si>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8m</t>
    </r>
    <r>
      <rPr>
        <sz val="11"/>
        <rFont val="宋体"/>
        <charset val="134"/>
      </rPr>
      <t>，左侧墙瓷砖脱落，面积为</t>
    </r>
    <r>
      <rPr>
        <sz val="11"/>
        <rFont val="Times New Roman"/>
        <charset val="134"/>
      </rPr>
      <t>0.1×0.3×1m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</si>
  <si>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</si>
  <si>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</t>
    </r>
    <r>
      <rPr>
        <sz val="10.5"/>
        <color rgb="FFFF0000"/>
        <rFont val="宋体"/>
        <charset val="134"/>
      </rPr>
      <t>修补处局部起皮</t>
    </r>
  </si>
  <si>
    <t>锈胀露筋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</si>
  <si>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，拱顶锈胀露筋，长度为</t>
    </r>
    <r>
      <rPr>
        <sz val="10.5"/>
        <color theme="1"/>
        <rFont val="Times New Roman"/>
        <charset val="134"/>
      </rPr>
      <t>0.3m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</si>
  <si>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8.7m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</si>
  <si>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028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17.7m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</si>
  <si>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030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25.6m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</si>
  <si>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</si>
  <si>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盖板掉落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</si>
  <si>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1m</t>
    </r>
    <r>
      <rPr>
        <sz val="11"/>
        <rFont val="宋体"/>
        <charset val="134"/>
      </rPr>
      <t>，左检道盖板掉落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</si>
  <si>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</si>
  <si>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7m</t>
    </r>
    <r>
      <rPr>
        <sz val="11"/>
        <rFont val="宋体"/>
        <charset val="134"/>
      </rPr>
      <t>，右侧墙瓷砖脱落，面积为</t>
    </r>
    <r>
      <rPr>
        <sz val="11"/>
        <rFont val="Times New Roman"/>
        <charset val="134"/>
      </rPr>
      <t xml:space="preserve"> 1×1m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</si>
  <si>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037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17.6m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</si>
  <si>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6m</t>
    </r>
    <r>
      <rPr>
        <sz val="11"/>
        <rFont val="宋体"/>
        <charset val="134"/>
      </rPr>
      <t>，左侧墙瓷砖脱落，面积为</t>
    </r>
    <r>
      <rPr>
        <sz val="11"/>
        <rFont val="Times New Roman"/>
        <charset val="134"/>
      </rPr>
      <t>0.1×0.3×2m</t>
    </r>
    <r>
      <rPr>
        <vertAlign val="superscript"/>
        <sz val="1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</si>
  <si>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，右侧检修道侧壁镶面破损，</t>
    </r>
    <r>
      <rPr>
        <sz val="11"/>
        <color theme="1"/>
        <rFont val="Times New Roman"/>
        <charset val="134"/>
      </rPr>
      <t>S=0.5×0.4m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</si>
  <si>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040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20.5m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</si>
  <si>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</si>
  <si>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，右侧横向裂缝，长度为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</si>
  <si>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1"/>
        <rFont val="宋体"/>
        <charset val="134"/>
      </rPr>
      <t>标志、标线、轮廓标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</si>
  <si>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5m</t>
    </r>
    <r>
      <rPr>
        <sz val="11"/>
        <rFont val="宋体"/>
        <charset val="134"/>
      </rPr>
      <t>，左检道侧壁轮廓标缺失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个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</si>
  <si>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045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，封缝料起皮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</si>
  <si>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3m</t>
    </r>
    <r>
      <rPr>
        <sz val="11"/>
        <rFont val="宋体"/>
        <charset val="134"/>
      </rPr>
      <t>，左检道侧壁轮廓标缺失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个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</si>
  <si>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1.5m</t>
    </r>
    <r>
      <rPr>
        <sz val="11"/>
        <color theme="1"/>
        <rFont val="宋体"/>
        <charset val="134"/>
      </rPr>
      <t>，右侧横向裂缝，长度为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</si>
  <si>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宋体"/>
        <charset val="134"/>
      </rPr>
      <t>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</si>
  <si>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拱顶</t>
    </r>
    <r>
      <rPr>
        <sz val="10.5"/>
        <color theme="1"/>
        <rFont val="Times New Roman"/>
        <charset val="134"/>
      </rPr>
      <t>/</t>
    </r>
    <r>
      <rPr>
        <sz val="10.5"/>
        <color theme="1"/>
        <rFont val="宋体"/>
        <charset val="134"/>
      </rPr>
      <t>右拱腰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</si>
  <si>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，斜向裂缝，长度为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0.70mm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</si>
  <si>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</si>
  <si>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</si>
  <si>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</si>
  <si>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1m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3m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</si>
  <si>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060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70.5m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  <r>
      <rPr>
        <sz val="10.5"/>
        <color theme="1"/>
        <rFont val="宋体"/>
        <charset val="134"/>
      </rPr>
      <t>，局部修后破损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</si>
  <si>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3m</t>
    </r>
    <r>
      <rPr>
        <sz val="11"/>
        <rFont val="宋体"/>
        <charset val="134"/>
      </rPr>
      <t>，左侧墙环向裂缝，长度为</t>
    </r>
    <r>
      <rPr>
        <sz val="11"/>
        <rFont val="Times New Roman"/>
        <charset val="134"/>
      </rPr>
      <t>3.0m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 0.10mm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</si>
  <si>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</si>
  <si>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，左侧墙环向裂缝，长度为</t>
    </r>
    <r>
      <rPr>
        <sz val="11"/>
        <rFont val="Times New Roman"/>
        <charset val="134"/>
      </rPr>
      <t>2.5m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 0.10mm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</si>
  <si>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，右侧检修道盖板陷落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</si>
  <si>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068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28m</t>
    </r>
    <r>
      <rPr>
        <sz val="10.5"/>
        <color theme="1"/>
        <rFont val="宋体"/>
        <charset val="134"/>
      </rPr>
      <t>，封缝料起皮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</si>
  <si>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，右侧路缘排水沟结构破损，长度为</t>
    </r>
    <r>
      <rPr>
        <sz val="11"/>
        <color theme="1"/>
        <rFont val="Times New Roman"/>
        <charset val="134"/>
      </rPr>
      <t>0.5m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</si>
  <si>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0.25mm</t>
    </r>
  </si>
  <si>
    <r>
      <rPr>
        <sz val="10.5"/>
        <color rgb="FFFF0000"/>
        <rFont val="宋体"/>
        <charset val="134"/>
      </rPr>
      <t>距板端</t>
    </r>
    <r>
      <rPr>
        <sz val="10.5"/>
        <color rgb="FFFF0000"/>
        <rFont val="Times New Roman"/>
        <charset val="134"/>
      </rPr>
      <t>4m</t>
    </r>
    <r>
      <rPr>
        <sz val="10.5"/>
        <color rgb="FFFF0000"/>
        <rFont val="宋体"/>
        <charset val="134"/>
      </rPr>
      <t>，拱顶锈胀露筋</t>
    </r>
    <r>
      <rPr>
        <sz val="10.5"/>
        <color rgb="FFFF0000"/>
        <rFont val="Times New Roman"/>
        <charset val="134"/>
      </rPr>
      <t>6</t>
    </r>
    <r>
      <rPr>
        <sz val="10.5"/>
        <color rgb="FFFF0000"/>
        <rFont val="宋体"/>
        <charset val="134"/>
      </rPr>
      <t>处，累计长度约</t>
    </r>
    <r>
      <rPr>
        <sz val="10.5"/>
        <color rgb="FFFF0000"/>
        <rFont val="Times New Roman"/>
        <charset val="134"/>
      </rPr>
      <t>2.5m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</si>
  <si>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4m</t>
    </r>
    <r>
      <rPr>
        <sz val="10.5"/>
        <rFont val="宋体"/>
        <charset val="134"/>
      </rPr>
      <t>，拱顶锈胀露筋</t>
    </r>
    <r>
      <rPr>
        <sz val="10.5"/>
        <rFont val="Times New Roman"/>
        <charset val="134"/>
      </rPr>
      <t>4</t>
    </r>
    <r>
      <rPr>
        <sz val="10.5"/>
        <rFont val="宋体"/>
        <charset val="134"/>
      </rPr>
      <t>处，累计长度约</t>
    </r>
    <r>
      <rPr>
        <sz val="10.5"/>
        <rFont val="Times New Roman"/>
        <charset val="134"/>
      </rPr>
      <t>1.6m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</si>
  <si>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3m</t>
    </r>
    <r>
      <rPr>
        <sz val="11"/>
        <rFont val="宋体"/>
        <charset val="134"/>
      </rPr>
      <t>，右侧墙环向裂缝，长度为</t>
    </r>
    <r>
      <rPr>
        <sz val="11"/>
        <rFont val="Times New Roman"/>
        <charset val="134"/>
      </rPr>
      <t>2.3m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 0.10mm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</si>
  <si>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3m</t>
    </r>
    <r>
      <rPr>
        <sz val="11"/>
        <rFont val="宋体"/>
        <charset val="134"/>
      </rPr>
      <t>，右拱腰防火涂层脱落，面积为</t>
    </r>
    <r>
      <rPr>
        <sz val="11"/>
        <rFont val="Times New Roman"/>
        <charset val="134"/>
      </rPr>
      <t>6m</t>
    </r>
    <r>
      <rPr>
        <vertAlign val="superscript"/>
        <sz val="1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</si>
  <si>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81~82</t>
    </r>
    <r>
      <rPr>
        <sz val="11"/>
        <color theme="1"/>
        <rFont val="宋体"/>
        <charset val="134"/>
      </rPr>
      <t>号板，距</t>
    </r>
    <r>
      <rPr>
        <sz val="11"/>
        <color theme="1"/>
        <rFont val="Times New Roman"/>
        <charset val="134"/>
      </rPr>
      <t>81</t>
    </r>
    <r>
      <rPr>
        <sz val="11"/>
        <color theme="1"/>
        <rFont val="宋体"/>
        <charset val="134"/>
      </rPr>
      <t>号板板端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，右侧路缘排水沟结构破损、堵塞，长度为</t>
    </r>
    <r>
      <rPr>
        <sz val="11"/>
        <color theme="1"/>
        <rFont val="Times New Roman"/>
        <charset val="134"/>
      </rPr>
      <t>18.0m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</si>
  <si>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3m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0.8m</t>
    </r>
    <r>
      <rPr>
        <vertAlign val="superscript"/>
        <sz val="11"/>
        <rFont val="Times New Roman"/>
        <charset val="134"/>
      </rPr>
      <t>2</t>
    </r>
  </si>
  <si>
    <t>71~82</t>
  </si>
  <si>
    <t>渗漏水</t>
  </si>
  <si>
    <t>出洞口右侧挡土墙局部渗漏水</t>
  </si>
  <si>
    <r>
      <rPr>
        <sz val="10.5"/>
        <color theme="1"/>
        <rFont val="宋体"/>
        <charset val="134"/>
      </rPr>
      <t>入洞口洞门右侧存在竖向裂缝，长度为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</si>
  <si>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0.30mm</t>
    </r>
  </si>
  <si>
    <t>坑槽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</si>
  <si>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，超车道路面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处坑槽，面积为</t>
    </r>
    <r>
      <rPr>
        <sz val="11"/>
        <color theme="1"/>
        <rFont val="Times New Roman"/>
        <charset val="134"/>
      </rPr>
      <t>0.3×0.2m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，深度为</t>
    </r>
    <r>
      <rPr>
        <sz val="11"/>
        <color theme="1"/>
        <rFont val="Times New Roman"/>
        <charset val="134"/>
      </rPr>
      <t>10mm</t>
    </r>
  </si>
  <si>
    <r>
      <rPr>
        <sz val="11"/>
        <color rgb="FF000000"/>
        <rFont val="宋体"/>
        <charset val="134"/>
      </rPr>
      <t>纵向裂缝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</si>
  <si>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2m</t>
    </r>
    <r>
      <rPr>
        <sz val="11"/>
        <color theme="1"/>
        <rFont val="宋体"/>
        <charset val="134"/>
      </rPr>
      <t>，行车道纵向裂缝，长度为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</si>
  <si>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6m</t>
    </r>
    <r>
      <rPr>
        <sz val="11"/>
        <color theme="1"/>
        <rFont val="宋体"/>
        <charset val="134"/>
      </rPr>
      <t>，超车道路面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处坑槽，面积为</t>
    </r>
    <r>
      <rPr>
        <sz val="11"/>
        <color theme="1"/>
        <rFont val="Times New Roman"/>
        <charset val="134"/>
      </rPr>
      <t>0.5×0.4m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</si>
  <si>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5m</t>
    </r>
    <r>
      <rPr>
        <sz val="11"/>
        <rFont val="宋体"/>
        <charset val="134"/>
      </rPr>
      <t>，距拱顶中心线</t>
    </r>
    <r>
      <rPr>
        <sz val="11"/>
        <rFont val="Times New Roman"/>
        <charset val="134"/>
      </rPr>
      <t>3m</t>
    </r>
    <r>
      <rPr>
        <sz val="11"/>
        <rFont val="宋体"/>
        <charset val="134"/>
      </rPr>
      <t>，左拱腰纵向裂缝，长度为</t>
    </r>
    <r>
      <rPr>
        <sz val="11"/>
        <rFont val="Times New Roman"/>
        <charset val="134"/>
      </rPr>
      <t>2.0m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
0.40mm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</si>
  <si>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8m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</si>
  <si>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0.25m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</si>
  <si>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4.5m</t>
    </r>
    <r>
      <rPr>
        <sz val="11"/>
        <color theme="1"/>
        <rFont val="宋体"/>
        <charset val="134"/>
      </rPr>
      <t>，路面中线处纵向裂缝，长度为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3mm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</si>
  <si>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5m</t>
    </r>
    <r>
      <rPr>
        <sz val="11"/>
        <color theme="1"/>
        <rFont val="宋体"/>
        <charset val="134"/>
      </rPr>
      <t>，路面中线处坑槽，面积为</t>
    </r>
    <r>
      <rPr>
        <sz val="11"/>
        <color theme="1"/>
        <rFont val="Times New Roman"/>
        <charset val="134"/>
      </rPr>
      <t>0.2×1m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，深度为</t>
    </r>
    <r>
      <rPr>
        <sz val="11"/>
        <color theme="1"/>
        <rFont val="Times New Roman"/>
        <charset val="134"/>
      </rPr>
      <t>20mm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</si>
  <si>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，路面中线处纵向裂缝，长度为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3mm</t>
    </r>
  </si>
  <si>
    <r>
      <rPr>
        <sz val="11"/>
        <color rgb="FF000000"/>
        <rFont val="宋体"/>
        <charset val="134"/>
      </rPr>
      <t>网状裂缝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</si>
  <si>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5m</t>
    </r>
    <r>
      <rPr>
        <sz val="11"/>
        <color theme="1"/>
        <rFont val="宋体"/>
        <charset val="134"/>
      </rPr>
      <t>，行车道路面网状裂缝，面积为</t>
    </r>
    <r>
      <rPr>
        <sz val="11"/>
        <color theme="1"/>
        <rFont val="Times New Roman"/>
        <charset val="134"/>
      </rPr>
      <t>1.5×1.0m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</si>
  <si>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1m</t>
    </r>
    <r>
      <rPr>
        <sz val="11"/>
        <color theme="1"/>
        <rFont val="宋体"/>
        <charset val="134"/>
      </rPr>
      <t>，右侧检修道盖板破损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</si>
  <si>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2m</t>
    </r>
    <r>
      <rPr>
        <sz val="11"/>
        <color theme="1"/>
        <rFont val="宋体"/>
        <charset val="134"/>
      </rPr>
      <t>，右侧检修道盖板破损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</si>
  <si>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，路面中线处坑槽，面积为</t>
    </r>
    <r>
      <rPr>
        <sz val="11"/>
        <color theme="1"/>
        <rFont val="Times New Roman"/>
        <charset val="134"/>
      </rPr>
      <t>0.3×0.6m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，深度为</t>
    </r>
    <r>
      <rPr>
        <sz val="11"/>
        <color theme="1"/>
        <rFont val="Times New Roman"/>
        <charset val="134"/>
      </rPr>
      <t>20mm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</si>
  <si>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8m</t>
    </r>
    <r>
      <rPr>
        <sz val="11"/>
        <color theme="1"/>
        <rFont val="宋体"/>
        <charset val="134"/>
      </rPr>
      <t>，行车道路面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处坑槽，面积为</t>
    </r>
    <r>
      <rPr>
        <sz val="11"/>
        <color theme="1"/>
        <rFont val="Times New Roman"/>
        <charset val="134"/>
      </rPr>
      <t>1.0×0.6m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，深度为</t>
    </r>
    <r>
      <rPr>
        <sz val="11"/>
        <color theme="1"/>
        <rFont val="Times New Roman"/>
        <charset val="134"/>
      </rPr>
      <t>20mm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</si>
  <si>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，左拱腰露筋，长度为</t>
    </r>
    <r>
      <rPr>
        <sz val="10.5"/>
        <color theme="1"/>
        <rFont val="Times New Roman"/>
        <charset val="134"/>
      </rPr>
      <t>1m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</si>
  <si>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1.5m</t>
    </r>
    <r>
      <rPr>
        <sz val="11"/>
        <color theme="1"/>
        <rFont val="宋体"/>
        <charset val="134"/>
      </rPr>
      <t>，行车道路面横向裂缝，长度为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</si>
  <si>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，行车道路面</t>
    </r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</rPr>
      <t>处坑槽，总面积为</t>
    </r>
    <r>
      <rPr>
        <sz val="11"/>
        <color theme="1"/>
        <rFont val="Times New Roman"/>
        <charset val="134"/>
      </rPr>
      <t>1.0×0.5m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，深度为</t>
    </r>
    <r>
      <rPr>
        <sz val="11"/>
        <color theme="1"/>
        <rFont val="Times New Roman"/>
        <charset val="134"/>
      </rPr>
      <t>10mm</t>
    </r>
  </si>
  <si>
    <t>露骨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</si>
  <si>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，行车道路面剥蚀、露骨料，面积为</t>
    </r>
    <r>
      <rPr>
        <sz val="11"/>
        <color theme="1"/>
        <rFont val="Times New Roman"/>
        <charset val="134"/>
      </rPr>
      <t>8.0×2.0m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</si>
  <si>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rFont val="宋体"/>
        <charset val="134"/>
      </rPr>
      <t>边角破损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</si>
  <si>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，施工缝处，左拱腰边角破损，面积为</t>
    </r>
    <r>
      <rPr>
        <sz val="11"/>
        <rFont val="Times New Roman"/>
        <charset val="134"/>
      </rPr>
      <t>0. 1×0.1m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</si>
  <si>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露筋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</si>
  <si>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，拱顶露筋，长度为</t>
    </r>
    <r>
      <rPr>
        <sz val="11"/>
        <rFont val="Times New Roman"/>
        <charset val="134"/>
      </rPr>
      <t>1m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</si>
  <si>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4m</t>
    </r>
    <r>
      <rPr>
        <sz val="11"/>
        <color theme="1"/>
        <rFont val="宋体"/>
        <charset val="134"/>
      </rPr>
      <t>，行车道路面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处坑槽，总面积为</t>
    </r>
    <r>
      <rPr>
        <sz val="11"/>
        <color theme="1"/>
        <rFont val="Times New Roman"/>
        <charset val="134"/>
      </rPr>
      <t>0.5×0.2m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，深度为</t>
    </r>
    <r>
      <rPr>
        <sz val="11"/>
        <color theme="1"/>
        <rFont val="Times New Roman"/>
        <charset val="134"/>
      </rPr>
      <t>10mm</t>
    </r>
  </si>
  <si>
    <t>标志、标线、轮廓标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</si>
  <si>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，左侧边墙轮廓标缺失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个</t>
    </r>
  </si>
  <si>
    <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，右拱腰露筋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处，长度为</t>
    </r>
    <r>
      <rPr>
        <sz val="10.5"/>
        <color theme="1"/>
        <rFont val="Times New Roman"/>
        <charset val="134"/>
      </rPr>
      <t>0.3+0.1m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</si>
  <si>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4m</t>
    </r>
    <r>
      <rPr>
        <sz val="11"/>
        <color theme="1"/>
        <rFont val="宋体"/>
        <charset val="134"/>
      </rPr>
      <t>，行车道路面</t>
    </r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</rPr>
      <t>处坑槽，总面积为</t>
    </r>
    <r>
      <rPr>
        <sz val="11"/>
        <color theme="1"/>
        <rFont val="Times New Roman"/>
        <charset val="134"/>
      </rPr>
      <t>1.5×0.5m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，深度为</t>
    </r>
    <r>
      <rPr>
        <sz val="11"/>
        <color theme="1"/>
        <rFont val="Times New Roman"/>
        <charset val="134"/>
      </rPr>
      <t>10mm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</si>
  <si>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2m</t>
    </r>
    <r>
      <rPr>
        <sz val="11"/>
        <color theme="1"/>
        <rFont val="宋体"/>
        <charset val="134"/>
      </rPr>
      <t>，行车道路面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处坑槽，总面积为</t>
    </r>
    <r>
      <rPr>
        <sz val="11"/>
        <color theme="1"/>
        <rFont val="Times New Roman"/>
        <charset val="134"/>
      </rPr>
      <t>1.0×0.5m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，深度为</t>
    </r>
    <r>
      <rPr>
        <sz val="11"/>
        <color theme="1"/>
        <rFont val="Times New Roman"/>
        <charset val="134"/>
      </rPr>
      <t>20mm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</si>
  <si>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4m</t>
    </r>
    <r>
      <rPr>
        <sz val="11"/>
        <color theme="1"/>
        <rFont val="宋体"/>
        <charset val="134"/>
      </rPr>
      <t>，行车道路面坑槽，总面积为</t>
    </r>
    <r>
      <rPr>
        <sz val="11"/>
        <color theme="1"/>
        <rFont val="Times New Roman"/>
        <charset val="134"/>
      </rPr>
      <t>4.0×1.5m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，深度为</t>
    </r>
    <r>
      <rPr>
        <sz val="11"/>
        <color theme="1"/>
        <rFont val="Times New Roman"/>
        <charset val="134"/>
      </rPr>
      <t>20mm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</si>
  <si>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2m</t>
    </r>
    <r>
      <rPr>
        <sz val="11"/>
        <color theme="1"/>
        <rFont val="宋体"/>
        <charset val="134"/>
      </rPr>
      <t>，超车道路面横向裂缝，长度为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</si>
  <si>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t>锈胀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</si>
  <si>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，右侧拱腰锈胀，长度为</t>
    </r>
    <r>
      <rPr>
        <sz val="10.5"/>
        <color theme="1"/>
        <rFont val="Times New Roman"/>
        <charset val="134"/>
      </rPr>
      <t>1.5m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</si>
  <si>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，右拱腰露筋，长度为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</si>
  <si>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3.5m</t>
    </r>
    <r>
      <rPr>
        <sz val="11"/>
        <color theme="1"/>
        <rFont val="宋体"/>
        <charset val="134"/>
      </rPr>
      <t>，行车道路面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处坑槽，面积为</t>
    </r>
    <r>
      <rPr>
        <sz val="11"/>
        <color theme="1"/>
        <rFont val="Times New Roman"/>
        <charset val="134"/>
      </rPr>
      <t>0.3×0.2m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，深度为</t>
    </r>
    <r>
      <rPr>
        <sz val="11"/>
        <color theme="1"/>
        <rFont val="Times New Roman"/>
        <charset val="134"/>
      </rPr>
      <t>10mm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</si>
  <si>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4.5m</t>
    </r>
    <r>
      <rPr>
        <sz val="10.5"/>
        <color theme="1"/>
        <rFont val="宋体"/>
        <charset val="134"/>
      </rPr>
      <t>，右拱腰露筋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处，长度为</t>
    </r>
    <r>
      <rPr>
        <sz val="10.5"/>
        <color theme="1"/>
        <rFont val="Times New Roman"/>
        <charset val="134"/>
      </rPr>
      <t>0.5m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</si>
  <si>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2.5m</t>
    </r>
    <r>
      <rPr>
        <sz val="11"/>
        <color theme="1"/>
        <rFont val="宋体"/>
        <charset val="134"/>
      </rPr>
      <t>，行车道路面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处坑槽，面积为</t>
    </r>
    <r>
      <rPr>
        <sz val="11"/>
        <color theme="1"/>
        <rFont val="Times New Roman"/>
        <charset val="134"/>
      </rPr>
      <t>1.0×0.3m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，深度为</t>
    </r>
    <r>
      <rPr>
        <sz val="11"/>
        <color theme="1"/>
        <rFont val="Times New Roman"/>
        <charset val="134"/>
      </rPr>
      <t>20mm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</si>
  <si>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2m</t>
    </r>
    <r>
      <rPr>
        <sz val="11"/>
        <color theme="1"/>
        <rFont val="宋体"/>
        <charset val="134"/>
      </rPr>
      <t>，行车道路面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处坑槽，总面积为</t>
    </r>
    <r>
      <rPr>
        <sz val="11"/>
        <color theme="1"/>
        <rFont val="Times New Roman"/>
        <charset val="134"/>
      </rPr>
      <t>1.0×0.2m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，深度为</t>
    </r>
    <r>
      <rPr>
        <sz val="11"/>
        <color theme="1"/>
        <rFont val="Times New Roman"/>
        <charset val="134"/>
      </rPr>
      <t>10mm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</si>
  <si>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，纵向露筋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根，长度为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</si>
  <si>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3m</t>
    </r>
    <r>
      <rPr>
        <sz val="11"/>
        <color theme="1"/>
        <rFont val="宋体"/>
        <charset val="134"/>
      </rPr>
      <t>，行车道路面纵向裂缝，长度为</t>
    </r>
    <r>
      <rPr>
        <sz val="11"/>
        <color theme="1"/>
        <rFont val="Times New Roman"/>
        <charset val="134"/>
      </rPr>
      <t>3.0m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</si>
  <si>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t>横向裂缝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</si>
  <si>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5m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3mm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</si>
  <si>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，行车道路面横向裂缝，长度为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</si>
  <si>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4m</t>
    </r>
    <r>
      <rPr>
        <sz val="11"/>
        <rFont val="宋体"/>
        <charset val="134"/>
      </rPr>
      <t>，左检道盖板陷落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</si>
  <si>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，超车道路面横向裂缝，长度为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3mm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</si>
  <si>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2m</t>
    </r>
    <r>
      <rPr>
        <sz val="11"/>
        <color theme="1"/>
        <rFont val="宋体"/>
        <charset val="134"/>
      </rPr>
      <t>，行车道路面横向裂缝，长度为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</si>
  <si>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</si>
  <si>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Times New Roman"/>
        <charset val="134"/>
      </rPr>
      <t>35-36</t>
    </r>
    <r>
      <rPr>
        <sz val="11"/>
        <color theme="1"/>
        <rFont val="宋体"/>
        <charset val="134"/>
      </rPr>
      <t>板，距板端</t>
    </r>
    <r>
      <rPr>
        <sz val="11"/>
        <color theme="1"/>
        <rFont val="Times New Roman"/>
        <charset val="134"/>
      </rPr>
      <t xml:space="preserve"> 3m</t>
    </r>
    <r>
      <rPr>
        <sz val="11"/>
        <color theme="1"/>
        <rFont val="宋体"/>
        <charset val="134"/>
      </rPr>
      <t>，路面中央纵向裂缝，长度为</t>
    </r>
    <r>
      <rPr>
        <sz val="11"/>
        <color theme="1"/>
        <rFont val="Times New Roman"/>
        <charset val="134"/>
      </rPr>
      <t>13m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4mm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</si>
  <si>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0.05×0.4m</t>
    </r>
    <r>
      <rPr>
        <vertAlign val="superscript"/>
        <sz val="1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</si>
  <si>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，路面中线处纵向裂缝，长度为</t>
    </r>
    <r>
      <rPr>
        <sz val="11"/>
        <color theme="1"/>
        <rFont val="Times New Roman"/>
        <charset val="134"/>
      </rPr>
      <t>6m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3mm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</si>
  <si>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1.5m</t>
    </r>
    <r>
      <rPr>
        <sz val="11"/>
        <rFont val="宋体"/>
        <charset val="134"/>
      </rPr>
      <t>，左侧墙瓷砖脱落，面积为</t>
    </r>
    <r>
      <rPr>
        <sz val="11"/>
        <rFont val="Times New Roman"/>
        <charset val="134"/>
      </rPr>
      <t>0.5×1.5m</t>
    </r>
    <r>
      <rPr>
        <vertAlign val="superscript"/>
        <sz val="1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</si>
  <si>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41-46</t>
    </r>
    <r>
      <rPr>
        <sz val="11"/>
        <color theme="1"/>
        <rFont val="宋体"/>
        <charset val="134"/>
      </rPr>
      <t>板，距板端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，路面中线处纵向裂缝，长度为</t>
    </r>
    <r>
      <rPr>
        <sz val="11"/>
        <color theme="1"/>
        <rFont val="Times New Roman"/>
        <charset val="134"/>
      </rPr>
      <t>47m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3mm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</si>
  <si>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，环向露筋</t>
    </r>
    <r>
      <rPr>
        <sz val="10.5"/>
        <color theme="1"/>
        <rFont val="Times New Roman"/>
        <charset val="134"/>
      </rPr>
      <t>6</t>
    </r>
    <r>
      <rPr>
        <sz val="10.5"/>
        <color theme="1"/>
        <rFont val="宋体"/>
        <charset val="134"/>
      </rPr>
      <t>根，长度为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</si>
  <si>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，环向露筋</t>
    </r>
    <r>
      <rPr>
        <sz val="10.5"/>
        <color theme="1"/>
        <rFont val="Times New Roman"/>
        <charset val="134"/>
      </rPr>
      <t>8</t>
    </r>
    <r>
      <rPr>
        <sz val="10.5"/>
        <color theme="1"/>
        <rFont val="宋体"/>
        <charset val="134"/>
      </rPr>
      <t>根，长度为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</si>
  <si>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3m</t>
    </r>
    <r>
      <rPr>
        <sz val="11"/>
        <color theme="1"/>
        <rFont val="宋体"/>
        <charset val="134"/>
      </rPr>
      <t>，行车道路面纵向裂缝，长度为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3mm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</si>
  <si>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5m</t>
    </r>
    <r>
      <rPr>
        <sz val="11"/>
        <rFont val="宋体"/>
        <charset val="134"/>
      </rPr>
      <t>，左拱腰露筋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根，长度为</t>
    </r>
    <r>
      <rPr>
        <sz val="11"/>
        <rFont val="Times New Roman"/>
        <charset val="134"/>
      </rPr>
      <t>5m</t>
    </r>
    <r>
      <rPr>
        <sz val="1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</si>
  <si>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</si>
  <si>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，纵向露筋，长度为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</si>
  <si>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，环向露筋</t>
    </r>
    <r>
      <rPr>
        <sz val="10.5"/>
        <color theme="1"/>
        <rFont val="Times New Roman"/>
        <charset val="134"/>
      </rPr>
      <t>13</t>
    </r>
    <r>
      <rPr>
        <sz val="10.5"/>
        <color theme="1"/>
        <rFont val="宋体"/>
        <charset val="134"/>
      </rPr>
      <t>根，长度为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</si>
  <si>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0.5m</t>
    </r>
    <r>
      <rPr>
        <sz val="10.5"/>
        <color theme="1"/>
        <rFont val="宋体"/>
        <charset val="134"/>
      </rPr>
      <t>，左侧拱腰锈胀，长度为</t>
    </r>
    <r>
      <rPr>
        <sz val="10.5"/>
        <color theme="1"/>
        <rFont val="Times New Roman"/>
        <charset val="134"/>
      </rPr>
      <t>1.8m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</si>
  <si>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，左检道侧壁轮廓标缺失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个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</si>
  <si>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6m</t>
    </r>
    <r>
      <rPr>
        <sz val="11"/>
        <rFont val="宋体"/>
        <charset val="134"/>
      </rPr>
      <t>，左拱腰环向露筋</t>
    </r>
    <r>
      <rPr>
        <sz val="11"/>
        <rFont val="Times New Roman"/>
        <charset val="134"/>
      </rPr>
      <t>5</t>
    </r>
    <r>
      <rPr>
        <sz val="11"/>
        <rFont val="宋体"/>
        <charset val="134"/>
      </rPr>
      <t>根，长度为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</si>
  <si>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3mm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</si>
  <si>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，纵向露筋</t>
    </r>
    <r>
      <rPr>
        <sz val="10.5"/>
        <color theme="1"/>
        <rFont val="Times New Roman"/>
        <charset val="134"/>
      </rPr>
      <t>8</t>
    </r>
    <r>
      <rPr>
        <sz val="10.5"/>
        <color theme="1"/>
        <rFont val="宋体"/>
        <charset val="134"/>
      </rPr>
      <t>根，长度为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</si>
  <si>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，纵向露筋</t>
    </r>
    <r>
      <rPr>
        <sz val="10.5"/>
        <color theme="1"/>
        <rFont val="Times New Roman"/>
        <charset val="134"/>
      </rPr>
      <t>10</t>
    </r>
    <r>
      <rPr>
        <sz val="10.5"/>
        <color theme="1"/>
        <rFont val="宋体"/>
        <charset val="134"/>
      </rPr>
      <t>根，长度为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</si>
  <si>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4m</t>
    </r>
    <r>
      <rPr>
        <sz val="11"/>
        <color theme="1"/>
        <rFont val="宋体"/>
        <charset val="134"/>
      </rPr>
      <t>，路面斜向裂缝，长度为</t>
    </r>
    <r>
      <rPr>
        <sz val="11"/>
        <color theme="1"/>
        <rFont val="Times New Roman"/>
        <charset val="134"/>
      </rPr>
      <t>8m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3mm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</si>
  <si>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5m</t>
    </r>
    <r>
      <rPr>
        <sz val="11"/>
        <rFont val="宋体"/>
        <charset val="134"/>
      </rPr>
      <t>，左拱腰露筋</t>
    </r>
    <r>
      <rPr>
        <sz val="11"/>
        <rFont val="Times New Roman"/>
        <charset val="134"/>
      </rPr>
      <t>7</t>
    </r>
    <r>
      <rPr>
        <sz val="11"/>
        <rFont val="宋体"/>
        <charset val="134"/>
      </rPr>
      <t>处，长度为</t>
    </r>
    <r>
      <rPr>
        <sz val="11"/>
        <rFont val="Times New Roman"/>
        <charset val="134"/>
      </rPr>
      <t>4m</t>
    </r>
    <r>
      <rPr>
        <sz val="11"/>
        <rFont val="宋体"/>
        <charset val="134"/>
      </rPr>
      <t>，已修补</t>
    </r>
  </si>
  <si>
    <r>
      <rPr>
        <sz val="11"/>
        <color theme="1"/>
        <rFont val="Times New Roman"/>
        <charset val="134"/>
      </rPr>
      <t>70-73</t>
    </r>
    <r>
      <rPr>
        <sz val="11"/>
        <color theme="1"/>
        <rFont val="宋体"/>
        <charset val="134"/>
      </rPr>
      <t>板，距板端</t>
    </r>
    <r>
      <rPr>
        <sz val="11"/>
        <color theme="1"/>
        <rFont val="Times New Roman"/>
        <charset val="134"/>
      </rPr>
      <t xml:space="preserve"> 4.5m</t>
    </r>
    <r>
      <rPr>
        <sz val="11"/>
        <color theme="1"/>
        <rFont val="宋体"/>
        <charset val="134"/>
      </rPr>
      <t>，路面中线处纵向裂缝，长度为</t>
    </r>
    <r>
      <rPr>
        <sz val="11"/>
        <color theme="1"/>
        <rFont val="Times New Roman"/>
        <charset val="134"/>
      </rPr>
      <t>29m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10mm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</si>
  <si>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4.5m</t>
    </r>
    <r>
      <rPr>
        <sz val="11"/>
        <rFont val="宋体"/>
        <charset val="134"/>
      </rPr>
      <t>，左侧墙瓷砖脱落，面积为</t>
    </r>
    <r>
      <rPr>
        <sz val="11"/>
        <rFont val="Times New Roman"/>
        <charset val="134"/>
      </rPr>
      <t>0.1×0.2m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</si>
  <si>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5m</t>
    </r>
    <r>
      <rPr>
        <sz val="11"/>
        <rFont val="宋体"/>
        <charset val="134"/>
      </rPr>
      <t>，左侧墙环向裂缝，长度为</t>
    </r>
    <r>
      <rPr>
        <sz val="11"/>
        <rFont val="Times New Roman"/>
        <charset val="134"/>
      </rPr>
      <t>2.5m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 0.30mm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</si>
  <si>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，路面中线处纵向裂缝，长度为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3mm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</si>
  <si>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1.5m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</si>
  <si>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</si>
  <si>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4m</t>
    </r>
    <r>
      <rPr>
        <sz val="11"/>
        <rFont val="宋体"/>
        <charset val="134"/>
      </rPr>
      <t>，右侧墙瓷砖破损，面积为</t>
    </r>
    <r>
      <rPr>
        <sz val="11"/>
        <rFont val="Times New Roman"/>
        <charset val="134"/>
      </rPr>
      <t xml:space="preserve"> 0.2×1.5m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</si>
  <si>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</si>
  <si>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7.7m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</si>
  <si>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4m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</si>
  <si>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7.8m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</si>
  <si>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，行车道路面横向裂缝，长度为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4mm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</si>
  <si>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3.5m</t>
    </r>
    <r>
      <rPr>
        <sz val="11"/>
        <color theme="1"/>
        <rFont val="宋体"/>
        <charset val="134"/>
      </rPr>
      <t>，行车道路面横向裂缝，长度为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3mm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</si>
  <si>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，左拱腰防火涂层脱落，面积为</t>
    </r>
    <r>
      <rPr>
        <sz val="11"/>
        <rFont val="Times New Roman"/>
        <charset val="134"/>
      </rPr>
      <t>0.1×1.2m</t>
    </r>
    <r>
      <rPr>
        <vertAlign val="superscript"/>
        <sz val="1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</si>
  <si>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5m</t>
    </r>
    <r>
      <rPr>
        <sz val="11"/>
        <color theme="1"/>
        <rFont val="宋体"/>
        <charset val="134"/>
      </rPr>
      <t>，行车道路面横向裂缝，长度为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</si>
  <si>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0.5"/>
        <color theme="1"/>
        <rFont val="宋体"/>
        <charset val="134"/>
      </rPr>
      <t>边角破损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</si>
  <si>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，施工缝处边角破损，面积为</t>
    </r>
    <r>
      <rPr>
        <sz val="10.5"/>
        <color theme="1"/>
        <rFont val="Times New Roman"/>
        <charset val="134"/>
      </rPr>
      <t>0.1×0.3m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</si>
  <si>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1m</t>
    </r>
    <r>
      <rPr>
        <sz val="11"/>
        <color theme="1"/>
        <rFont val="宋体"/>
        <charset val="134"/>
      </rPr>
      <t>，行车道路面横向裂缝，长度为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3mm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</si>
  <si>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，纵向露筋，长度为</t>
    </r>
    <r>
      <rPr>
        <sz val="10.5"/>
        <color theme="1"/>
        <rFont val="Times New Roman"/>
        <charset val="134"/>
      </rPr>
      <t>0.5m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</si>
  <si>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5.5m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0.30mm</t>
    </r>
  </si>
  <si>
    <t>标志破损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</si>
  <si>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，右侧墙紧急停车带指示标志破损、不亮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</si>
  <si>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</si>
  <si>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1m</t>
    </r>
    <r>
      <rPr>
        <sz val="11"/>
        <rFont val="宋体"/>
        <charset val="134"/>
      </rPr>
      <t>，左侧墙瓷砖脱落，面积为</t>
    </r>
    <r>
      <rPr>
        <sz val="11"/>
        <rFont val="Times New Roman"/>
        <charset val="134"/>
      </rPr>
      <t>0.5×3m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</si>
  <si>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3m</t>
    </r>
    <r>
      <rPr>
        <sz val="11"/>
        <rFont val="宋体"/>
        <charset val="134"/>
      </rPr>
      <t>，左侧墙瓷砖脱落，面积为</t>
    </r>
    <r>
      <rPr>
        <sz val="11"/>
        <rFont val="Times New Roman"/>
        <charset val="134"/>
      </rPr>
      <t>0.1×0.2×5m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</si>
  <si>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，露筋</t>
    </r>
    <r>
      <rPr>
        <sz val="10.5"/>
        <color theme="1"/>
        <rFont val="Times New Roman"/>
        <charset val="134"/>
      </rPr>
      <t>3</t>
    </r>
    <r>
      <rPr>
        <sz val="10.5"/>
        <color theme="1"/>
        <rFont val="宋体"/>
        <charset val="134"/>
      </rPr>
      <t>处，长度为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</si>
  <si>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5.0m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</si>
  <si>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，超车道路面横向裂缝，长度为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1mm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</si>
  <si>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</si>
  <si>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4.5m</t>
    </r>
    <r>
      <rPr>
        <sz val="11"/>
        <color theme="1"/>
        <rFont val="宋体"/>
        <charset val="134"/>
      </rPr>
      <t>，超车道路面横向裂缝，长度为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3mm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</si>
  <si>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4mm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</si>
  <si>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2m</t>
    </r>
    <r>
      <rPr>
        <sz val="11"/>
        <color theme="1"/>
        <rFont val="宋体"/>
        <charset val="134"/>
      </rPr>
      <t>，行车道路面横向裂缝，长度为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4mm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</si>
  <si>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2.5m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</si>
  <si>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，左侧墙瓷砖脱落，面积为</t>
    </r>
    <r>
      <rPr>
        <sz val="11"/>
        <rFont val="Times New Roman"/>
        <charset val="134"/>
      </rPr>
      <t>0.1×0.2×5m</t>
    </r>
    <r>
      <rPr>
        <vertAlign val="superscript"/>
        <sz val="1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</si>
  <si>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，右侧检修道盖板破损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</si>
  <si>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，距拱顶中心线</t>
    </r>
    <r>
      <rPr>
        <sz val="11"/>
        <rFont val="Times New Roman"/>
        <charset val="134"/>
      </rPr>
      <t>2.5m</t>
    </r>
    <r>
      <rPr>
        <sz val="11"/>
        <rFont val="宋体"/>
        <charset val="134"/>
      </rPr>
      <t>，左拱腰纵向裂缝，长度为</t>
    </r>
    <r>
      <rPr>
        <sz val="11"/>
        <rFont val="Times New Roman"/>
        <charset val="134"/>
      </rPr>
      <t>3.0m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
0.60mm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</si>
  <si>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</si>
  <si>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0.44mm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</si>
  <si>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1m</t>
    </r>
    <r>
      <rPr>
        <sz val="11"/>
        <color theme="1"/>
        <rFont val="宋体"/>
        <charset val="134"/>
      </rPr>
      <t>，行车道路面横向裂缝，长度为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1.5mm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</si>
  <si>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8m</t>
    </r>
    <r>
      <rPr>
        <sz val="11"/>
        <color theme="1"/>
        <rFont val="宋体"/>
        <charset val="134"/>
      </rPr>
      <t>，右侧检修道盖板破损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</si>
  <si>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0.2m</t>
    </r>
    <r>
      <rPr>
        <sz val="11"/>
        <rFont val="宋体"/>
        <charset val="134"/>
      </rPr>
      <t>，左拱腰环向裂缝，长度为</t>
    </r>
    <r>
      <rPr>
        <sz val="11"/>
        <rFont val="Times New Roman"/>
        <charset val="134"/>
      </rPr>
      <t>1.0m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
0.80mm</t>
    </r>
    <r>
      <rPr>
        <sz val="1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</si>
  <si>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，露筋，长度为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</si>
  <si>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，左检道侧壁轮廓标缺失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个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</si>
  <si>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，露筋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处，长度为</t>
    </r>
    <r>
      <rPr>
        <sz val="10.5"/>
        <color theme="1"/>
        <rFont val="Times New Roman"/>
        <charset val="134"/>
      </rPr>
      <t>1m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</si>
  <si>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3m</t>
    </r>
    <r>
      <rPr>
        <sz val="11"/>
        <rFont val="宋体"/>
        <charset val="134"/>
      </rPr>
      <t>，右侧墙瓷砖脱落，面积为</t>
    </r>
    <r>
      <rPr>
        <sz val="11"/>
        <rFont val="Times New Roman"/>
        <charset val="134"/>
      </rPr>
      <t>0.1×0.2m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</si>
  <si>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0.2m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</si>
  <si>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8m</t>
    </r>
    <r>
      <rPr>
        <sz val="11"/>
        <rFont val="宋体"/>
        <charset val="134"/>
      </rPr>
      <t>，左侧墙环向裂缝，长度为</t>
    </r>
    <r>
      <rPr>
        <sz val="11"/>
        <rFont val="Times New Roman"/>
        <charset val="134"/>
      </rPr>
      <t>2.5m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 0.02mm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</si>
  <si>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，泌死，，已修补，伴渗水印迹，面积为</t>
    </r>
    <r>
      <rPr>
        <sz val="10.5"/>
        <color theme="1"/>
        <rFont val="Times New Roman"/>
        <charset val="134"/>
      </rPr>
      <t>3×1.5m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</si>
  <si>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，左拱腰滴漏，面积为</t>
    </r>
    <r>
      <rPr>
        <sz val="10.5"/>
        <color theme="1"/>
        <rFont val="Times New Roman"/>
        <charset val="134"/>
      </rPr>
      <t>2m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</si>
  <si>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，纵向露筋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根，长度为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</si>
  <si>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，左侧墙瓷砖脱落，面积为</t>
    </r>
    <r>
      <rPr>
        <sz val="11"/>
        <rFont val="Times New Roman"/>
        <charset val="134"/>
      </rPr>
      <t>0.1×0.2×2m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</si>
  <si>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3m</t>
    </r>
    <r>
      <rPr>
        <sz val="11"/>
        <rFont val="宋体"/>
        <charset val="134"/>
      </rPr>
      <t>，左侧墙环向裂缝，长度为</t>
    </r>
    <r>
      <rPr>
        <sz val="11"/>
        <rFont val="Times New Roman"/>
        <charset val="134"/>
      </rPr>
      <t>2.5m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 0.02mm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</si>
  <si>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，露筋</t>
    </r>
    <r>
      <rPr>
        <sz val="10.5"/>
        <color theme="1"/>
        <rFont val="Times New Roman"/>
        <charset val="134"/>
      </rPr>
      <t>3</t>
    </r>
    <r>
      <rPr>
        <sz val="10.5"/>
        <color theme="1"/>
        <rFont val="宋体"/>
        <charset val="134"/>
      </rPr>
      <t>处，长度为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</si>
  <si>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，拱顶锈胀，面积为</t>
    </r>
    <r>
      <rPr>
        <sz val="10.5"/>
        <color theme="1"/>
        <rFont val="Times New Roman"/>
        <charset val="134"/>
      </rPr>
      <t>5.0×3.0m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</si>
  <si>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1m</t>
    </r>
    <r>
      <rPr>
        <sz val="11"/>
        <color theme="1"/>
        <rFont val="宋体"/>
        <charset val="134"/>
      </rPr>
      <t>，行车道路面坑槽，面积为</t>
    </r>
    <r>
      <rPr>
        <sz val="11"/>
        <color theme="1"/>
        <rFont val="Times New Roman"/>
        <charset val="134"/>
      </rPr>
      <t>0.1×2m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，深度为</t>
    </r>
    <r>
      <rPr>
        <sz val="11"/>
        <color theme="1"/>
        <rFont val="Times New Roman"/>
        <charset val="134"/>
      </rPr>
      <t>10mm</t>
    </r>
  </si>
  <si>
    <t>网状裂缝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</si>
  <si>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，网状裂缝，面积为</t>
    </r>
    <r>
      <rPr>
        <sz val="10.5"/>
        <color theme="1"/>
        <rFont val="Times New Roman"/>
        <charset val="134"/>
      </rPr>
      <t>1.5×4m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</si>
  <si>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8m</t>
    </r>
    <r>
      <rPr>
        <sz val="11"/>
        <color theme="1"/>
        <rFont val="宋体"/>
        <charset val="134"/>
      </rPr>
      <t>，行车道路面网状裂缝，面积为</t>
    </r>
    <r>
      <rPr>
        <sz val="11"/>
        <color theme="1"/>
        <rFont val="Times New Roman"/>
        <charset val="134"/>
      </rPr>
      <t>2.0×2.0m</t>
    </r>
    <r>
      <rPr>
        <vertAlign val="superscript"/>
        <sz val="11"/>
        <color theme="1"/>
        <rFont val="Times New Roman"/>
        <charset val="134"/>
      </rPr>
      <t>2</t>
    </r>
  </si>
  <si>
    <t>1~20</t>
  </si>
  <si>
    <t>101~120</t>
  </si>
  <si>
    <t>121~140</t>
  </si>
  <si>
    <t>141~160</t>
  </si>
  <si>
    <t>161~180</t>
  </si>
  <si>
    <t>181~198</t>
  </si>
  <si>
    <t>21~40</t>
  </si>
  <si>
    <t>41~60</t>
  </si>
  <si>
    <t>61~80</t>
  </si>
  <si>
    <t>81~100</t>
  </si>
  <si>
    <r>
      <rPr>
        <sz val="11"/>
        <color rgb="FF000000"/>
        <rFont val="宋体"/>
        <charset val="134"/>
      </rPr>
      <t>全隧道</t>
    </r>
  </si>
  <si>
    <r>
      <rPr>
        <sz val="11"/>
        <color theme="1"/>
        <rFont val="宋体"/>
        <charset val="134"/>
      </rPr>
      <t>全隧道排水设施基本完好，排水功能正常</t>
    </r>
  </si>
  <si>
    <r>
      <rPr>
        <sz val="11"/>
        <color theme="1"/>
        <rFont val="宋体"/>
        <charset val="134"/>
      </rPr>
      <t>入口洞门受雨水侵蚀</t>
    </r>
  </si>
  <si>
    <r>
      <rPr>
        <sz val="11"/>
        <rFont val="宋体"/>
        <charset val="134"/>
      </rPr>
      <t>出口洞门</t>
    </r>
  </si>
  <si>
    <r>
      <rPr>
        <sz val="11"/>
        <rFont val="宋体"/>
        <charset val="134"/>
      </rPr>
      <t>出洞口洞门左侧露筋，长度为</t>
    </r>
    <r>
      <rPr>
        <sz val="11"/>
        <rFont val="Times New Roman"/>
        <charset val="134"/>
      </rPr>
      <t>2m</t>
    </r>
  </si>
  <si>
    <r>
      <rPr>
        <sz val="11"/>
        <rFont val="宋体"/>
        <charset val="134"/>
      </rPr>
      <t>入洞口洞门左侧露筋，长度为</t>
    </r>
    <r>
      <rPr>
        <sz val="11"/>
        <rFont val="Times New Roman"/>
        <charset val="134"/>
      </rPr>
      <t>4m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</si>
  <si>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，行车道路面破损、凹陷，面积为</t>
    </r>
    <r>
      <rPr>
        <sz val="11"/>
        <color theme="1"/>
        <rFont val="Times New Roman"/>
        <charset val="134"/>
      </rPr>
      <t>0.5×2.0m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，深度为</t>
    </r>
    <r>
      <rPr>
        <sz val="11"/>
        <color theme="1"/>
        <rFont val="Times New Roman"/>
        <charset val="134"/>
      </rPr>
      <t>10mm</t>
    </r>
  </si>
  <si>
    <r>
      <rPr>
        <sz val="10.5"/>
        <color theme="1"/>
        <rFont val="宋体"/>
        <charset val="134"/>
      </rPr>
      <t>衬砌</t>
    </r>
  </si>
  <si>
    <r>
      <rPr>
        <sz val="10.5"/>
        <color theme="1"/>
        <rFont val="宋体"/>
        <charset val="134"/>
      </rPr>
      <t>渗水印迹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</si>
  <si>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，左拱腰渗水印迹，面积为</t>
    </r>
    <r>
      <rPr>
        <sz val="10.5"/>
        <color theme="1"/>
        <rFont val="Times New Roman"/>
        <charset val="134"/>
      </rPr>
      <t>7m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</si>
  <si>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</si>
  <si>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</si>
  <si>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，环向裂缝，长度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，宽</t>
    </r>
    <r>
      <rPr>
        <sz val="10.5"/>
        <color theme="1"/>
        <rFont val="Times New Roman"/>
        <charset val="134"/>
      </rPr>
      <t>0.55mm</t>
    </r>
  </si>
  <si>
    <r>
      <rPr>
        <sz val="10.5"/>
        <color theme="1"/>
        <rFont val="宋体"/>
        <charset val="134"/>
      </rPr>
      <t>右侧</t>
    </r>
  </si>
  <si>
    <r>
      <rPr>
        <sz val="10.5"/>
        <color theme="1"/>
        <rFont val="宋体"/>
        <charset val="134"/>
      </rPr>
      <t>盖板破损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</si>
  <si>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，右侧检修道盖板破损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</si>
  <si>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3.5m</t>
    </r>
    <r>
      <rPr>
        <sz val="10.5"/>
        <color theme="1"/>
        <rFont val="宋体"/>
        <charset val="134"/>
      </rPr>
      <t>，右侧检修道盖板破损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</si>
  <si>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标志、标线、轮廓标</t>
    </r>
  </si>
  <si>
    <r>
      <rPr>
        <sz val="10.5"/>
        <color theme="1"/>
        <rFont val="宋体"/>
        <charset val="134"/>
      </rPr>
      <t>磨损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</si>
  <si>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2.0m</t>
    </r>
    <r>
      <rPr>
        <sz val="10.5"/>
        <color theme="1"/>
        <rFont val="宋体"/>
        <charset val="134"/>
      </rPr>
      <t>，右侧路面标线局部磨损，长度约</t>
    </r>
    <r>
      <rPr>
        <sz val="10.5"/>
        <color theme="1"/>
        <rFont val="Times New Roman"/>
        <charset val="134"/>
      </rPr>
      <t>1m</t>
    </r>
  </si>
  <si>
    <t>距板端0m，右侧排水边沟堵塞，长度为15m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</si>
  <si>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1.0m</t>
    </r>
    <r>
      <rPr>
        <sz val="10.5"/>
        <color theme="1"/>
        <rFont val="宋体"/>
        <charset val="134"/>
      </rPr>
      <t>，右侧检修道盖板破损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</si>
  <si>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标志损坏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</si>
  <si>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3.0m</t>
    </r>
    <r>
      <rPr>
        <sz val="10.5"/>
        <color theme="1"/>
        <rFont val="宋体"/>
        <charset val="134"/>
      </rPr>
      <t>，右侧边墙消防指示标志损坏</t>
    </r>
  </si>
  <si>
    <r>
      <rPr>
        <sz val="11"/>
        <color theme="1"/>
        <rFont val="宋体"/>
        <charset val="134"/>
      </rPr>
      <t>中间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</si>
  <si>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，路面中央标线局部磨损，长度约</t>
    </r>
    <r>
      <rPr>
        <sz val="10.5"/>
        <color theme="1"/>
        <rFont val="Times New Roman"/>
        <charset val="134"/>
      </rPr>
      <t>2m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</si>
  <si>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0.5m</t>
    </r>
    <r>
      <rPr>
        <sz val="10.5"/>
        <color theme="1"/>
        <rFont val="宋体"/>
        <charset val="134"/>
      </rPr>
      <t>，右侧检修道盖板破损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</si>
  <si>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1m</t>
    </r>
    <r>
      <rPr>
        <sz val="11"/>
        <color theme="1"/>
        <rFont val="宋体"/>
        <charset val="134"/>
      </rPr>
      <t>，行车道路面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处坑槽，面积为</t>
    </r>
    <r>
      <rPr>
        <sz val="11"/>
        <color theme="1"/>
        <rFont val="Times New Roman"/>
        <charset val="134"/>
      </rPr>
      <t>0.1×0.2m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，深度为</t>
    </r>
    <r>
      <rPr>
        <sz val="11"/>
        <color theme="1"/>
        <rFont val="Times New Roman"/>
        <charset val="134"/>
      </rPr>
      <t>20mm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</si>
  <si>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0.30mm</t>
    </r>
    <r>
      <rPr>
        <sz val="10.5"/>
        <color theme="1"/>
        <rFont val="宋体"/>
        <charset val="134"/>
      </rPr>
      <t>，修复后开裂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</si>
  <si>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，行车道路面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处坑槽、破损，面积为</t>
    </r>
    <r>
      <rPr>
        <sz val="11"/>
        <color theme="1"/>
        <rFont val="Times New Roman"/>
        <charset val="134"/>
      </rPr>
      <t>0.02m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，深度为</t>
    </r>
    <r>
      <rPr>
        <sz val="11"/>
        <color theme="1"/>
        <rFont val="Times New Roman"/>
        <charset val="134"/>
      </rPr>
      <t>20mm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</si>
  <si>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，路面网状裂缝，局部破损，面积为</t>
    </r>
    <r>
      <rPr>
        <sz val="11"/>
        <color theme="1"/>
        <rFont val="Times New Roman"/>
        <charset val="134"/>
      </rPr>
      <t>1.5×1.0m</t>
    </r>
    <r>
      <rPr>
        <vertAlign val="superscript"/>
        <sz val="11"/>
        <color theme="1"/>
        <rFont val="Times New Roman"/>
        <charset val="134"/>
      </rPr>
      <t>2</t>
    </r>
  </si>
  <si>
    <t>距板端2m，路面中部坑槽，面积为1.0×0.5m2，深度为20mm</t>
  </si>
  <si>
    <r>
      <rPr>
        <sz val="11"/>
        <color rgb="FF000000"/>
        <rFont val="宋体"/>
        <charset val="134"/>
      </rPr>
      <t>露骨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</si>
  <si>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，行车道路面剥蚀、露骨料，面积为</t>
    </r>
    <r>
      <rPr>
        <sz val="11"/>
        <color theme="1"/>
        <rFont val="Times New Roman"/>
        <charset val="134"/>
      </rPr>
      <t>1.0×7.0m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</si>
  <si>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，行车道路面坑槽，面积为</t>
    </r>
    <r>
      <rPr>
        <sz val="11"/>
        <color theme="1"/>
        <rFont val="Times New Roman"/>
        <charset val="134"/>
      </rPr>
      <t>0.2×0.2m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，深度为</t>
    </r>
    <r>
      <rPr>
        <sz val="11"/>
        <color theme="1"/>
        <rFont val="Times New Roman"/>
        <charset val="134"/>
      </rPr>
      <t>10mm</t>
    </r>
  </si>
  <si>
    <t>距板端3m，路面横向裂缝，长度为7.5m，宽度为2.0mm</t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</si>
  <si>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9m</t>
    </r>
    <r>
      <rPr>
        <sz val="11"/>
        <rFont val="宋体"/>
        <charset val="134"/>
      </rPr>
      <t>，左检道盖板掉角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</si>
  <si>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1"/>
        <color rgb="FF000000"/>
        <rFont val="宋体"/>
        <charset val="134"/>
      </rPr>
      <t>划痕</t>
    </r>
  </si>
  <si>
    <t>距板端0m，行车道路面1处划痕，长度为7.5m，宽度为10mm</t>
  </si>
  <si>
    <t>距板端4.5m，路面横向裂缝，长度为7.5m，宽度为2.0mm</t>
  </si>
  <si>
    <r>
      <rPr>
        <sz val="10.5"/>
        <rFont val="宋体"/>
        <charset val="134"/>
      </rPr>
      <t>内装饰</t>
    </r>
  </si>
  <si>
    <r>
      <rPr>
        <sz val="10.5"/>
        <color theme="1"/>
        <rFont val="宋体"/>
        <charset val="134"/>
      </rPr>
      <t>涂层脱落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</si>
  <si>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，右拱腰涂层脱落，面积为</t>
    </r>
    <r>
      <rPr>
        <sz val="10.5"/>
        <color theme="1"/>
        <rFont val="Times New Roman"/>
        <charset val="134"/>
      </rPr>
      <t>0.09m</t>
    </r>
    <r>
      <rPr>
        <vertAlign val="superscript"/>
        <sz val="10.5"/>
        <color theme="1"/>
        <rFont val="Times New Roman"/>
        <charset val="134"/>
      </rPr>
      <t>2</t>
    </r>
  </si>
  <si>
    <t>距板端0.5m，路面横向裂缝，长度为7.5m，宽度为2.0mm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</si>
  <si>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</si>
  <si>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，左拱腰涂层脱落，面积</t>
    </r>
    <r>
      <rPr>
        <sz val="10.5"/>
        <color theme="1"/>
        <rFont val="Times New Roman"/>
        <charset val="134"/>
      </rPr>
      <t>0.2m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</si>
  <si>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，左拱腰涂层脱落，面积</t>
    </r>
    <r>
      <rPr>
        <sz val="10.5"/>
        <color theme="1"/>
        <rFont val="Times New Roman"/>
        <charset val="134"/>
      </rPr>
      <t>0.4m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</si>
  <si>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，已修补</t>
    </r>
  </si>
  <si>
    <t>距板端0m，行车道路面横向裂缝，长度为3.75m，宽度为2.0mm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</si>
  <si>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，右拱腰涂层脱落，面积为</t>
    </r>
    <r>
      <rPr>
        <sz val="10.5"/>
        <color theme="1"/>
        <rFont val="Times New Roman"/>
        <charset val="134"/>
      </rPr>
      <t>0.02m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</si>
  <si>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</si>
  <si>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，拱顶涂层脱落，面积为</t>
    </r>
    <r>
      <rPr>
        <sz val="10.5"/>
        <color theme="1"/>
        <rFont val="Times New Roman"/>
        <charset val="134"/>
      </rPr>
      <t>0.1×0.3m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</si>
  <si>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4.5m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</si>
  <si>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</si>
  <si>
    <t>距板端5.5m，路面横向裂缝，长度为7.5m，宽度为2.0mm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</si>
  <si>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，右拱腰涂层脱落，面积为</t>
    </r>
    <r>
      <rPr>
        <sz val="10.5"/>
        <color theme="1"/>
        <rFont val="Times New Roman"/>
        <charset val="134"/>
      </rPr>
      <t>0.04m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</si>
  <si>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5.5m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</si>
  <si>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  <r>
      <rPr>
        <sz val="10.5"/>
        <color theme="1"/>
        <rFont val="宋体"/>
        <charset val="134"/>
      </rPr>
      <t>，修补处起皮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</si>
  <si>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</si>
  <si>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7m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2.0mm</t>
    </r>
  </si>
  <si>
    <t>距板端1m，路面横向裂缝，长度为7.5m，宽度为2.0mm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</si>
  <si>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</si>
  <si>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042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</si>
  <si>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0.30mm</t>
    </r>
    <r>
      <rPr>
        <sz val="10.5"/>
        <color theme="1"/>
        <rFont val="宋体"/>
        <charset val="134"/>
      </rPr>
      <t>，已修补</t>
    </r>
  </si>
  <si>
    <r>
      <rPr>
        <sz val="10.5"/>
        <color rgb="FFFF0000"/>
        <rFont val="宋体"/>
        <charset val="134"/>
      </rPr>
      <t>距板端</t>
    </r>
    <r>
      <rPr>
        <sz val="10.5"/>
        <color rgb="FFFF0000"/>
        <rFont val="Times New Roman"/>
        <charset val="134"/>
      </rPr>
      <t>5m</t>
    </r>
    <r>
      <rPr>
        <sz val="10.5"/>
        <color rgb="FFFF0000"/>
        <rFont val="宋体"/>
        <charset val="134"/>
      </rPr>
      <t>，拱顶环向裂缝，长度</t>
    </r>
    <r>
      <rPr>
        <sz val="10.5"/>
        <color rgb="FFFF0000"/>
        <rFont val="Times New Roman"/>
        <charset val="134"/>
      </rPr>
      <t>2m</t>
    </r>
    <r>
      <rPr>
        <sz val="10.5"/>
        <color rgb="FFFF0000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</si>
  <si>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，行车道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处坑槽伴有积水，面积为</t>
    </r>
    <r>
      <rPr>
        <sz val="11"/>
        <color theme="1"/>
        <rFont val="Times New Roman"/>
        <charset val="134"/>
      </rPr>
      <t>0.2×0.4m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，深度为</t>
    </r>
    <r>
      <rPr>
        <sz val="11"/>
        <color theme="1"/>
        <rFont val="Times New Roman"/>
        <charset val="134"/>
      </rPr>
      <t>10mm</t>
    </r>
  </si>
  <si>
    <r>
      <rPr>
        <sz val="11"/>
        <color rgb="FFFF0000"/>
        <rFont val="宋体"/>
        <charset val="134"/>
      </rPr>
      <t>距板端</t>
    </r>
    <r>
      <rPr>
        <sz val="11"/>
        <color rgb="FFFF0000"/>
        <rFont val="Times New Roman"/>
        <charset val="134"/>
      </rPr>
      <t>0.5m</t>
    </r>
    <r>
      <rPr>
        <sz val="11"/>
        <color rgb="FFFF0000"/>
        <rFont val="宋体"/>
        <charset val="134"/>
      </rPr>
      <t>，拱顶环向裂缝，长度</t>
    </r>
    <r>
      <rPr>
        <sz val="11"/>
        <color rgb="FFFF0000"/>
        <rFont val="Times New Roman"/>
        <charset val="134"/>
      </rPr>
      <t>4m</t>
    </r>
    <r>
      <rPr>
        <sz val="11"/>
        <color rgb="FFFF0000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</si>
  <si>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044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</si>
  <si>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</si>
  <si>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，左拱腰涂层脱落，面积</t>
    </r>
    <r>
      <rPr>
        <sz val="10.5"/>
        <color theme="1"/>
        <rFont val="Times New Roman"/>
        <charset val="134"/>
      </rPr>
      <t>0.1×1.8m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</si>
  <si>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，已修补</t>
    </r>
  </si>
  <si>
    <t>距板端0m，路面横向裂缝，长度为7.5m，宽度为2.0mm</t>
  </si>
  <si>
    <t>距板端6m，路面横向裂缝，长度为7.5m，宽度为2.0mm</t>
  </si>
  <si>
    <t>距板端8m，路面横向裂缝，长度为7.5m，宽度为2.0mm</t>
  </si>
  <si>
    <t>距板端5.5m，路面横向裂缝，长度为7.5m，宽度为2.5mm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</si>
  <si>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，拱顶涂层脱落，面积为</t>
    </r>
    <r>
      <rPr>
        <sz val="10.5"/>
        <color theme="1"/>
        <rFont val="Times New Roman"/>
        <charset val="134"/>
      </rPr>
      <t>0.1m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</si>
  <si>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Times New Roman"/>
        <charset val="134"/>
      </rPr>
      <t>52-56</t>
    </r>
    <r>
      <rPr>
        <sz val="10.5"/>
        <color theme="1"/>
        <rFont val="宋体"/>
        <charset val="134"/>
      </rPr>
      <t>号板，距板端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，左拱腰渗水印迹，累计面积为</t>
    </r>
    <r>
      <rPr>
        <sz val="10.5"/>
        <color theme="1"/>
        <rFont val="Times New Roman"/>
        <charset val="134"/>
      </rPr>
      <t>15m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</si>
  <si>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，拱顶涂层脱落，面积为</t>
    </r>
    <r>
      <rPr>
        <sz val="10.5"/>
        <color theme="1"/>
        <rFont val="Times New Roman"/>
        <charset val="134"/>
      </rPr>
      <t>0.1×4m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</si>
  <si>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rgb="FF000000"/>
        <rFont val="宋体"/>
        <charset val="134"/>
      </rPr>
      <t>沉陷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</si>
  <si>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9m</t>
    </r>
    <r>
      <rPr>
        <sz val="11"/>
        <color theme="1"/>
        <rFont val="宋体"/>
        <charset val="134"/>
      </rPr>
      <t>，路面破损沉陷已修补，面积为</t>
    </r>
    <r>
      <rPr>
        <sz val="11"/>
        <color theme="1"/>
        <rFont val="Times New Roman"/>
        <charset val="134"/>
      </rPr>
      <t>3.0×1.0m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，深度为</t>
    </r>
    <r>
      <rPr>
        <sz val="11"/>
        <color theme="1"/>
        <rFont val="Times New Roman"/>
        <charset val="134"/>
      </rPr>
      <t>10mm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</si>
  <si>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，左拱腰渗水印迹，面积为</t>
    </r>
    <r>
      <rPr>
        <sz val="10.5"/>
        <color theme="1"/>
        <rFont val="Times New Roman"/>
        <charset val="134"/>
      </rPr>
      <t>7m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</si>
  <si>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4m</t>
    </r>
    <r>
      <rPr>
        <sz val="11"/>
        <rFont val="宋体"/>
        <charset val="134"/>
      </rPr>
      <t>，左侧墙环向裂缝，长度为</t>
    </r>
    <r>
      <rPr>
        <sz val="11"/>
        <rFont val="Times New Roman"/>
        <charset val="134"/>
      </rPr>
      <t>2.2m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>0.10mm</t>
    </r>
  </si>
  <si>
    <t>51~57</t>
  </si>
  <si>
    <t>入口侧</t>
  </si>
  <si>
    <t>截水沟损坏</t>
  </si>
  <si>
    <r>
      <rPr>
        <sz val="11"/>
        <color rgb="FF000000"/>
        <rFont val="宋体"/>
        <charset val="134"/>
      </rPr>
      <t>入口洞顶截水沟局部损坏，长度约</t>
    </r>
    <r>
      <rPr>
        <sz val="11"/>
        <color rgb="FF000000"/>
        <rFont val="Times New Roman"/>
        <charset val="134"/>
      </rPr>
      <t>1.5m</t>
    </r>
  </si>
  <si>
    <r>
      <rPr>
        <sz val="10.5"/>
        <color theme="1"/>
        <rFont val="宋体"/>
        <charset val="134"/>
      </rPr>
      <t>出洞口山体左侧存在初步滑坡迹象，面积约</t>
    </r>
    <r>
      <rPr>
        <sz val="10.5"/>
        <color theme="1"/>
        <rFont val="Times New Roman"/>
        <charset val="134"/>
      </rPr>
      <t>20×20m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，已修补</t>
    </r>
  </si>
  <si>
    <r>
      <rPr>
        <sz val="11"/>
        <color rgb="FF000000"/>
        <rFont val="宋体"/>
        <charset val="134"/>
      </rPr>
      <t>入口侧洞门右侧露筋，长度为</t>
    </r>
    <r>
      <rPr>
        <sz val="11"/>
        <color rgb="FF000000"/>
        <rFont val="Times New Roman"/>
        <charset val="134"/>
      </rPr>
      <t>0.8m</t>
    </r>
  </si>
  <si>
    <r>
      <rPr>
        <sz val="11"/>
        <rFont val="宋体"/>
        <charset val="134"/>
      </rPr>
      <t>入洞口洞门左侧露筋，长度为</t>
    </r>
    <r>
      <rPr>
        <sz val="11"/>
        <rFont val="Times New Roman"/>
        <charset val="134"/>
      </rPr>
      <t>2m</t>
    </r>
  </si>
  <si>
    <r>
      <rPr>
        <sz val="10.5"/>
        <color theme="1"/>
        <rFont val="宋体"/>
        <charset val="134"/>
      </rPr>
      <t>洞门开裂</t>
    </r>
  </si>
  <si>
    <r>
      <rPr>
        <sz val="10.5"/>
        <color theme="1"/>
        <rFont val="宋体"/>
        <charset val="134"/>
      </rPr>
      <t>出洞口洞门上方开裂，长度为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2.00mm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</si>
  <si>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，超车道路面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处坑槽，面积为</t>
    </r>
    <r>
      <rPr>
        <sz val="11"/>
        <color theme="1"/>
        <rFont val="Times New Roman"/>
        <charset val="134"/>
      </rPr>
      <t>0.5×0.3m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，深度为</t>
    </r>
    <r>
      <rPr>
        <sz val="11"/>
        <color theme="1"/>
        <rFont val="Times New Roman"/>
        <charset val="134"/>
      </rPr>
      <t>10mm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</si>
  <si>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，拱顶涂层脱落，面积为</t>
    </r>
    <r>
      <rPr>
        <sz val="11"/>
        <rFont val="Times New Roman"/>
        <charset val="134"/>
      </rPr>
      <t>0.1×0.2m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</si>
  <si>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2m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，未见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</si>
  <si>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，已修补</t>
    </r>
  </si>
  <si>
    <t>距板端6m，左侧检修道盖板陷落2块</t>
  </si>
  <si>
    <t>距板端7m，左侧检修道盖板陷落2块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</si>
  <si>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3m</t>
    </r>
    <r>
      <rPr>
        <sz val="11"/>
        <color theme="1"/>
        <rFont val="宋体"/>
        <charset val="134"/>
      </rPr>
      <t>，右侧检修道侧壁轮廓标缺失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</si>
  <si>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0.30mm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</si>
  <si>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4m</t>
    </r>
    <r>
      <rPr>
        <sz val="11"/>
        <color theme="1"/>
        <rFont val="宋体"/>
        <charset val="134"/>
      </rPr>
      <t>，右侧检修道盖板破损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</si>
  <si>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8m</t>
    </r>
    <r>
      <rPr>
        <sz val="11"/>
        <color theme="1"/>
        <rFont val="宋体"/>
        <charset val="134"/>
      </rPr>
      <t>，右侧检修道侧壁轮廓标缺失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</si>
  <si>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1m</t>
    </r>
    <r>
      <rPr>
        <sz val="11"/>
        <rFont val="宋体"/>
        <charset val="134"/>
      </rPr>
      <t>，左拱腰环向裂缝，长度为</t>
    </r>
    <r>
      <rPr>
        <sz val="11"/>
        <rFont val="Times New Roman"/>
        <charset val="134"/>
      </rPr>
      <t>2.0m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
0.30mm</t>
    </r>
    <r>
      <rPr>
        <sz val="1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</si>
  <si>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9m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</si>
  <si>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第一处人行横通道左侧墙网状裂缝修补处起皮脱落，面积约</t>
    </r>
    <r>
      <rPr>
        <sz val="10.5"/>
        <color theme="1"/>
        <rFont val="Times New Roman"/>
        <charset val="134"/>
      </rPr>
      <t>1.5×1.5m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</si>
  <si>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7m</t>
    </r>
    <r>
      <rPr>
        <sz val="11"/>
        <color theme="1"/>
        <rFont val="宋体"/>
        <charset val="134"/>
      </rPr>
      <t>，右侧检修道侧壁轮廓标缺失</t>
    </r>
  </si>
  <si>
    <t>距板端3m、5m，左侧检修道盖板陷落3块</t>
  </si>
  <si>
    <t>距板端0m，左侧检修道盖板陷落1块</t>
  </si>
  <si>
    <t>距板端4.5m，左侧检修道盖板陷落1块</t>
  </si>
  <si>
    <t>距板端1m，左侧检修道盖板陷落1块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</si>
  <si>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，预留孔洞处渗水印迹，面积为</t>
    </r>
    <r>
      <rPr>
        <sz val="10.5"/>
        <color theme="1"/>
        <rFont val="Times New Roman"/>
        <charset val="134"/>
      </rPr>
      <t>0.36m</t>
    </r>
    <r>
      <rPr>
        <vertAlign val="superscript"/>
        <sz val="10.5"/>
        <color theme="1"/>
        <rFont val="Times New Roman"/>
        <charset val="134"/>
      </rPr>
      <t>2</t>
    </r>
  </si>
  <si>
    <t>距板端8m，左侧检修道盖板陷落2块</t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</si>
  <si>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，距拱顶中心线</t>
    </r>
    <r>
      <rPr>
        <sz val="11"/>
        <rFont val="Times New Roman"/>
        <charset val="134"/>
      </rPr>
      <t>1.5m</t>
    </r>
    <r>
      <rPr>
        <sz val="11"/>
        <rFont val="宋体"/>
        <charset val="134"/>
      </rPr>
      <t>，左拱腰纵向裂缝，长度为</t>
    </r>
    <r>
      <rPr>
        <sz val="11"/>
        <rFont val="Times New Roman"/>
        <charset val="134"/>
      </rPr>
      <t>9.0m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
0.50mm</t>
    </r>
    <r>
      <rPr>
        <sz val="1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</si>
  <si>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，右拱腰纵向裂缝，长度为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  <r>
      <rPr>
        <sz val="10.5"/>
        <color theme="1"/>
        <rFont val="宋体"/>
        <charset val="134"/>
      </rPr>
      <t>，已修补</t>
    </r>
  </si>
  <si>
    <t>不规则裂缝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</si>
  <si>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，不规则裂缝，面积为</t>
    </r>
    <r>
      <rPr>
        <sz val="10.5"/>
        <color theme="1"/>
        <rFont val="Times New Roman"/>
        <charset val="134"/>
      </rPr>
      <t>8m2</t>
    </r>
    <r>
      <rPr>
        <sz val="10.5"/>
        <color theme="1"/>
        <rFont val="宋体"/>
        <charset val="134"/>
      </rPr>
      <t>，累计长度为</t>
    </r>
    <r>
      <rPr>
        <sz val="10.5"/>
        <color theme="1"/>
        <rFont val="Times New Roman"/>
        <charset val="134"/>
      </rPr>
      <t>10m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</si>
  <si>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8.9m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</si>
  <si>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左边墙</t>
    </r>
  </si>
  <si>
    <r>
      <rPr>
        <sz val="10.5"/>
        <color theme="1"/>
        <rFont val="宋体"/>
        <charset val="134"/>
      </rPr>
      <t>瓷砖破损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</si>
  <si>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，瓷砖破损面积为</t>
    </r>
    <r>
      <rPr>
        <sz val="10.5"/>
        <color theme="1"/>
        <rFont val="Times New Roman"/>
        <charset val="134"/>
      </rPr>
      <t>0.02m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</si>
  <si>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8.9m</t>
    </r>
    <r>
      <rPr>
        <sz val="10.5"/>
        <color theme="1"/>
        <rFont val="宋体"/>
        <charset val="134"/>
      </rPr>
      <t>，距拱顶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>0.15m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</si>
  <si>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，已修补</t>
    </r>
  </si>
  <si>
    <t>距板端2m，左侧检修道盖板陷落1块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</si>
  <si>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6.5m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0.70mm</t>
    </r>
    <r>
      <rPr>
        <sz val="10.5"/>
        <color theme="1"/>
        <rFont val="宋体"/>
        <charset val="134"/>
      </rPr>
      <t>，已修补</t>
    </r>
  </si>
  <si>
    <t>距板端3m，左侧检修道盖板陷落1块</t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</si>
  <si>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6m</t>
    </r>
    <r>
      <rPr>
        <sz val="11"/>
        <rFont val="宋体"/>
        <charset val="134"/>
      </rPr>
      <t>，左侧边墙轮廓标缺失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个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</si>
  <si>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</si>
  <si>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</si>
  <si>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</si>
  <si>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0.1×3m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</si>
  <si>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0.2×4m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</si>
  <si>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077</t>
    </r>
    <r>
      <rPr>
        <sz val="10.5"/>
        <color theme="1"/>
        <rFont val="宋体"/>
        <charset val="134"/>
      </rPr>
      <t>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45m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</si>
  <si>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5m</t>
    </r>
    <r>
      <rPr>
        <sz val="11"/>
        <rFont val="宋体"/>
        <charset val="134"/>
      </rPr>
      <t>，左侧检修道侧壁轮廓标缺失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个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</si>
  <si>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8.5m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</si>
  <si>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3m</t>
    </r>
    <r>
      <rPr>
        <sz val="11"/>
        <rFont val="宋体"/>
        <charset val="134"/>
      </rPr>
      <t>，左侧检修道侧壁轮廓标缺失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个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</si>
  <si>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4m</t>
    </r>
    <r>
      <rPr>
        <sz val="11"/>
        <color theme="1"/>
        <rFont val="宋体"/>
        <charset val="134"/>
      </rPr>
      <t>，左侧检修道侧壁镶面破损，</t>
    </r>
    <r>
      <rPr>
        <sz val="11"/>
        <color theme="1"/>
        <rFont val="Times New Roman"/>
        <charset val="134"/>
      </rPr>
      <t>S=0.4×0.5m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</si>
  <si>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1m</t>
    </r>
    <r>
      <rPr>
        <sz val="11"/>
        <rFont val="宋体"/>
        <charset val="134"/>
      </rPr>
      <t>，左侧检修道侧壁轮廓标缺失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个</t>
    </r>
  </si>
  <si>
    <t>右侧边墙紧急停车带标志不亮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</si>
  <si>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0.2m</t>
    </r>
    <r>
      <rPr>
        <sz val="10.5"/>
        <color theme="1"/>
        <rFont val="宋体"/>
        <charset val="134"/>
      </rPr>
      <t>，环向露筋，累计长度为</t>
    </r>
    <r>
      <rPr>
        <sz val="10.5"/>
        <color theme="1"/>
        <rFont val="Times New Roman"/>
        <charset val="134"/>
      </rPr>
      <t>0.5m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</si>
  <si>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3.5m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，泌死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</si>
  <si>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，距拱顶中心线</t>
    </r>
    <r>
      <rPr>
        <sz val="11"/>
        <rFont val="Times New Roman"/>
        <charset val="134"/>
      </rPr>
      <t>4.5m</t>
    </r>
    <r>
      <rPr>
        <sz val="11"/>
        <rFont val="宋体"/>
        <charset val="134"/>
      </rPr>
      <t>，左拱腰纵向裂缝，长度为</t>
    </r>
    <r>
      <rPr>
        <sz val="11"/>
        <rFont val="Times New Roman"/>
        <charset val="134"/>
      </rPr>
      <t>8.5m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 xml:space="preserve">
0.70mm</t>
    </r>
    <r>
      <rPr>
        <sz val="1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</si>
  <si>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，纵向裂缝，长度</t>
    </r>
    <r>
      <rPr>
        <sz val="10.5"/>
        <color theme="1"/>
        <rFont val="Times New Roman"/>
        <charset val="134"/>
      </rPr>
      <t>7.7m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</si>
  <si>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8m</t>
    </r>
    <r>
      <rPr>
        <sz val="11"/>
        <color theme="1"/>
        <rFont val="宋体"/>
        <charset val="134"/>
      </rPr>
      <t>，右侧侧墙轮廓标缺失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</si>
  <si>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7m</t>
    </r>
    <r>
      <rPr>
        <sz val="11"/>
        <color theme="1"/>
        <rFont val="宋体"/>
        <charset val="134"/>
      </rPr>
      <t>，行车道路面横向裂缝，长度为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</si>
  <si>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，瓷砖破损面积为</t>
    </r>
    <r>
      <rPr>
        <sz val="10.5"/>
        <color theme="1"/>
        <rFont val="Times New Roman"/>
        <charset val="134"/>
      </rPr>
      <t>0.1×0.2m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（修复后破损）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</si>
  <si>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，涂层脱落面积为</t>
    </r>
    <r>
      <rPr>
        <sz val="10.5"/>
        <color theme="1"/>
        <rFont val="Times New Roman"/>
        <charset val="134"/>
      </rPr>
      <t>0.2m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</si>
  <si>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拱顶右拱腰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</si>
  <si>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3.5m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</si>
  <si>
    <r>
      <rPr>
        <sz val="11"/>
        <color theme="1"/>
        <rFont val="宋体"/>
        <charset val="134"/>
      </rPr>
      <t>距</t>
    </r>
    <r>
      <rPr>
        <sz val="11"/>
        <color theme="1"/>
        <rFont val="Times New Roman"/>
        <charset val="134"/>
      </rPr>
      <t>117</t>
    </r>
    <r>
      <rPr>
        <sz val="11"/>
        <color theme="1"/>
        <rFont val="宋体"/>
        <charset val="134"/>
      </rPr>
      <t>板板端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，右侧排水边沟堵塞，长度约</t>
    </r>
    <r>
      <rPr>
        <sz val="11"/>
        <color theme="1"/>
        <rFont val="Times New Roman"/>
        <charset val="134"/>
      </rPr>
      <t>40m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</si>
  <si>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3.5m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1.5×4m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</si>
  <si>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5m</t>
    </r>
    <r>
      <rPr>
        <sz val="11"/>
        <color theme="1"/>
        <rFont val="宋体"/>
        <charset val="134"/>
      </rPr>
      <t>，路面纵向裂缝，长度为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4mm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</si>
  <si>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0.2m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</si>
  <si>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，行车道路面纵向裂缝，长度为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</si>
  <si>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5.5m</t>
    </r>
    <r>
      <rPr>
        <sz val="10.5"/>
        <color theme="1"/>
        <rFont val="宋体"/>
        <charset val="134"/>
      </rPr>
      <t>，涂层脱落面积为</t>
    </r>
    <r>
      <rPr>
        <sz val="10.5"/>
        <color theme="1"/>
        <rFont val="Times New Roman"/>
        <charset val="134"/>
      </rPr>
      <t>0.3×0.4m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</si>
  <si>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2m</t>
    </r>
    <r>
      <rPr>
        <sz val="11"/>
        <color theme="1"/>
        <rFont val="宋体"/>
        <charset val="134"/>
      </rPr>
      <t>，行车道路面斜向裂缝，长度为</t>
    </r>
    <r>
      <rPr>
        <sz val="11"/>
        <color theme="1"/>
        <rFont val="Times New Roman"/>
        <charset val="134"/>
      </rPr>
      <t>6m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  <r>
      <rPr>
        <sz val="11"/>
        <color theme="1"/>
        <rFont val="宋体"/>
        <charset val="134"/>
      </rPr>
      <t>，部分已修补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</si>
  <si>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1m</t>
    </r>
    <r>
      <rPr>
        <sz val="11"/>
        <rFont val="宋体"/>
        <charset val="134"/>
      </rPr>
      <t>，左侧边墙瓷砖脱落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块，面积为</t>
    </r>
    <r>
      <rPr>
        <sz val="11"/>
        <rFont val="Times New Roman"/>
        <charset val="134"/>
      </rPr>
      <t>0.3×0.1m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</si>
  <si>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1×0.5m2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</si>
  <si>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7</t>
    </r>
    <r>
      <rPr>
        <sz val="10.5"/>
        <color theme="1"/>
        <rFont val="宋体"/>
        <charset val="134"/>
      </rPr>
      <t>处环向露筋，累计长度为</t>
    </r>
    <r>
      <rPr>
        <sz val="10.5"/>
        <color theme="1"/>
        <rFont val="Times New Roman"/>
        <charset val="134"/>
      </rPr>
      <t>2m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</si>
  <si>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，露筋锈蚀，长度为</t>
    </r>
    <r>
      <rPr>
        <sz val="10.5"/>
        <color theme="1"/>
        <rFont val="Times New Roman"/>
        <charset val="134"/>
      </rPr>
      <t>0.5m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</si>
  <si>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0.2×1m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</si>
  <si>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4</t>
    </r>
    <r>
      <rPr>
        <sz val="10.5"/>
        <color theme="1"/>
        <rFont val="宋体"/>
        <charset val="134"/>
      </rPr>
      <t>处露筋锈蚀，累计长度为</t>
    </r>
    <r>
      <rPr>
        <sz val="10.5"/>
        <color theme="1"/>
        <rFont val="Times New Roman"/>
        <charset val="134"/>
      </rPr>
      <t>2m</t>
    </r>
  </si>
  <si>
    <r>
      <rPr>
        <sz val="11"/>
        <rFont val="宋体"/>
        <charset val="134"/>
      </rPr>
      <t>右边墙</t>
    </r>
  </si>
  <si>
    <r>
      <rPr>
        <sz val="10.5"/>
        <color theme="1"/>
        <rFont val="宋体"/>
        <charset val="134"/>
      </rPr>
      <t>瓷砖脱落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</si>
  <si>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，瓷砖脱落，面积为</t>
    </r>
    <r>
      <rPr>
        <sz val="10.5"/>
        <color theme="1"/>
        <rFont val="Times New Roman"/>
        <charset val="134"/>
      </rPr>
      <t>0.3×0.1m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</si>
  <si>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4</t>
    </r>
    <r>
      <rPr>
        <sz val="10.5"/>
        <color theme="1"/>
        <rFont val="宋体"/>
        <charset val="134"/>
      </rPr>
      <t>处露筋锈蚀，累计长度为</t>
    </r>
    <r>
      <rPr>
        <sz val="10.5"/>
        <color theme="1"/>
        <rFont val="Times New Roman"/>
        <charset val="134"/>
      </rPr>
      <t>1.5m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</si>
  <si>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4.5m</t>
    </r>
    <r>
      <rPr>
        <sz val="11"/>
        <color theme="1"/>
        <rFont val="宋体"/>
        <charset val="134"/>
      </rPr>
      <t>，超车道路面横向裂缝，长度为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4mm</t>
    </r>
    <r>
      <rPr>
        <sz val="11"/>
        <color theme="1"/>
        <rFont val="宋体"/>
        <charset val="134"/>
      </rPr>
      <t>，部分已修补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</si>
  <si>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7.8m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</si>
  <si>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右侧墙左侧墙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</si>
  <si>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1.5×7.5m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Times New Roman"/>
        <charset val="134"/>
      </rPr>
      <t>×2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</si>
  <si>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6.5m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3</t>
    </r>
    <r>
      <rPr>
        <sz val="10.5"/>
        <color theme="1"/>
        <rFont val="宋体"/>
        <charset val="134"/>
      </rPr>
      <t>处露筋锈蚀，累计长度为</t>
    </r>
    <r>
      <rPr>
        <sz val="10.5"/>
        <color theme="1"/>
        <rFont val="Times New Roman"/>
        <charset val="134"/>
      </rPr>
      <t>1m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</si>
  <si>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3.5m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5</t>
    </r>
    <r>
      <rPr>
        <sz val="10.5"/>
        <color theme="1"/>
        <rFont val="宋体"/>
        <charset val="134"/>
      </rPr>
      <t>处露筋锈蚀，累计长度为</t>
    </r>
    <r>
      <rPr>
        <sz val="10.5"/>
        <color theme="1"/>
        <rFont val="Times New Roman"/>
        <charset val="134"/>
      </rPr>
      <t>0.8m</t>
    </r>
  </si>
  <si>
    <t>距板端3.5m，5处露筋锈蚀，累计长度为0.8m</t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</si>
  <si>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162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，环向露筋，累计长度为</t>
    </r>
    <r>
      <rPr>
        <sz val="10.5"/>
        <color theme="1"/>
        <rFont val="Times New Roman"/>
        <charset val="134"/>
      </rPr>
      <t>20m</t>
    </r>
  </si>
  <si>
    <r>
      <rPr>
        <sz val="11"/>
        <rFont val="宋体"/>
        <charset val="134"/>
      </rPr>
      <t>露筋锈蚀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</si>
  <si>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0.5m</t>
    </r>
    <r>
      <rPr>
        <sz val="11"/>
        <rFont val="宋体"/>
        <charset val="134"/>
      </rPr>
      <t>，左侧拱腰露筋锈蚀，长度为</t>
    </r>
    <r>
      <rPr>
        <sz val="11"/>
        <rFont val="Times New Roman"/>
        <charset val="134"/>
      </rPr>
      <t>1.5m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</si>
  <si>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6</t>
    </r>
    <r>
      <rPr>
        <sz val="10.5"/>
        <color theme="1"/>
        <rFont val="宋体"/>
        <charset val="134"/>
      </rPr>
      <t>处露筋锈蚀，累计长度为</t>
    </r>
    <r>
      <rPr>
        <sz val="10.5"/>
        <color theme="1"/>
        <rFont val="Times New Roman"/>
        <charset val="134"/>
      </rPr>
      <t>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</si>
  <si>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3</t>
    </r>
    <r>
      <rPr>
        <sz val="10.5"/>
        <color theme="1"/>
        <rFont val="宋体"/>
        <charset val="134"/>
      </rPr>
      <t>处露筋锈蚀，累计长度为</t>
    </r>
    <r>
      <rPr>
        <sz val="10.5"/>
        <color theme="1"/>
        <rFont val="Times New Roman"/>
        <charset val="134"/>
      </rPr>
      <t>3m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</si>
  <si>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1.6m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</si>
  <si>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起层剥落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</si>
  <si>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处起层剥落，累计面积为</t>
    </r>
    <r>
      <rPr>
        <sz val="10.5"/>
        <color theme="1"/>
        <rFont val="Times New Roman"/>
        <charset val="134"/>
      </rPr>
      <t>0.3×1m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Times New Roman"/>
        <charset val="134"/>
      </rPr>
      <t>×2</t>
    </r>
    <r>
      <rPr>
        <sz val="10.5"/>
        <color theme="1"/>
        <rFont val="宋体"/>
        <charset val="134"/>
      </rPr>
      <t>，止水带外露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</si>
  <si>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，左侧拱腰露筋锈蚀，长度为</t>
    </r>
    <r>
      <rPr>
        <sz val="11"/>
        <rFont val="Times New Roman"/>
        <charset val="134"/>
      </rPr>
      <t>0.2m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</si>
  <si>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3</t>
    </r>
    <r>
      <rPr>
        <sz val="10.5"/>
        <color theme="1"/>
        <rFont val="宋体"/>
        <charset val="134"/>
      </rPr>
      <t>处露筋，长度为</t>
    </r>
    <r>
      <rPr>
        <sz val="10.5"/>
        <color theme="1"/>
        <rFont val="Times New Roman"/>
        <charset val="134"/>
      </rPr>
      <t>0.3×3m</t>
    </r>
  </si>
  <si>
    <t>距板端1m，左侧检修道盖板陷落3块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</si>
  <si>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4.5m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3</t>
    </r>
    <r>
      <rPr>
        <sz val="10.5"/>
        <color theme="1"/>
        <rFont val="宋体"/>
        <charset val="134"/>
      </rPr>
      <t>处露筋锈蚀，累计长度为</t>
    </r>
    <r>
      <rPr>
        <sz val="10.5"/>
        <color theme="1"/>
        <rFont val="Times New Roman"/>
        <charset val="134"/>
      </rPr>
      <t>1m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</si>
  <si>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，纵向露筋，长度为</t>
    </r>
    <r>
      <rPr>
        <sz val="10.5"/>
        <color theme="1"/>
        <rFont val="Times New Roman"/>
        <charset val="134"/>
      </rPr>
      <t>15m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</si>
  <si>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，施工缝处混凝土破损，止水带外露，长度为</t>
    </r>
    <r>
      <rPr>
        <sz val="10.5"/>
        <color theme="1"/>
        <rFont val="Times New Roman"/>
        <charset val="134"/>
      </rPr>
      <t>1.5m</t>
    </r>
  </si>
  <si>
    <t>距板端3m，纵向露筋，长度为15m</t>
  </si>
  <si>
    <t>距板端7m，露筋锈蚀，长度为0.7m</t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</si>
  <si>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182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，纵向露筋，长度为</t>
    </r>
    <r>
      <rPr>
        <sz val="10.5"/>
        <color theme="1"/>
        <rFont val="Times New Roman"/>
        <charset val="134"/>
      </rPr>
      <t>15m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</si>
  <si>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3.5m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处露筋锈蚀，累计长度为</t>
    </r>
    <r>
      <rPr>
        <sz val="10.5"/>
        <color theme="1"/>
        <rFont val="Times New Roman"/>
        <charset val="134"/>
      </rPr>
      <t>1.5m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</si>
  <si>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，右侧排水边沟废料堆积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</si>
  <si>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，露筋锈蚀，长度为</t>
    </r>
    <r>
      <rPr>
        <sz val="10.5"/>
        <color theme="1"/>
        <rFont val="Times New Roman"/>
        <charset val="134"/>
      </rPr>
      <t>0.6m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</si>
  <si>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6m</t>
    </r>
    <r>
      <rPr>
        <sz val="11"/>
        <rFont val="宋体"/>
        <charset val="134"/>
      </rPr>
      <t>，左侧检修道侧壁轮廓标缺失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个</t>
    </r>
  </si>
  <si>
    <t>181~193</t>
  </si>
  <si>
    <r>
      <rPr>
        <sz val="10.5"/>
        <color theme="1"/>
        <rFont val="宋体"/>
        <charset val="134"/>
      </rPr>
      <t>入洞口洞门右侧混凝土起层剥落，面积为</t>
    </r>
    <r>
      <rPr>
        <sz val="10.5"/>
        <color theme="1"/>
        <rFont val="Times New Roman"/>
        <charset val="134"/>
      </rPr>
      <t>0.6m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，修后破损</t>
    </r>
  </si>
  <si>
    <r>
      <rPr>
        <sz val="10.5"/>
        <color theme="1"/>
        <rFont val="宋体"/>
        <charset val="134"/>
      </rPr>
      <t>入洞口洞门右侧露筋锈蚀，长度为</t>
    </r>
    <r>
      <rPr>
        <sz val="10.5"/>
        <color theme="1"/>
        <rFont val="Times New Roman"/>
        <charset val="134"/>
      </rPr>
      <t>0.6m</t>
    </r>
  </si>
  <si>
    <t>距板端0m，右侧沉砂井滤水篦子破损</t>
  </si>
  <si>
    <r>
      <rPr>
        <sz val="10.5"/>
        <color theme="1"/>
        <rFont val="宋体"/>
        <charset val="134"/>
      </rPr>
      <t>全断面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</si>
  <si>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，全断面涂层脱落，面积为</t>
    </r>
    <r>
      <rPr>
        <sz val="10.5"/>
        <color theme="1"/>
        <rFont val="Times New Roman"/>
        <charset val="134"/>
      </rPr>
      <t xml:space="preserve"> 0.2×6m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</si>
  <si>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5.6m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</si>
  <si>
    <r>
      <rPr>
        <sz val="10.5"/>
        <color theme="1"/>
        <rFont val="宋体"/>
        <charset val="134"/>
      </rPr>
      <t>左拱腰、拱顶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</si>
  <si>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，左拱腰、拱顶渗水印迹，面积为</t>
    </r>
    <r>
      <rPr>
        <sz val="10.5"/>
        <color theme="1"/>
        <rFont val="Times New Roman"/>
        <charset val="134"/>
      </rPr>
      <t>0.2×3m</t>
    </r>
    <r>
      <rPr>
        <vertAlign val="superscript"/>
        <sz val="10.5"/>
        <color theme="1"/>
        <rFont val="Times New Roman"/>
        <charset val="134"/>
      </rPr>
      <t>2</t>
    </r>
  </si>
  <si>
    <t>距板端0m，右侧排水边沟堵塞，长度为10m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</si>
  <si>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</si>
  <si>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</si>
  <si>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，修后破损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</si>
  <si>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4.5m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</si>
  <si>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，右拱腰涂层脱落，面积为</t>
    </r>
    <r>
      <rPr>
        <sz val="10.5"/>
        <color theme="1"/>
        <rFont val="Times New Roman"/>
        <charset val="134"/>
      </rPr>
      <t xml:space="preserve"> 0.15m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</si>
  <si>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3.5m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</si>
  <si>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0.3m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</si>
  <si>
    <t>距板端0m，左拱腰涂层脱落，面积 0.04m2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</si>
  <si>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</si>
  <si>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</si>
  <si>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</si>
  <si>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，修后破损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</si>
  <si>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</si>
  <si>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8.5m</t>
    </r>
    <r>
      <rPr>
        <sz val="10.5"/>
        <color theme="1"/>
        <rFont val="宋体"/>
        <charset val="134"/>
      </rPr>
      <t>，右侧检修道盖板陷落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</si>
  <si>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t>盖板缺角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</si>
  <si>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，右侧检修道盖板缺角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</si>
  <si>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，修补处起皮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</si>
  <si>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，左拱腰涂层修补不良，面积</t>
    </r>
    <r>
      <rPr>
        <sz val="10.5"/>
        <color theme="1"/>
        <rFont val="Times New Roman"/>
        <charset val="134"/>
      </rPr>
      <t xml:space="preserve"> 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</si>
  <si>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，左拱腰涂层脱落，面积</t>
    </r>
    <r>
      <rPr>
        <sz val="10.5"/>
        <color theme="1"/>
        <rFont val="Times New Roman"/>
        <charset val="134"/>
      </rPr>
      <t xml:space="preserve"> 1.5m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</si>
  <si>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2.5m</t>
    </r>
    <r>
      <rPr>
        <sz val="11"/>
        <rFont val="宋体"/>
        <charset val="134"/>
      </rPr>
      <t>，左检道盖板缺角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</si>
  <si>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028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</si>
  <si>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，右拱腰涂层脱落，面积为</t>
    </r>
    <r>
      <rPr>
        <sz val="10.5"/>
        <color theme="1"/>
        <rFont val="Times New Roman"/>
        <charset val="134"/>
      </rPr>
      <t xml:space="preserve"> 0.1m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</si>
  <si>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7m</t>
    </r>
    <r>
      <rPr>
        <sz val="11"/>
        <rFont val="宋体"/>
        <charset val="134"/>
      </rPr>
      <t>，左检道盖板缺角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</si>
  <si>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，不规则裂缝，长度为</t>
    </r>
    <r>
      <rPr>
        <sz val="10.5"/>
        <color theme="1"/>
        <rFont val="Times New Roman"/>
        <charset val="134"/>
      </rPr>
      <t>12m</t>
    </r>
    <r>
      <rPr>
        <sz val="10.5"/>
        <color theme="1"/>
        <rFont val="宋体"/>
        <charset val="134"/>
      </rPr>
      <t>，修补处起皮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</si>
  <si>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033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，已修补</t>
    </r>
  </si>
  <si>
    <t>距板端7m，右侧检修道盖板破损1块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</si>
  <si>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</si>
  <si>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5m</t>
    </r>
    <r>
      <rPr>
        <sz val="11"/>
        <rFont val="宋体"/>
        <charset val="134"/>
      </rPr>
      <t>，左侧墙环向裂缝，长度为</t>
    </r>
    <r>
      <rPr>
        <sz val="11"/>
        <rFont val="Times New Roman"/>
        <charset val="134"/>
      </rPr>
      <t>1.0m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>0.10mm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</si>
  <si>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</si>
  <si>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，左检道盖板缺角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</si>
  <si>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0.5"/>
        <color rgb="FF000000"/>
        <rFont val="宋体"/>
        <charset val="134"/>
      </rPr>
      <t>距板端</t>
    </r>
    <r>
      <rPr>
        <sz val="10.5"/>
        <color rgb="FF000000"/>
        <rFont val="Times New Roman"/>
        <charset val="134"/>
      </rPr>
      <t>0m</t>
    </r>
    <r>
      <rPr>
        <sz val="10.5"/>
        <color rgb="FF000000"/>
        <rFont val="宋体"/>
        <charset val="134"/>
      </rPr>
      <t>，左拱腰渗水印迹，面积为</t>
    </r>
    <r>
      <rPr>
        <sz val="10.5"/>
        <color rgb="FF000000"/>
        <rFont val="Times New Roman"/>
        <charset val="134"/>
      </rPr>
      <t>20m</t>
    </r>
    <r>
      <rPr>
        <vertAlign val="superscript"/>
        <sz val="10.5"/>
        <color rgb="FF000000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</si>
  <si>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，右侧检修道盖板缺角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</si>
  <si>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8m</t>
    </r>
    <r>
      <rPr>
        <sz val="11"/>
        <rFont val="宋体"/>
        <charset val="134"/>
      </rPr>
      <t>，左检道侧壁轮廓标缺失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个</t>
    </r>
  </si>
  <si>
    <r>
      <rPr>
        <sz val="11"/>
        <rFont val="宋体"/>
        <charset val="134"/>
      </rPr>
      <t>左拱腰</t>
    </r>
    <r>
      <rPr>
        <sz val="10.5"/>
        <color theme="1"/>
        <rFont val="宋体"/>
        <charset val="134"/>
      </rPr>
      <t>、拱顶</t>
    </r>
  </si>
  <si>
    <t>距板端0m，左拱腰、拱顶涂层脱落，面积 0.05m2</t>
  </si>
  <si>
    <t>距板端3.5m，右拱腰涂层脱落，面积为 0.5m2</t>
  </si>
  <si>
    <t>距板端2.5m，左拱腰涂层脱落，面积1.5m2</t>
  </si>
  <si>
    <t>41~51</t>
  </si>
  <si>
    <t>全隧道路面已重铺，未见明显病害</t>
  </si>
  <si>
    <r>
      <rPr>
        <sz val="11"/>
        <color indexed="8"/>
        <rFont val="宋体"/>
        <charset val="134"/>
      </rPr>
      <t>洞口</t>
    </r>
  </si>
  <si>
    <r>
      <rPr>
        <sz val="11"/>
        <color indexed="8"/>
        <rFont val="宋体"/>
        <charset val="134"/>
      </rPr>
      <t>入口侧</t>
    </r>
  </si>
  <si>
    <r>
      <rPr>
        <sz val="10.5"/>
        <color indexed="8"/>
        <rFont val="宋体"/>
        <charset val="134"/>
      </rPr>
      <t>裂缝</t>
    </r>
  </si>
  <si>
    <r>
      <rPr>
        <sz val="10.5"/>
        <color indexed="8"/>
        <rFont val="宋体"/>
        <charset val="134"/>
      </rPr>
      <t>入洞口左侧边坡喷混凝土开裂，杂草丛生</t>
    </r>
  </si>
  <si>
    <r>
      <rPr>
        <sz val="11"/>
        <color indexed="8"/>
        <rFont val="宋体"/>
        <charset val="134"/>
      </rPr>
      <t>洞门</t>
    </r>
  </si>
  <si>
    <r>
      <rPr>
        <sz val="11"/>
        <color indexed="8"/>
        <rFont val="宋体"/>
        <charset val="134"/>
      </rPr>
      <t>入口洞门</t>
    </r>
  </si>
  <si>
    <r>
      <rPr>
        <sz val="10.5"/>
        <color indexed="8"/>
        <rFont val="宋体"/>
        <charset val="134"/>
      </rPr>
      <t>麻面露筋</t>
    </r>
  </si>
  <si>
    <r>
      <rPr>
        <sz val="10.5"/>
        <color indexed="8"/>
        <rFont val="宋体"/>
        <charset val="134"/>
      </rPr>
      <t>入洞口洞门右侧麻面露筋，面积为</t>
    </r>
    <r>
      <rPr>
        <sz val="10.5"/>
        <color indexed="8"/>
        <rFont val="Times New Roman"/>
        <charset val="134"/>
      </rPr>
      <t>0.5m²</t>
    </r>
    <r>
      <rPr>
        <sz val="10.5"/>
        <color indexed="8"/>
        <rFont val="宋体"/>
        <charset val="134"/>
      </rPr>
      <t>，修复后破损</t>
    </r>
  </si>
  <si>
    <r>
      <rPr>
        <sz val="11"/>
        <color indexed="8"/>
        <rFont val="宋体"/>
        <charset val="134"/>
      </rPr>
      <t>出口洞门</t>
    </r>
  </si>
  <si>
    <r>
      <rPr>
        <sz val="10.5"/>
        <color indexed="8"/>
        <rFont val="宋体"/>
        <charset val="134"/>
      </rPr>
      <t>渗水印迹</t>
    </r>
  </si>
  <si>
    <r>
      <rPr>
        <sz val="10.5"/>
        <color indexed="8"/>
        <rFont val="宋体"/>
        <charset val="134"/>
      </rPr>
      <t>出洞口右侧端墙渗水印迹，面积为</t>
    </r>
    <r>
      <rPr>
        <sz val="10.5"/>
        <color indexed="8"/>
        <rFont val="Times New Roman"/>
        <charset val="134"/>
      </rPr>
      <t>50m²</t>
    </r>
  </si>
  <si>
    <r>
      <rPr>
        <sz val="11"/>
        <rFont val="宋体"/>
        <charset val="134"/>
      </rPr>
      <t>入洞口洞门左侧露筋，面积为</t>
    </r>
    <r>
      <rPr>
        <sz val="11"/>
        <rFont val="Times New Roman"/>
        <charset val="134"/>
      </rPr>
      <t>4m²</t>
    </r>
  </si>
  <si>
    <r>
      <rPr>
        <sz val="11"/>
        <color indexed="8"/>
        <rFont val="宋体"/>
        <charset val="134"/>
      </rPr>
      <t>衬砌</t>
    </r>
  </si>
  <si>
    <r>
      <rPr>
        <sz val="10.5"/>
        <color indexed="8"/>
        <rFont val="宋体"/>
        <charset val="134"/>
      </rPr>
      <t>左拱腰</t>
    </r>
  </si>
  <si>
    <r>
      <rPr>
        <sz val="10.5"/>
        <color indexed="8"/>
        <rFont val="宋体"/>
        <charset val="134"/>
      </rPr>
      <t>网状裂缝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</si>
  <si>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，网状裂缝，宽度为</t>
    </r>
    <r>
      <rPr>
        <sz val="10.5"/>
        <color indexed="8"/>
        <rFont val="Times New Roman"/>
        <charset val="134"/>
      </rPr>
      <t>0.5mm</t>
    </r>
    <r>
      <rPr>
        <sz val="10.5"/>
        <color indexed="8"/>
        <rFont val="宋体"/>
        <charset val="134"/>
      </rPr>
      <t>，面积为</t>
    </r>
    <r>
      <rPr>
        <sz val="10.5"/>
        <color indexed="8"/>
        <rFont val="Times New Roman"/>
        <charset val="134"/>
      </rPr>
      <t>30m²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</si>
  <si>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右侧墙</t>
    </r>
  </si>
  <si>
    <r>
      <rPr>
        <sz val="10.5"/>
        <color indexed="8"/>
        <rFont val="宋体"/>
        <charset val="134"/>
      </rPr>
      <t>环向裂缝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</si>
  <si>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4m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3m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0.20mm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</si>
  <si>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6m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3m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0.50mm</t>
    </r>
  </si>
  <si>
    <r>
      <rPr>
        <sz val="10.5"/>
        <color indexed="8"/>
        <rFont val="宋体"/>
        <charset val="134"/>
      </rPr>
      <t>衬砌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</si>
  <si>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，左拱腰渗水印迹，面积为</t>
    </r>
    <r>
      <rPr>
        <sz val="10.5"/>
        <color indexed="8"/>
        <rFont val="Times New Roman"/>
        <charset val="134"/>
      </rPr>
      <t>7m²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</si>
  <si>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5m</t>
    </r>
    <r>
      <rPr>
        <sz val="11"/>
        <rFont val="宋体"/>
        <charset val="134"/>
      </rPr>
      <t>，左侧墙环向裂缝，长度为</t>
    </r>
    <r>
      <rPr>
        <sz val="11"/>
        <rFont val="Times New Roman"/>
        <charset val="134"/>
      </rPr>
      <t>2.5m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>0.20mm</t>
    </r>
  </si>
  <si>
    <r>
      <rPr>
        <sz val="11"/>
        <color indexed="8"/>
        <rFont val="宋体"/>
        <charset val="134"/>
      </rPr>
      <t>路面</t>
    </r>
  </si>
  <si>
    <r>
      <rPr>
        <sz val="11"/>
        <color indexed="8"/>
        <rFont val="宋体"/>
        <charset val="134"/>
      </rPr>
      <t>凹陷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</si>
  <si>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0m</t>
    </r>
    <r>
      <rPr>
        <sz val="11"/>
        <color indexed="8"/>
        <rFont val="宋体"/>
        <charset val="134"/>
      </rPr>
      <t>，路面修补后凹陷，面积为</t>
    </r>
    <r>
      <rPr>
        <sz val="11"/>
        <color indexed="8"/>
        <rFont val="Times New Roman"/>
        <charset val="134"/>
      </rPr>
      <t>1×3m²</t>
    </r>
    <r>
      <rPr>
        <sz val="11"/>
        <color indexed="8"/>
        <rFont val="宋体"/>
        <charset val="134"/>
      </rPr>
      <t>，深度为</t>
    </r>
    <r>
      <rPr>
        <sz val="11"/>
        <color indexed="8"/>
        <rFont val="Times New Roman"/>
        <charset val="134"/>
      </rPr>
      <t>10mm</t>
    </r>
  </si>
  <si>
    <r>
      <rPr>
        <sz val="11"/>
        <color indexed="8"/>
        <rFont val="宋体"/>
        <charset val="134"/>
      </rPr>
      <t>露骨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</si>
  <si>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6m</t>
    </r>
    <r>
      <rPr>
        <sz val="11"/>
        <color indexed="8"/>
        <rFont val="宋体"/>
        <charset val="134"/>
      </rPr>
      <t>，行车道路面剥蚀、露骨料，面积为</t>
    </r>
    <r>
      <rPr>
        <sz val="11"/>
        <color indexed="8"/>
        <rFont val="Times New Roman"/>
        <charset val="134"/>
      </rPr>
      <t>2.0×0.6m²</t>
    </r>
  </si>
  <si>
    <r>
      <rPr>
        <sz val="11"/>
        <color indexed="8"/>
        <rFont val="宋体"/>
        <charset val="134"/>
      </rPr>
      <t>排水系统</t>
    </r>
  </si>
  <si>
    <r>
      <rPr>
        <sz val="11"/>
        <color indexed="8"/>
        <rFont val="宋体"/>
        <charset val="134"/>
      </rPr>
      <t>右侧</t>
    </r>
  </si>
  <si>
    <r>
      <rPr>
        <sz val="10.5"/>
        <color indexed="8"/>
        <rFont val="宋体"/>
        <charset val="134"/>
      </rPr>
      <t>轻微淤积</t>
    </r>
  </si>
  <si>
    <r>
      <rPr>
        <sz val="11"/>
        <color indexed="8"/>
        <rFont val="Times New Roman"/>
        <charset val="134"/>
      </rPr>
      <t>1-7</t>
    </r>
    <r>
      <rPr>
        <sz val="11"/>
        <color indexed="8"/>
        <rFont val="宋体"/>
        <charset val="134"/>
      </rPr>
      <t>号板，距</t>
    </r>
    <r>
      <rPr>
        <sz val="11"/>
        <color indexed="8"/>
        <rFont val="Times New Roman"/>
        <charset val="134"/>
      </rPr>
      <t>1</t>
    </r>
    <r>
      <rPr>
        <sz val="11"/>
        <color indexed="8"/>
        <rFont val="宋体"/>
        <charset val="134"/>
      </rPr>
      <t>号板板端</t>
    </r>
    <r>
      <rPr>
        <sz val="11"/>
        <color indexed="8"/>
        <rFont val="Times New Roman"/>
        <charset val="134"/>
      </rPr>
      <t xml:space="preserve"> 0m</t>
    </r>
    <r>
      <rPr>
        <sz val="11"/>
        <color indexed="8"/>
        <rFont val="宋体"/>
        <charset val="134"/>
      </rPr>
      <t>，右侧排水边沟轻微淤积，长度约</t>
    </r>
    <r>
      <rPr>
        <sz val="11"/>
        <color indexed="8"/>
        <rFont val="Times New Roman"/>
        <charset val="134"/>
      </rPr>
      <t>20m</t>
    </r>
  </si>
  <si>
    <r>
      <rPr>
        <sz val="11"/>
        <color indexed="10"/>
        <rFont val="宋体"/>
        <charset val="134"/>
      </rPr>
      <t>衬砌</t>
    </r>
  </si>
  <si>
    <r>
      <rPr>
        <sz val="11"/>
        <color indexed="10"/>
        <rFont val="等线"/>
        <charset val="134"/>
      </rPr>
      <t>左侧墙</t>
    </r>
  </si>
  <si>
    <r>
      <rPr>
        <sz val="11"/>
        <color indexed="10"/>
        <rFont val="宋体"/>
        <charset val="134"/>
      </rPr>
      <t>环向裂缝</t>
    </r>
  </si>
  <si>
    <r>
      <rPr>
        <sz val="11"/>
        <color indexed="10"/>
        <rFont val="等线"/>
        <charset val="134"/>
      </rPr>
      <t>距板端</t>
    </r>
    <r>
      <rPr>
        <sz val="11"/>
        <color indexed="10"/>
        <rFont val="Times New Roman"/>
        <charset val="134"/>
      </rPr>
      <t>2m</t>
    </r>
    <r>
      <rPr>
        <sz val="11"/>
        <color indexed="10"/>
        <rFont val="等线"/>
        <charset val="134"/>
      </rPr>
      <t>，左侧墙环向裂缝，长度</t>
    </r>
    <r>
      <rPr>
        <sz val="11"/>
        <color indexed="10"/>
        <rFont val="Times New Roman"/>
        <charset val="134"/>
      </rPr>
      <t>2m</t>
    </r>
    <r>
      <rPr>
        <sz val="11"/>
        <color indexed="10"/>
        <rFont val="等线"/>
        <charset val="134"/>
      </rPr>
      <t>，宽度</t>
    </r>
    <r>
      <rPr>
        <sz val="11"/>
        <color indexed="10"/>
        <rFont val="Times New Roman"/>
        <charset val="134"/>
      </rPr>
      <t>0.10mm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</si>
  <si>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0m</t>
    </r>
    <r>
      <rPr>
        <sz val="11"/>
        <color indexed="8"/>
        <rFont val="宋体"/>
        <charset val="134"/>
      </rPr>
      <t>，行车道路面剥蚀、露骨料，面积为</t>
    </r>
    <r>
      <rPr>
        <sz val="11"/>
        <color indexed="8"/>
        <rFont val="Times New Roman"/>
        <charset val="134"/>
      </rPr>
      <t>4.0×0.5m²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</si>
  <si>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0m</t>
    </r>
    <r>
      <rPr>
        <sz val="11"/>
        <color indexed="8"/>
        <rFont val="宋体"/>
        <charset val="134"/>
      </rPr>
      <t>，行车道路面剥蚀、露骨料，面积为</t>
    </r>
    <r>
      <rPr>
        <sz val="11"/>
        <color indexed="8"/>
        <rFont val="Times New Roman"/>
        <charset val="134"/>
      </rPr>
      <t>5.0×0.5m²</t>
    </r>
  </si>
  <si>
    <r>
      <rPr>
        <sz val="11"/>
        <color indexed="8"/>
        <rFont val="宋体"/>
        <charset val="134"/>
      </rPr>
      <t>坑槽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</si>
  <si>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0m</t>
    </r>
    <r>
      <rPr>
        <sz val="11"/>
        <color indexed="8"/>
        <rFont val="宋体"/>
        <charset val="134"/>
      </rPr>
      <t>，行车道路面</t>
    </r>
    <r>
      <rPr>
        <sz val="11"/>
        <color indexed="8"/>
        <rFont val="Times New Roman"/>
        <charset val="134"/>
      </rPr>
      <t>1</t>
    </r>
    <r>
      <rPr>
        <sz val="11"/>
        <color indexed="8"/>
        <rFont val="宋体"/>
        <charset val="134"/>
      </rPr>
      <t>处坑槽，面积为</t>
    </r>
    <r>
      <rPr>
        <sz val="11"/>
        <color indexed="8"/>
        <rFont val="Times New Roman"/>
        <charset val="134"/>
      </rPr>
      <t>0.4×0.5m²</t>
    </r>
    <r>
      <rPr>
        <sz val="11"/>
        <color indexed="8"/>
        <rFont val="宋体"/>
        <charset val="134"/>
      </rPr>
      <t>，深度为</t>
    </r>
    <r>
      <rPr>
        <sz val="11"/>
        <color indexed="8"/>
        <rFont val="Times New Roman"/>
        <charset val="134"/>
      </rPr>
      <t>20mm</t>
    </r>
  </si>
  <si>
    <r>
      <rPr>
        <sz val="10.5"/>
        <color indexed="8"/>
        <rFont val="宋体"/>
        <charset val="134"/>
      </rPr>
      <t>拱顶</t>
    </r>
  </si>
  <si>
    <r>
      <rPr>
        <sz val="10.5"/>
        <color indexed="8"/>
        <rFont val="宋体"/>
        <charset val="134"/>
      </rPr>
      <t>纵向裂缝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</si>
  <si>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0.10mm</t>
    </r>
    <r>
      <rPr>
        <sz val="10.5"/>
        <color indexed="8"/>
        <rFont val="宋体"/>
        <charset val="134"/>
      </rPr>
      <t>，已修补</t>
    </r>
  </si>
  <si>
    <r>
      <rPr>
        <sz val="11"/>
        <color indexed="8"/>
        <rFont val="宋体"/>
        <charset val="134"/>
      </rPr>
      <t>检修道</t>
    </r>
  </si>
  <si>
    <r>
      <rPr>
        <sz val="10.5"/>
        <color indexed="8"/>
        <rFont val="宋体"/>
        <charset val="134"/>
      </rPr>
      <t>右侧</t>
    </r>
  </si>
  <si>
    <r>
      <rPr>
        <sz val="10.5"/>
        <color indexed="8"/>
        <rFont val="宋体"/>
        <charset val="134"/>
      </rPr>
      <t>盖板损坏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</si>
  <si>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7m</t>
    </r>
    <r>
      <rPr>
        <sz val="10.5"/>
        <color indexed="8"/>
        <rFont val="宋体"/>
        <charset val="134"/>
      </rPr>
      <t>，右侧检修道盖板损坏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</si>
  <si>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3m</t>
    </r>
    <r>
      <rPr>
        <sz val="10.5"/>
        <color indexed="8"/>
        <rFont val="宋体"/>
        <charset val="134"/>
      </rPr>
      <t>，右侧检修道盖板损坏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</si>
  <si>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涂层脱落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</si>
  <si>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，左拱腰涂层脱落，面积为</t>
    </r>
    <r>
      <rPr>
        <sz val="10.5"/>
        <color indexed="8"/>
        <rFont val="Times New Roman"/>
        <charset val="134"/>
      </rPr>
      <t xml:space="preserve"> 0.05m²</t>
    </r>
  </si>
  <si>
    <r>
      <rPr>
        <sz val="10.5"/>
        <color indexed="8"/>
        <rFont val="宋体"/>
        <charset val="134"/>
      </rPr>
      <t>斜向裂缝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</si>
  <si>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，斜向裂缝，长度为</t>
    </r>
    <r>
      <rPr>
        <sz val="10.5"/>
        <color indexed="8"/>
        <rFont val="Times New Roman"/>
        <charset val="134"/>
      </rPr>
      <t>9m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0.60mm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</si>
  <si>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，左拱腰涂层脱落，面积为</t>
    </r>
    <r>
      <rPr>
        <sz val="10.5"/>
        <color indexed="8"/>
        <rFont val="Times New Roman"/>
        <charset val="134"/>
      </rPr>
      <t xml:space="preserve"> 0.2m²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</si>
  <si>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8.9m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0.70mm</t>
    </r>
    <r>
      <rPr>
        <sz val="10.5"/>
        <color indexed="8"/>
        <rFont val="宋体"/>
        <charset val="134"/>
      </rPr>
      <t>，已修补</t>
    </r>
  </si>
  <si>
    <r>
      <rPr>
        <sz val="11"/>
        <color indexed="8"/>
        <rFont val="宋体"/>
        <charset val="134"/>
      </rPr>
      <t>堵塞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</si>
  <si>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4m</t>
    </r>
    <r>
      <rPr>
        <sz val="11"/>
        <color indexed="8"/>
        <rFont val="宋体"/>
        <charset val="134"/>
      </rPr>
      <t>，右侧排水沟沉砂井淤积堵塞</t>
    </r>
  </si>
  <si>
    <r>
      <rPr>
        <sz val="10.5"/>
        <color indexed="8"/>
        <rFont val="宋体"/>
        <charset val="134"/>
      </rPr>
      <t>右拱腰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</si>
  <si>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，右拱腰涂层脱落，面积为</t>
    </r>
    <r>
      <rPr>
        <sz val="10.5"/>
        <color indexed="8"/>
        <rFont val="Times New Roman"/>
        <charset val="134"/>
      </rPr>
      <t xml:space="preserve"> 0.05m²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</si>
  <si>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9m</t>
    </r>
    <r>
      <rPr>
        <sz val="10.5"/>
        <color indexed="8"/>
        <rFont val="宋体"/>
        <charset val="134"/>
      </rPr>
      <t>，施工缝环向裂缝，长度为</t>
    </r>
    <r>
      <rPr>
        <sz val="10.5"/>
        <color indexed="8"/>
        <rFont val="Times New Roman"/>
        <charset val="134"/>
      </rPr>
      <t>3m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0.20mm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</si>
  <si>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，右拱腰涂层脱落，面积为</t>
    </r>
    <r>
      <rPr>
        <sz val="10.5"/>
        <color indexed="8"/>
        <rFont val="Times New Roman"/>
        <charset val="134"/>
      </rPr>
      <t xml:space="preserve"> 0.3m²</t>
    </r>
  </si>
  <si>
    <r>
      <rPr>
        <sz val="10.5"/>
        <color indexed="10"/>
        <rFont val="宋体"/>
        <charset val="134"/>
      </rPr>
      <t>内装饰</t>
    </r>
  </si>
  <si>
    <r>
      <rPr>
        <sz val="11"/>
        <color indexed="10"/>
        <rFont val="等线"/>
        <charset val="134"/>
      </rPr>
      <t>右拱腰</t>
    </r>
  </si>
  <si>
    <r>
      <rPr>
        <sz val="11"/>
        <color indexed="10"/>
        <rFont val="等线"/>
        <charset val="134"/>
      </rPr>
      <t>涂层脱落</t>
    </r>
  </si>
  <si>
    <r>
      <rPr>
        <sz val="11"/>
        <color indexed="10"/>
        <rFont val="宋体"/>
        <charset val="134"/>
      </rPr>
      <t>距板端</t>
    </r>
    <r>
      <rPr>
        <sz val="11"/>
        <color indexed="10"/>
        <rFont val="Times New Roman"/>
        <charset val="134"/>
      </rPr>
      <t>8m</t>
    </r>
    <r>
      <rPr>
        <sz val="11"/>
        <color indexed="10"/>
        <rFont val="宋体"/>
        <charset val="134"/>
      </rPr>
      <t>，右拱腰涂层脱落，面积</t>
    </r>
    <r>
      <rPr>
        <sz val="11"/>
        <color indexed="10"/>
        <rFont val="Times New Roman"/>
        <charset val="134"/>
      </rPr>
      <t>0.9m²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</si>
  <si>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，右拱腰涂层脱落，面积为</t>
    </r>
    <r>
      <rPr>
        <sz val="10.5"/>
        <color indexed="8"/>
        <rFont val="Times New Roman"/>
        <charset val="134"/>
      </rPr>
      <t xml:space="preserve"> 0.1m²</t>
    </r>
  </si>
  <si>
    <r>
      <rPr>
        <sz val="11"/>
        <color indexed="8"/>
        <rFont val="宋体"/>
        <charset val="134"/>
      </rPr>
      <t>横向裂缝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</si>
  <si>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1m</t>
    </r>
    <r>
      <rPr>
        <sz val="11"/>
        <color indexed="8"/>
        <rFont val="宋体"/>
        <charset val="134"/>
      </rPr>
      <t>，行车道路面横向裂缝，长度为</t>
    </r>
    <r>
      <rPr>
        <sz val="11"/>
        <color indexed="8"/>
        <rFont val="Times New Roman"/>
        <charset val="134"/>
      </rPr>
      <t>3.75m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2mm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</si>
  <si>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，施工缝环向裂缝，长度为</t>
    </r>
    <r>
      <rPr>
        <sz val="10.5"/>
        <color indexed="8"/>
        <rFont val="Times New Roman"/>
        <charset val="134"/>
      </rPr>
      <t>4m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1.00mm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</si>
  <si>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，左拱腰涂层脱落，面积为</t>
    </r>
    <r>
      <rPr>
        <sz val="10.5"/>
        <color indexed="8"/>
        <rFont val="Times New Roman"/>
        <charset val="134"/>
      </rPr>
      <t xml:space="preserve"> 0.4m²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</si>
  <si>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，右拱腰涂层脱落，面积为</t>
    </r>
    <r>
      <rPr>
        <sz val="10.5"/>
        <color indexed="8"/>
        <rFont val="Times New Roman"/>
        <charset val="134"/>
      </rPr>
      <t xml:space="preserve"> 0.15m²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</si>
  <si>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，施工缝环向裂缝，长度为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0.60mm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</si>
  <si>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，右拱腰涂层脱落，面积为</t>
    </r>
    <r>
      <rPr>
        <sz val="10.5"/>
        <color indexed="8"/>
        <rFont val="Times New Roman"/>
        <charset val="134"/>
      </rPr>
      <t xml:space="preserve"> 0.5m²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</si>
  <si>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0.2m</t>
    </r>
    <r>
      <rPr>
        <sz val="11"/>
        <rFont val="宋体"/>
        <charset val="134"/>
      </rPr>
      <t>，左检道盖板陷落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</si>
  <si>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1"/>
        <rFont val="宋体"/>
        <charset val="134"/>
      </rPr>
      <t>盖板缺角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</si>
  <si>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2m</t>
    </r>
    <r>
      <rPr>
        <sz val="11"/>
        <color indexed="8"/>
        <rFont val="宋体"/>
        <charset val="134"/>
      </rPr>
      <t>，路面横向裂缝，长度为</t>
    </r>
    <r>
      <rPr>
        <sz val="11"/>
        <color indexed="8"/>
        <rFont val="Times New Roman"/>
        <charset val="134"/>
      </rPr>
      <t>7.5m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3mm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</si>
  <si>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5m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4m</t>
    </r>
    <r>
      <rPr>
        <sz val="10.5"/>
        <color indexed="8"/>
        <rFont val="宋体"/>
        <charset val="134"/>
      </rPr>
      <t>，已修补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</si>
  <si>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0m</t>
    </r>
    <r>
      <rPr>
        <sz val="11"/>
        <color indexed="8"/>
        <rFont val="宋体"/>
        <charset val="134"/>
      </rPr>
      <t>，路面横向裂缝，长度为</t>
    </r>
    <r>
      <rPr>
        <sz val="11"/>
        <color indexed="8"/>
        <rFont val="Times New Roman"/>
        <charset val="134"/>
      </rPr>
      <t>7.5m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2mm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</si>
  <si>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4m</t>
    </r>
    <r>
      <rPr>
        <sz val="11"/>
        <color indexed="8"/>
        <rFont val="宋体"/>
        <charset val="134"/>
      </rPr>
      <t>，行车道路面横向裂缝，长度为</t>
    </r>
    <r>
      <rPr>
        <sz val="11"/>
        <color indexed="8"/>
        <rFont val="Times New Roman"/>
        <charset val="134"/>
      </rPr>
      <t>3.75m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1.5mm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</si>
  <si>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8.8m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0.50mm</t>
    </r>
    <r>
      <rPr>
        <sz val="10.5"/>
        <color indexed="8"/>
        <rFont val="宋体"/>
        <charset val="134"/>
      </rPr>
      <t>，已修补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</si>
  <si>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7m</t>
    </r>
    <r>
      <rPr>
        <sz val="11"/>
        <color indexed="8"/>
        <rFont val="宋体"/>
        <charset val="134"/>
      </rPr>
      <t>，路面横向裂缝，长度为</t>
    </r>
    <r>
      <rPr>
        <sz val="11"/>
        <color indexed="8"/>
        <rFont val="Times New Roman"/>
        <charset val="134"/>
      </rPr>
      <t>7.5m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3mm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</si>
  <si>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，左拱腰涂层脱落，面积为</t>
    </r>
    <r>
      <rPr>
        <sz val="10.5"/>
        <color indexed="8"/>
        <rFont val="Times New Roman"/>
        <charset val="134"/>
      </rPr>
      <t xml:space="preserve"> 0.1m²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</si>
  <si>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5m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6m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0.50mm</t>
    </r>
    <r>
      <rPr>
        <sz val="10.5"/>
        <color indexed="8"/>
        <rFont val="宋体"/>
        <charset val="134"/>
      </rPr>
      <t>，开裂伴浸渗，已修补</t>
    </r>
  </si>
  <si>
    <r>
      <rPr>
        <sz val="10.5"/>
        <color indexed="8"/>
        <rFont val="宋体"/>
        <charset val="134"/>
      </rPr>
      <t>距</t>
    </r>
    <r>
      <rPr>
        <sz val="10.5"/>
        <color indexed="8"/>
        <rFont val="Times New Roman"/>
        <charset val="134"/>
      </rPr>
      <t>28</t>
    </r>
    <r>
      <rPr>
        <sz val="10.5"/>
        <color indexed="8"/>
        <rFont val="宋体"/>
        <charset val="134"/>
      </rPr>
      <t>号板板端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24.2m</t>
    </r>
    <r>
      <rPr>
        <sz val="10.5"/>
        <color indexed="8"/>
        <rFont val="宋体"/>
        <charset val="134"/>
      </rPr>
      <t>，修补处起皮脱落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</si>
  <si>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8.9m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0.60mm</t>
    </r>
    <r>
      <rPr>
        <sz val="10.5"/>
        <color indexed="8"/>
        <rFont val="宋体"/>
        <charset val="134"/>
      </rPr>
      <t>，封缝料起层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</si>
  <si>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，拱顶涂层脱落，面积为</t>
    </r>
    <r>
      <rPr>
        <sz val="10.5"/>
        <color indexed="8"/>
        <rFont val="Times New Roman"/>
        <charset val="134"/>
      </rPr>
      <t>0.2m²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</si>
  <si>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，斜向裂缝，长度为</t>
    </r>
    <r>
      <rPr>
        <sz val="10.5"/>
        <color indexed="8"/>
        <rFont val="Times New Roman"/>
        <charset val="134"/>
      </rPr>
      <t>10m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0.40mm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</si>
  <si>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，左拱腰涂层脱落，面积为</t>
    </r>
    <r>
      <rPr>
        <sz val="10.5"/>
        <color indexed="8"/>
        <rFont val="Times New Roman"/>
        <charset val="134"/>
      </rPr>
      <t>2m²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</si>
  <si>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1m</t>
    </r>
    <r>
      <rPr>
        <sz val="11"/>
        <color indexed="8"/>
        <rFont val="宋体"/>
        <charset val="134"/>
      </rPr>
      <t>，路面横向裂缝，长度为</t>
    </r>
    <r>
      <rPr>
        <sz val="11"/>
        <color indexed="8"/>
        <rFont val="Times New Roman"/>
        <charset val="134"/>
      </rPr>
      <t>7.5m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1mm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</si>
  <si>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8.8m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</si>
  <si>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，左拱腰涂层脱落，面积为</t>
    </r>
    <r>
      <rPr>
        <sz val="10.5"/>
        <color indexed="8"/>
        <rFont val="Times New Roman"/>
        <charset val="134"/>
      </rPr>
      <t xml:space="preserve"> 0.02m²</t>
    </r>
  </si>
  <si>
    <r>
      <rPr>
        <sz val="10.5"/>
        <color rgb="FF000000"/>
        <rFont val="宋体"/>
        <charset val="134"/>
      </rPr>
      <t>距板端</t>
    </r>
    <r>
      <rPr>
        <sz val="10.5"/>
        <color rgb="FF000000"/>
        <rFont val="Times New Roman"/>
        <charset val="134"/>
      </rPr>
      <t>0m</t>
    </r>
    <r>
      <rPr>
        <sz val="10.5"/>
        <color rgb="FF000000"/>
        <rFont val="宋体"/>
        <charset val="134"/>
      </rPr>
      <t>，左拱腰涂层有脱落趋势，面积为</t>
    </r>
    <r>
      <rPr>
        <sz val="10.5"/>
        <color rgb="FF000000"/>
        <rFont val="Times New Roman"/>
        <charset val="134"/>
      </rPr>
      <t xml:space="preserve"> 0.8m²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</si>
  <si>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2m</t>
    </r>
    <r>
      <rPr>
        <sz val="11"/>
        <color indexed="8"/>
        <rFont val="宋体"/>
        <charset val="134"/>
      </rPr>
      <t>，路面横向裂缝，长度为</t>
    </r>
    <r>
      <rPr>
        <sz val="11"/>
        <color indexed="8"/>
        <rFont val="Times New Roman"/>
        <charset val="134"/>
      </rPr>
      <t>7.5m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2mm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</si>
  <si>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6.5m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0.40mm</t>
    </r>
    <r>
      <rPr>
        <sz val="10.5"/>
        <color indexed="8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</si>
  <si>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6m</t>
    </r>
    <r>
      <rPr>
        <sz val="11"/>
        <rFont val="宋体"/>
        <charset val="134"/>
      </rPr>
      <t>，左侧墙瓷砖破损，面积为</t>
    </r>
    <r>
      <rPr>
        <sz val="11"/>
        <rFont val="Times New Roman"/>
        <charset val="134"/>
      </rPr>
      <t xml:space="preserve"> 0.1×0.2m²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</si>
  <si>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8.8m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0.30mm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</si>
  <si>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，左拱腰涂层脱落，面积为</t>
    </r>
    <r>
      <rPr>
        <sz val="10.5"/>
        <color indexed="8"/>
        <rFont val="Times New Roman"/>
        <charset val="134"/>
      </rPr>
      <t xml:space="preserve"> 0.6m²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</si>
  <si>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8.9m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0.50mm</t>
    </r>
    <r>
      <rPr>
        <sz val="10.5"/>
        <color indexed="8"/>
        <rFont val="宋体"/>
        <charset val="134"/>
      </rPr>
      <t>，已修补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</si>
  <si>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6m</t>
    </r>
    <r>
      <rPr>
        <sz val="11"/>
        <color indexed="8"/>
        <rFont val="宋体"/>
        <charset val="134"/>
      </rPr>
      <t>，路面横向裂缝，长度为</t>
    </r>
    <r>
      <rPr>
        <sz val="11"/>
        <color indexed="8"/>
        <rFont val="Times New Roman"/>
        <charset val="134"/>
      </rPr>
      <t>7.5m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3mm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</si>
  <si>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，右拱腰均有水迹，面积为</t>
    </r>
    <r>
      <rPr>
        <sz val="10.5"/>
        <color indexed="8"/>
        <rFont val="Times New Roman"/>
        <charset val="134"/>
      </rPr>
      <t>1.5×15m²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</si>
  <si>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8.9m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0.50mm</t>
    </r>
    <r>
      <rPr>
        <sz val="10.5"/>
        <color indexed="8"/>
        <rFont val="宋体"/>
        <charset val="134"/>
      </rPr>
      <t>，已修补</t>
    </r>
  </si>
  <si>
    <r>
      <rPr>
        <sz val="10.5"/>
        <color rgb="FF000000"/>
        <rFont val="宋体"/>
        <charset val="134"/>
      </rPr>
      <t>距板端</t>
    </r>
    <r>
      <rPr>
        <sz val="10.5"/>
        <color rgb="FF000000"/>
        <rFont val="Times New Roman"/>
        <charset val="134"/>
      </rPr>
      <t>0m</t>
    </r>
    <r>
      <rPr>
        <sz val="10.5"/>
        <color rgb="FF000000"/>
        <rFont val="宋体"/>
        <charset val="134"/>
      </rPr>
      <t>，右拱腰均有水迹，面积为</t>
    </r>
    <r>
      <rPr>
        <sz val="10.5"/>
        <color rgb="FF000000"/>
        <rFont val="Times New Roman"/>
        <charset val="134"/>
      </rPr>
      <t>1.5×33m²</t>
    </r>
  </si>
  <si>
    <r>
      <rPr>
        <sz val="10.5"/>
        <color indexed="10"/>
        <rFont val="宋体"/>
        <charset val="134"/>
      </rPr>
      <t>纵向裂缝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</si>
  <si>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</t>
    </r>
    <r>
      <rPr>
        <sz val="10.5"/>
        <color indexed="10"/>
        <rFont val="宋体"/>
        <charset val="134"/>
      </rPr>
      <t>纵</t>
    </r>
    <r>
      <rPr>
        <sz val="10.5"/>
        <color indexed="8"/>
        <rFont val="宋体"/>
        <charset val="134"/>
      </rPr>
      <t>向裂缝，长度为</t>
    </r>
    <r>
      <rPr>
        <sz val="10.5"/>
        <color indexed="8"/>
        <rFont val="Times New Roman"/>
        <charset val="134"/>
      </rPr>
      <t>10m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0.50mm</t>
    </r>
    <r>
      <rPr>
        <sz val="10.5"/>
        <color indexed="8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</si>
  <si>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5m</t>
    </r>
    <r>
      <rPr>
        <sz val="11"/>
        <rFont val="宋体"/>
        <charset val="134"/>
      </rPr>
      <t>，左检道盖板缺角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</si>
  <si>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1.5m</t>
    </r>
    <r>
      <rPr>
        <sz val="11"/>
        <color indexed="8"/>
        <rFont val="宋体"/>
        <charset val="134"/>
      </rPr>
      <t>，路面横向裂缝，长度为</t>
    </r>
    <r>
      <rPr>
        <sz val="11"/>
        <color indexed="8"/>
        <rFont val="Times New Roman"/>
        <charset val="134"/>
      </rPr>
      <t>7.5m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2mm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</si>
  <si>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8.8m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0.80mm</t>
    </r>
    <r>
      <rPr>
        <sz val="10.5"/>
        <color indexed="8"/>
        <rFont val="宋体"/>
        <charset val="134"/>
      </rPr>
      <t>，已修补</t>
    </r>
  </si>
  <si>
    <r>
      <rPr>
        <sz val="11"/>
        <color indexed="8"/>
        <rFont val="宋体"/>
        <charset val="134"/>
      </rPr>
      <t>标志、标线、轮廓标</t>
    </r>
  </si>
  <si>
    <r>
      <rPr>
        <sz val="10.5"/>
        <color indexed="8"/>
        <rFont val="宋体"/>
        <charset val="134"/>
      </rPr>
      <t>标志损坏</t>
    </r>
  </si>
  <si>
    <r>
      <rPr>
        <sz val="10.5"/>
        <color indexed="8"/>
        <rFont val="宋体"/>
        <charset val="134"/>
      </rPr>
      <t>右侧边墙消防指示标志损坏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</si>
  <si>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4m</t>
    </r>
    <r>
      <rPr>
        <sz val="11"/>
        <color indexed="8"/>
        <rFont val="宋体"/>
        <charset val="134"/>
      </rPr>
      <t>，路面横向裂缝，长度为</t>
    </r>
    <r>
      <rPr>
        <sz val="11"/>
        <color indexed="8"/>
        <rFont val="Times New Roman"/>
        <charset val="134"/>
      </rPr>
      <t>7.5m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2mm</t>
    </r>
  </si>
  <si>
    <r>
      <rPr>
        <sz val="10.5"/>
        <color indexed="8"/>
        <rFont val="宋体"/>
        <charset val="134"/>
      </rPr>
      <t>距</t>
    </r>
    <r>
      <rPr>
        <sz val="10.5"/>
        <color indexed="8"/>
        <rFont val="Times New Roman"/>
        <charset val="134"/>
      </rPr>
      <t>051</t>
    </r>
    <r>
      <rPr>
        <sz val="10.5"/>
        <color indexed="8"/>
        <rFont val="宋体"/>
        <charset val="134"/>
      </rPr>
      <t>号板板端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17.6m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0.70mm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</si>
  <si>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，左拱腰均有水迹，面积为</t>
    </r>
    <r>
      <rPr>
        <sz val="10.5"/>
        <color indexed="8"/>
        <rFont val="Times New Roman"/>
        <charset val="134"/>
      </rPr>
      <t>1×54m²</t>
    </r>
  </si>
  <si>
    <r>
      <rPr>
        <sz val="11"/>
        <color rgb="FF000000"/>
        <rFont val="宋体"/>
        <charset val="134"/>
      </rPr>
      <t>距板端</t>
    </r>
    <r>
      <rPr>
        <sz val="11"/>
        <color rgb="FF000000"/>
        <rFont val="Times New Roman"/>
        <charset val="134"/>
      </rPr>
      <t>2m</t>
    </r>
    <r>
      <rPr>
        <sz val="11"/>
        <color rgb="FF000000"/>
        <rFont val="宋体"/>
        <charset val="134"/>
      </rPr>
      <t>，路面横向裂缝，长度为</t>
    </r>
    <r>
      <rPr>
        <sz val="11"/>
        <color rgb="FF000000"/>
        <rFont val="Times New Roman"/>
        <charset val="134"/>
      </rPr>
      <t>7.5m</t>
    </r>
    <r>
      <rPr>
        <sz val="11"/>
        <color rgb="FF000000"/>
        <rFont val="宋体"/>
        <charset val="134"/>
      </rPr>
      <t>，宽度为</t>
    </r>
    <r>
      <rPr>
        <sz val="11"/>
        <color rgb="FF000000"/>
        <rFont val="Times New Roman"/>
        <charset val="134"/>
      </rPr>
      <t>2mm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</si>
  <si>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3.5m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0.50mm</t>
    </r>
    <r>
      <rPr>
        <sz val="10.5"/>
        <color indexed="8"/>
        <rFont val="宋体"/>
        <charset val="134"/>
      </rPr>
      <t>，已修补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</si>
  <si>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3m</t>
    </r>
    <r>
      <rPr>
        <sz val="11"/>
        <color indexed="8"/>
        <rFont val="宋体"/>
        <charset val="134"/>
      </rPr>
      <t>，路面横向裂缝，长度为</t>
    </r>
    <r>
      <rPr>
        <sz val="11"/>
        <color indexed="8"/>
        <rFont val="Times New Roman"/>
        <charset val="134"/>
      </rPr>
      <t>7.5m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2mm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</si>
  <si>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4.5m</t>
    </r>
    <r>
      <rPr>
        <sz val="11"/>
        <color indexed="8"/>
        <rFont val="宋体"/>
        <charset val="134"/>
      </rPr>
      <t>，路面横向裂缝，长度为</t>
    </r>
    <r>
      <rPr>
        <sz val="11"/>
        <color indexed="8"/>
        <rFont val="Times New Roman"/>
        <charset val="134"/>
      </rPr>
      <t>7.5m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1mm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</si>
  <si>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，左侧拱腰渗水印迹，面积约</t>
    </r>
    <r>
      <rPr>
        <sz val="10.5"/>
        <color indexed="8"/>
        <rFont val="Times New Roman"/>
        <charset val="134"/>
      </rPr>
      <t>6m²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</si>
  <si>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4.5m</t>
    </r>
    <r>
      <rPr>
        <sz val="11"/>
        <color indexed="8"/>
        <rFont val="宋体"/>
        <charset val="134"/>
      </rPr>
      <t>，路面横向裂缝，长度为</t>
    </r>
    <r>
      <rPr>
        <sz val="11"/>
        <color indexed="8"/>
        <rFont val="Times New Roman"/>
        <charset val="134"/>
      </rPr>
      <t>7.5m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4mm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</si>
  <si>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6m</t>
    </r>
    <r>
      <rPr>
        <sz val="10.5"/>
        <color indexed="8"/>
        <rFont val="宋体"/>
        <charset val="134"/>
      </rPr>
      <t>，左拱腰渗水印迹，面积为</t>
    </r>
    <r>
      <rPr>
        <sz val="10.5"/>
        <color indexed="8"/>
        <rFont val="Times New Roman"/>
        <charset val="134"/>
      </rPr>
      <t>3m²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</si>
  <si>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8m</t>
    </r>
    <r>
      <rPr>
        <sz val="11"/>
        <color indexed="8"/>
        <rFont val="宋体"/>
        <charset val="134"/>
      </rPr>
      <t>，行车道路面凹陷，面积为</t>
    </r>
    <r>
      <rPr>
        <sz val="11"/>
        <color indexed="8"/>
        <rFont val="Times New Roman"/>
        <charset val="134"/>
      </rPr>
      <t>0.5×0.5m²</t>
    </r>
    <r>
      <rPr>
        <sz val="11"/>
        <color indexed="8"/>
        <rFont val="宋体"/>
        <charset val="134"/>
      </rPr>
      <t>，深度为</t>
    </r>
    <r>
      <rPr>
        <sz val="11"/>
        <color indexed="8"/>
        <rFont val="Times New Roman"/>
        <charset val="134"/>
      </rPr>
      <t>10mm</t>
    </r>
  </si>
  <si>
    <r>
      <rPr>
        <sz val="11"/>
        <color indexed="8"/>
        <rFont val="宋体"/>
        <charset val="134"/>
      </rPr>
      <t>吊顶及预埋件</t>
    </r>
  </si>
  <si>
    <r>
      <rPr>
        <sz val="11"/>
        <color indexed="8"/>
        <rFont val="宋体"/>
        <charset val="134"/>
      </rPr>
      <t>锈蚀</t>
    </r>
  </si>
  <si>
    <r>
      <rPr>
        <sz val="11"/>
        <color indexed="8"/>
        <rFont val="宋体"/>
        <charset val="134"/>
      </rPr>
      <t>电缆桥架及预埋件轻微锈蚀，氧化皮已开始剥落，尚未妨碍交通</t>
    </r>
  </si>
  <si>
    <r>
      <rPr>
        <sz val="10.5"/>
        <color theme="1"/>
        <rFont val="宋体"/>
        <charset val="134"/>
      </rPr>
      <t>出洞口左侧山体滑坡初步迹象，面积为</t>
    </r>
    <r>
      <rPr>
        <sz val="10.5"/>
        <color theme="1"/>
        <rFont val="Times New Roman"/>
        <charset val="134"/>
      </rPr>
      <t>15m</t>
    </r>
    <r>
      <rPr>
        <vertAlign val="superscript"/>
        <sz val="10.5"/>
        <color theme="1"/>
        <rFont val="Times New Roman"/>
        <charset val="134"/>
      </rPr>
      <t>2</t>
    </r>
  </si>
  <si>
    <t>边坡</t>
  </si>
  <si>
    <t>出洞口右侧山体季节性流水流入电缆沟</t>
  </si>
  <si>
    <r>
      <rPr>
        <sz val="10.5"/>
        <color theme="1"/>
        <rFont val="宋体"/>
        <charset val="134"/>
      </rPr>
      <t>出洞口洞门左侧麻面露筋，面积为</t>
    </r>
    <r>
      <rPr>
        <sz val="10.5"/>
        <color theme="1"/>
        <rFont val="Times New Roman"/>
        <charset val="134"/>
      </rPr>
      <t>0.5m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，露筋长度为</t>
    </r>
    <r>
      <rPr>
        <sz val="10.5"/>
        <color theme="1"/>
        <rFont val="Times New Roman"/>
        <charset val="134"/>
      </rPr>
      <t>0.3m</t>
    </r>
    <r>
      <rPr>
        <sz val="10.5"/>
        <color theme="1"/>
        <rFont val="宋体"/>
        <charset val="134"/>
      </rPr>
      <t>，修复后破损</t>
    </r>
  </si>
  <si>
    <t>雨水侵蚀</t>
  </si>
  <si>
    <r>
      <rPr>
        <sz val="10.5"/>
        <color theme="1"/>
        <rFont val="宋体"/>
        <charset val="134"/>
      </rPr>
      <t>出洞口洞门受雨水侵蚀，面积约9m</t>
    </r>
    <r>
      <rPr>
        <vertAlign val="superscript"/>
        <sz val="10.5"/>
        <color theme="1"/>
        <rFont val="宋体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</si>
  <si>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</si>
  <si>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网状裂缝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</si>
  <si>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，网状裂缝，宽度为</t>
    </r>
    <r>
      <rPr>
        <sz val="10.5"/>
        <color theme="1"/>
        <rFont val="Times New Roman"/>
        <charset val="134"/>
      </rPr>
      <t>0.5mm</t>
    </r>
    <r>
      <rPr>
        <sz val="10.5"/>
        <color theme="1"/>
        <rFont val="宋体"/>
        <charset val="134"/>
      </rPr>
      <t>，面积为</t>
    </r>
    <r>
      <rPr>
        <sz val="10.5"/>
        <color theme="1"/>
        <rFont val="Times New Roman"/>
        <charset val="134"/>
      </rPr>
      <t>48m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</si>
  <si>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，右侧检修道盖板破损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</si>
  <si>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，右侧检修道盖板破损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</si>
  <si>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，右侧沉砂井滤水篦破损</t>
    </r>
  </si>
  <si>
    <r>
      <rPr>
        <sz val="11"/>
        <rFont val="宋体"/>
        <charset val="134"/>
      </rPr>
      <t>盖板破损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</si>
  <si>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，左检道盖板破损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</si>
  <si>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处渗水印迹，面积为</t>
    </r>
    <r>
      <rPr>
        <sz val="10.5"/>
        <color theme="1"/>
        <rFont val="Times New Roman"/>
        <charset val="134"/>
      </rPr>
      <t>0.5m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</si>
  <si>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</si>
  <si>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</si>
  <si>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，拱顶涂层脱落，面积为</t>
    </r>
    <r>
      <rPr>
        <sz val="10.5"/>
        <color theme="1"/>
        <rFont val="Times New Roman"/>
        <charset val="134"/>
      </rPr>
      <t>0.05m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</si>
  <si>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</si>
  <si>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5.5m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</si>
  <si>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，右侧拱腰渗水印迹，面积约</t>
    </r>
    <r>
      <rPr>
        <sz val="10.5"/>
        <color theme="1"/>
        <rFont val="Times New Roman"/>
        <charset val="134"/>
      </rPr>
      <t>0.06m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</si>
  <si>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7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14m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</si>
  <si>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0.2m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</si>
  <si>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0.90mm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</si>
  <si>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，右侧检修道盖板破损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</si>
  <si>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，拱顶涂层脱落，面积为</t>
    </r>
    <r>
      <rPr>
        <sz val="10.5"/>
        <color theme="1"/>
        <rFont val="Times New Roman"/>
        <charset val="134"/>
      </rPr>
      <t>0.15m</t>
    </r>
    <r>
      <rPr>
        <vertAlign val="superscript"/>
        <sz val="10.5"/>
        <color theme="1"/>
        <rFont val="Times New Roman"/>
        <charset val="134"/>
      </rPr>
      <t>2</t>
    </r>
  </si>
  <si>
    <t>标志标线轮廓标</t>
  </si>
  <si>
    <t>标志锈蚀</t>
  </si>
  <si>
    <r>
      <rPr>
        <sz val="11"/>
        <color theme="1"/>
        <rFont val="Times New Roman"/>
        <charset val="134"/>
      </rPr>
      <t>左侧边墙里程桩指示牌螺栓严重锈蚀，其中</t>
    </r>
    <r>
      <rPr>
        <sz val="10.5"/>
        <color rgb="FF000000"/>
        <rFont val="Times New Roman"/>
        <charset val="134"/>
      </rPr>
      <t>2</t>
    </r>
    <r>
      <rPr>
        <sz val="10.5"/>
        <color rgb="FF000000"/>
        <rFont val="宋体"/>
        <charset val="134"/>
      </rPr>
      <t>个螺帽缺失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</si>
  <si>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</si>
  <si>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，拱顶涂层脱落，面积为</t>
    </r>
    <r>
      <rPr>
        <sz val="10.5"/>
        <color theme="1"/>
        <rFont val="Times New Roman"/>
        <charset val="134"/>
      </rPr>
      <t>0.06m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</si>
  <si>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15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27m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1mm</t>
    </r>
    <r>
      <rPr>
        <sz val="10.5"/>
        <color theme="1"/>
        <rFont val="宋体"/>
        <charset val="134"/>
      </rPr>
      <t>，封缝料起层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</si>
  <si>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0.1m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</si>
  <si>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</si>
  <si>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0.6mm</t>
    </r>
    <r>
      <rPr>
        <sz val="10.5"/>
        <color theme="1"/>
        <rFont val="宋体"/>
        <charset val="134"/>
      </rPr>
      <t>，修补后开裂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</si>
  <si>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，右侧检修道盖板破损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</si>
  <si>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，左拱腰涂层脱落，面积为</t>
    </r>
    <r>
      <rPr>
        <sz val="10.5"/>
        <color theme="1"/>
        <rFont val="Times New Roman"/>
        <charset val="134"/>
      </rPr>
      <t xml:space="preserve"> 0.04m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</si>
  <si>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0.85mm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</si>
  <si>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5m</t>
    </r>
    <r>
      <rPr>
        <sz val="11"/>
        <rFont val="宋体"/>
        <charset val="134"/>
      </rPr>
      <t>，左检道盖板破损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</si>
  <si>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</si>
  <si>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0.7mm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</si>
  <si>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</si>
  <si>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 xml:space="preserve"> 1m</t>
    </r>
    <r>
      <rPr>
        <sz val="11"/>
        <rFont val="宋体"/>
        <charset val="134"/>
      </rPr>
      <t>，左侧墙瓷砖脱落，面积为</t>
    </r>
    <r>
      <rPr>
        <sz val="11"/>
        <rFont val="Times New Roman"/>
        <charset val="134"/>
      </rPr>
      <t xml:space="preserve"> 0.24m</t>
    </r>
    <r>
      <rPr>
        <vertAlign val="superscript"/>
        <sz val="1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</si>
  <si>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3m</t>
    </r>
    <r>
      <rPr>
        <sz val="11"/>
        <rFont val="宋体"/>
        <charset val="134"/>
      </rPr>
      <t>，左侧墙瓷砖脱落，面积为</t>
    </r>
    <r>
      <rPr>
        <sz val="11"/>
        <rFont val="Times New Roman"/>
        <charset val="134"/>
      </rPr>
      <t xml:space="preserve"> 2.25m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</si>
  <si>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1.2mm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</si>
  <si>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5m</t>
    </r>
    <r>
      <rPr>
        <sz val="11"/>
        <rFont val="宋体"/>
        <charset val="134"/>
      </rPr>
      <t>，左检道盖板破损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</si>
  <si>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</si>
  <si>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1.3mm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</si>
  <si>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1.8mm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</si>
  <si>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，左拱腰涂层脱落，面积为</t>
    </r>
    <r>
      <rPr>
        <sz val="10.5"/>
        <color theme="1"/>
        <rFont val="Times New Roman"/>
        <charset val="134"/>
      </rPr>
      <t xml:space="preserve"> 0.15m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</si>
  <si>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</si>
  <si>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</si>
  <si>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</si>
  <si>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，拱顶涂层脱落，面积为</t>
    </r>
    <r>
      <rPr>
        <sz val="10.5"/>
        <color theme="1"/>
        <rFont val="Times New Roman"/>
        <charset val="134"/>
      </rPr>
      <t>0.2m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</si>
  <si>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</si>
  <si>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44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1mm</t>
    </r>
    <r>
      <rPr>
        <sz val="10.5"/>
        <color theme="1"/>
        <rFont val="宋体"/>
        <charset val="134"/>
      </rPr>
      <t>，局部已修补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</si>
  <si>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48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</si>
  <si>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，右侧检修道盖板破损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</si>
  <si>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涂层突起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</si>
  <si>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，拱顶涂层突起，面积为</t>
    </r>
    <r>
      <rPr>
        <sz val="10.5"/>
        <color theme="1"/>
        <rFont val="Times New Roman"/>
        <charset val="134"/>
      </rPr>
      <t>12m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</si>
  <si>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，右拱腰涂层脱落，面积为</t>
    </r>
    <r>
      <rPr>
        <sz val="10.5"/>
        <color theme="1"/>
        <rFont val="Times New Roman"/>
        <charset val="134"/>
      </rPr>
      <t xml:space="preserve"> 0.3m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</si>
  <si>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4m</t>
    </r>
    <r>
      <rPr>
        <sz val="11"/>
        <rFont val="宋体"/>
        <charset val="134"/>
      </rPr>
      <t>，左检道盖板破损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</si>
  <si>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0.5"/>
        <color theme="1"/>
        <rFont val="宋体"/>
        <charset val="134"/>
      </rPr>
      <t>锈胀露筋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</si>
  <si>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，拱顶衬砌锈胀露筋，露筋长度约</t>
    </r>
    <r>
      <rPr>
        <sz val="10.5"/>
        <color theme="1"/>
        <rFont val="Times New Roman"/>
        <charset val="134"/>
      </rPr>
      <t>0.5m</t>
    </r>
    <r>
      <rPr>
        <sz val="10.5"/>
        <color theme="1"/>
        <rFont val="宋体"/>
        <charset val="134"/>
      </rPr>
      <t>，锈胀面积约</t>
    </r>
    <r>
      <rPr>
        <sz val="10.5"/>
        <color theme="1"/>
        <rFont val="Times New Roman"/>
        <charset val="134"/>
      </rPr>
      <t>4m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</si>
  <si>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，右拱腰涂层脱落，面积为</t>
    </r>
    <r>
      <rPr>
        <sz val="10.5"/>
        <color theme="1"/>
        <rFont val="Times New Roman"/>
        <charset val="134"/>
      </rPr>
      <t xml:space="preserve"> 0.04m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</si>
  <si>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6m</t>
    </r>
    <r>
      <rPr>
        <sz val="11"/>
        <rFont val="宋体"/>
        <charset val="134"/>
      </rPr>
      <t>，左侧检道盖板陷落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</si>
  <si>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0.2m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</si>
  <si>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，拱顶衬砌环向锈胀，长度约</t>
    </r>
    <r>
      <rPr>
        <sz val="10.5"/>
        <color theme="1"/>
        <rFont val="Times New Roman"/>
        <charset val="134"/>
      </rPr>
      <t>3.5m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</si>
  <si>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，拱顶涂层脱落，面积为</t>
    </r>
    <r>
      <rPr>
        <sz val="10.5"/>
        <color theme="1"/>
        <rFont val="Times New Roman"/>
        <charset val="134"/>
      </rPr>
      <t>0.1m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</si>
  <si>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，左拱腰、拱顶涂层突起，面积为</t>
    </r>
    <r>
      <rPr>
        <sz val="10.5"/>
        <color theme="1"/>
        <rFont val="Times New Roman"/>
        <charset val="134"/>
      </rPr>
      <t>49m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</si>
  <si>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，露筋锈蚀，长度为</t>
    </r>
    <r>
      <rPr>
        <sz val="10.5"/>
        <color theme="1"/>
        <rFont val="Times New Roman"/>
        <charset val="134"/>
      </rPr>
      <t>0.1m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</si>
  <si>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，拱顶涂层涂层突起，面积为</t>
    </r>
    <r>
      <rPr>
        <sz val="10.5"/>
        <color theme="1"/>
        <rFont val="Times New Roman"/>
        <charset val="134"/>
      </rPr>
      <t>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</si>
  <si>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0.2m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</si>
  <si>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盖板陷落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</si>
  <si>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3.5m</t>
    </r>
    <r>
      <rPr>
        <sz val="10.5"/>
        <color theme="1"/>
        <rFont val="宋体"/>
        <charset val="134"/>
      </rPr>
      <t>，右侧检修道盖板陷落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</si>
  <si>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4m</t>
    </r>
    <r>
      <rPr>
        <sz val="11"/>
        <rFont val="宋体"/>
        <charset val="134"/>
      </rPr>
      <t>，左侧墙环向裂缝，长度为</t>
    </r>
    <r>
      <rPr>
        <sz val="11"/>
        <rFont val="Times New Roman"/>
        <charset val="134"/>
      </rPr>
      <t>2.5m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>0.10mm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</si>
  <si>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9m</t>
    </r>
    <r>
      <rPr>
        <sz val="11"/>
        <color theme="1"/>
        <rFont val="宋体"/>
        <charset val="134"/>
      </rPr>
      <t>，右侧沉砂井堵塞，滤水篦破损</t>
    </r>
  </si>
  <si>
    <r>
      <rPr>
        <sz val="10.5"/>
        <color theme="1"/>
        <rFont val="宋体"/>
        <charset val="134"/>
      </rPr>
      <t>左拱腰、右拱腰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</si>
  <si>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4m</t>
    </r>
    <r>
      <rPr>
        <sz val="10.5"/>
        <color theme="1"/>
        <rFont val="宋体"/>
        <charset val="134"/>
      </rPr>
      <t>，左拱腰、右拱腰涂层脱落，面积为</t>
    </r>
    <r>
      <rPr>
        <sz val="10.5"/>
        <color theme="1"/>
        <rFont val="Times New Roman"/>
        <charset val="134"/>
      </rPr>
      <t>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</si>
  <si>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，左拱腰渗水印迹，面积为</t>
    </r>
    <r>
      <rPr>
        <sz val="10.5"/>
        <color theme="1"/>
        <rFont val="Times New Roman"/>
        <charset val="134"/>
      </rPr>
      <t>7m</t>
    </r>
    <r>
      <rPr>
        <vertAlign val="superscript"/>
        <sz val="10.5"/>
        <color theme="1"/>
        <rFont val="Times New Roman"/>
        <charset val="134"/>
      </rPr>
      <t>2</t>
    </r>
  </si>
  <si>
    <t>完好</t>
  </si>
  <si>
    <r>
      <rPr>
        <sz val="11"/>
        <color theme="1"/>
        <rFont val="宋体"/>
        <charset val="134"/>
      </rPr>
      <t>人行洞</t>
    </r>
  </si>
  <si>
    <r>
      <rPr>
        <sz val="10.5"/>
        <color theme="1"/>
        <rFont val="宋体"/>
        <charset val="134"/>
      </rPr>
      <t>人行横通道下行入口端拱顶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条纵向裂缝，长度为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1.20mm</t>
    </r>
  </si>
  <si>
    <t>入口洞门受雨水侵蚀</t>
  </si>
  <si>
    <r>
      <rPr>
        <sz val="10.5"/>
        <color indexed="8"/>
        <rFont val="宋体"/>
        <charset val="134"/>
      </rPr>
      <t>入洞口洞门右侧露筋</t>
    </r>
    <r>
      <rPr>
        <sz val="10.5"/>
        <color indexed="8"/>
        <rFont val="Times New Roman"/>
        <charset val="134"/>
      </rPr>
      <t>3</t>
    </r>
    <r>
      <rPr>
        <sz val="10.5"/>
        <color indexed="8"/>
        <rFont val="宋体"/>
        <charset val="134"/>
      </rPr>
      <t>处，累计长度为</t>
    </r>
    <r>
      <rPr>
        <sz val="10.5"/>
        <color indexed="8"/>
        <rFont val="Times New Roman"/>
        <charset val="134"/>
      </rPr>
      <t>1m</t>
    </r>
  </si>
  <si>
    <r>
      <rPr>
        <sz val="10.5"/>
        <color indexed="8"/>
        <rFont val="宋体"/>
        <charset val="134"/>
      </rPr>
      <t>出洞口洞门右侧露筋，长度为</t>
    </r>
    <r>
      <rPr>
        <sz val="10.5"/>
        <color indexed="8"/>
        <rFont val="Times New Roman"/>
        <charset val="134"/>
      </rPr>
      <t>3m</t>
    </r>
  </si>
  <si>
    <t>开裂</t>
  </si>
  <si>
    <r>
      <rPr>
        <sz val="10.5"/>
        <color indexed="8"/>
        <rFont val="宋体"/>
        <charset val="134"/>
      </rPr>
      <t>入洞口洞门左侧露筋，长度为</t>
    </r>
    <r>
      <rPr>
        <sz val="10.5"/>
        <color indexed="8"/>
        <rFont val="Times New Roman"/>
        <charset val="134"/>
      </rPr>
      <t>0.6m</t>
    </r>
  </si>
  <si>
    <r>
      <rPr>
        <sz val="10.5"/>
        <color indexed="8"/>
        <rFont val="宋体"/>
        <charset val="134"/>
      </rPr>
      <t>出洞口洞门左侧露筋，长度为</t>
    </r>
    <r>
      <rPr>
        <sz val="10.5"/>
        <color indexed="8"/>
        <rFont val="Times New Roman"/>
        <charset val="134"/>
      </rPr>
      <t>3m</t>
    </r>
  </si>
  <si>
    <t>掉角</t>
  </si>
  <si>
    <r>
      <rPr>
        <sz val="10.5"/>
        <color indexed="8"/>
        <rFont val="宋体"/>
        <charset val="134"/>
      </rPr>
      <t>入洞口洞门左侧混凝土破损，面积为</t>
    </r>
    <r>
      <rPr>
        <sz val="10.5"/>
        <color indexed="8"/>
        <rFont val="Times New Roman"/>
        <charset val="134"/>
      </rPr>
      <t xml:space="preserve"> 0.1×0.3m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</si>
  <si>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1"/>
        <color indexed="8"/>
        <rFont val="宋体"/>
        <charset val="134"/>
      </rPr>
      <t>行车道路面破损、坑槽，面积为</t>
    </r>
    <r>
      <rPr>
        <sz val="11"/>
        <color indexed="8"/>
        <rFont val="Times New Roman"/>
        <charset val="134"/>
      </rPr>
      <t>2m</t>
    </r>
    <r>
      <rPr>
        <vertAlign val="superscript"/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，深度为</t>
    </r>
    <r>
      <rPr>
        <sz val="11"/>
        <color indexed="8"/>
        <rFont val="Times New Roman"/>
        <charset val="134"/>
      </rPr>
      <t>15mm</t>
    </r>
    <r>
      <rPr>
        <sz val="11"/>
        <color indexed="8"/>
        <rFont val="宋体"/>
        <charset val="134"/>
      </rPr>
      <t>，修后破损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</si>
  <si>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2m</t>
    </r>
    <r>
      <rPr>
        <sz val="10.5"/>
        <color indexed="8"/>
        <rFont val="宋体"/>
        <charset val="134"/>
      </rPr>
      <t>，左侧拱腰渗水印迹，面积为</t>
    </r>
    <r>
      <rPr>
        <sz val="10.5"/>
        <color indexed="8"/>
        <rFont val="Times New Roman"/>
        <charset val="134"/>
      </rPr>
      <t>7m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</si>
  <si>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，左侧检修道盖板破损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</si>
  <si>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>0.7m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</si>
  <si>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</t>
    </r>
    <r>
      <rPr>
        <sz val="10.5"/>
        <color indexed="8"/>
        <rFont val="Times New Roman"/>
        <charset val="134"/>
      </rPr>
      <t>2</t>
    </r>
    <r>
      <rPr>
        <sz val="10.5"/>
        <color indexed="8"/>
        <rFont val="宋体"/>
        <charset val="134"/>
      </rPr>
      <t>处渗水印迹，面积为</t>
    </r>
    <r>
      <rPr>
        <sz val="10.5"/>
        <color indexed="8"/>
        <rFont val="Times New Roman"/>
        <charset val="134"/>
      </rPr>
      <t>1×1+0.5×0.2m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</si>
  <si>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>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</si>
  <si>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>12m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</si>
  <si>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2.5m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0.10mm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</si>
  <si>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>0.2×3m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</si>
  <si>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，防火涂层脱落，面积为</t>
    </r>
    <r>
      <rPr>
        <sz val="10.5"/>
        <color indexed="8"/>
        <rFont val="Times New Roman"/>
        <charset val="134"/>
      </rPr>
      <t>0.1×2m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</si>
  <si>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9.5m</t>
    </r>
    <r>
      <rPr>
        <sz val="10.5"/>
        <color indexed="8"/>
        <rFont val="宋体"/>
        <charset val="134"/>
      </rPr>
      <t>，封缝料起皮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</si>
  <si>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8m</t>
    </r>
    <r>
      <rPr>
        <sz val="10.5"/>
        <color indexed="8"/>
        <rFont val="宋体"/>
        <charset val="134"/>
      </rPr>
      <t>，右侧检修道盖板破损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</si>
  <si>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1"/>
        <color indexed="8"/>
        <rFont val="Times New Roman"/>
        <charset val="134"/>
      </rPr>
      <t>5-6</t>
    </r>
    <r>
      <rPr>
        <sz val="11"/>
        <color indexed="8"/>
        <rFont val="宋体"/>
        <charset val="134"/>
      </rPr>
      <t>号板，行车道路面剥蚀、露骨料，面积为</t>
    </r>
    <r>
      <rPr>
        <sz val="11"/>
        <color indexed="8"/>
        <rFont val="Times New Roman"/>
        <charset val="134"/>
      </rPr>
      <t>10×1m</t>
    </r>
    <r>
      <rPr>
        <vertAlign val="superscript"/>
        <sz val="11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</si>
  <si>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，渗水印迹，面积为</t>
    </r>
    <r>
      <rPr>
        <sz val="10.5"/>
        <color indexed="8"/>
        <rFont val="Times New Roman"/>
        <charset val="134"/>
      </rPr>
      <t>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</si>
  <si>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4m</t>
    </r>
    <r>
      <rPr>
        <sz val="10.5"/>
        <color indexed="8"/>
        <rFont val="宋体"/>
        <charset val="134"/>
      </rPr>
      <t>，渗水印迹，面积为</t>
    </r>
    <r>
      <rPr>
        <sz val="10.5"/>
        <color indexed="8"/>
        <rFont val="Times New Roman"/>
        <charset val="134"/>
      </rPr>
      <t>0.3m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</si>
  <si>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5m</t>
    </r>
    <r>
      <rPr>
        <sz val="10.5"/>
        <color indexed="8"/>
        <rFont val="宋体"/>
        <charset val="134"/>
      </rPr>
      <t>，渗水印迹，面积为</t>
    </r>
    <r>
      <rPr>
        <sz val="10.5"/>
        <color indexed="8"/>
        <rFont val="Times New Roman"/>
        <charset val="134"/>
      </rPr>
      <t>0.1m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</si>
  <si>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5.7m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0.40mm</t>
    </r>
    <r>
      <rPr>
        <sz val="10.5"/>
        <color indexed="8"/>
        <rFont val="宋体"/>
        <charset val="134"/>
      </rPr>
      <t>，已修补</t>
    </r>
  </si>
  <si>
    <r>
      <rPr>
        <sz val="11"/>
        <color indexed="8"/>
        <rFont val="宋体"/>
        <charset val="134"/>
      </rPr>
      <t>行车道路面</t>
    </r>
    <r>
      <rPr>
        <sz val="11"/>
        <color indexed="8"/>
        <rFont val="Times New Roman"/>
        <charset val="134"/>
      </rPr>
      <t>4</t>
    </r>
    <r>
      <rPr>
        <sz val="11"/>
        <color indexed="8"/>
        <rFont val="宋体"/>
        <charset val="134"/>
      </rPr>
      <t>处坑槽，总面积为</t>
    </r>
    <r>
      <rPr>
        <sz val="11"/>
        <color indexed="8"/>
        <rFont val="Times New Roman"/>
        <charset val="134"/>
      </rPr>
      <t>2m</t>
    </r>
    <r>
      <rPr>
        <vertAlign val="superscript"/>
        <sz val="11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</si>
  <si>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，防火涂层脱落，面积为</t>
    </r>
    <r>
      <rPr>
        <sz val="10.5"/>
        <color indexed="8"/>
        <rFont val="Times New Roman"/>
        <charset val="134"/>
      </rPr>
      <t>0.1×3m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</si>
  <si>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1"/>
        <color indexed="10"/>
        <rFont val="等线"/>
        <charset val="134"/>
      </rPr>
      <t>距板端</t>
    </r>
    <r>
      <rPr>
        <sz val="11"/>
        <color indexed="10"/>
        <rFont val="Times New Roman"/>
        <charset val="134"/>
      </rPr>
      <t>4m</t>
    </r>
    <r>
      <rPr>
        <sz val="11"/>
        <color indexed="10"/>
        <rFont val="等线"/>
        <charset val="134"/>
      </rPr>
      <t>，拱顶纵向裂缝，长度</t>
    </r>
    <r>
      <rPr>
        <sz val="11"/>
        <color indexed="10"/>
        <rFont val="Times New Roman"/>
        <charset val="134"/>
      </rPr>
      <t>2m</t>
    </r>
    <r>
      <rPr>
        <sz val="11"/>
        <color indexed="10"/>
        <rFont val="等线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</si>
  <si>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7m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1.00mm</t>
    </r>
    <r>
      <rPr>
        <sz val="10.5"/>
        <color indexed="8"/>
        <rFont val="宋体"/>
        <charset val="134"/>
      </rPr>
      <t>，已修补</t>
    </r>
  </si>
  <si>
    <r>
      <rPr>
        <sz val="11"/>
        <color indexed="8"/>
        <rFont val="Times New Roman"/>
        <charset val="134"/>
      </rPr>
      <t>7-8</t>
    </r>
    <r>
      <rPr>
        <sz val="11"/>
        <color indexed="8"/>
        <rFont val="宋体"/>
        <charset val="134"/>
      </rPr>
      <t>号板，行车道路面破损、坑槽，面积为</t>
    </r>
    <r>
      <rPr>
        <sz val="11"/>
        <color indexed="8"/>
        <rFont val="Times New Roman"/>
        <charset val="134"/>
      </rPr>
      <t>9×1m</t>
    </r>
    <r>
      <rPr>
        <vertAlign val="superscript"/>
        <sz val="11"/>
        <color indexed="8"/>
        <rFont val="Times New Roman"/>
        <charset val="134"/>
      </rPr>
      <t xml:space="preserve">2 </t>
    </r>
    <r>
      <rPr>
        <sz val="11"/>
        <color indexed="8"/>
        <rFont val="宋体"/>
        <charset val="134"/>
      </rPr>
      <t>，修后破损</t>
    </r>
  </si>
  <si>
    <t>左拱腰拱顶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</si>
  <si>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，防火涂层脱落，面积为</t>
    </r>
    <r>
      <rPr>
        <sz val="10.5"/>
        <color indexed="8"/>
        <rFont val="Times New Roman"/>
        <charset val="134"/>
      </rPr>
      <t>0.3×1m</t>
    </r>
    <r>
      <rPr>
        <vertAlign val="superscript"/>
        <sz val="10.5"/>
        <color indexed="8"/>
        <rFont val="Times New Roman"/>
        <charset val="134"/>
      </rPr>
      <t>2</t>
    </r>
  </si>
  <si>
    <t>凹陷</t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</si>
  <si>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5m</t>
    </r>
    <r>
      <rPr>
        <sz val="11"/>
        <color indexed="8"/>
        <rFont val="宋体"/>
        <charset val="134"/>
      </rPr>
      <t>，行车道路面凹陷，面积为</t>
    </r>
    <r>
      <rPr>
        <sz val="11"/>
        <color indexed="8"/>
        <rFont val="Times New Roman"/>
        <charset val="134"/>
      </rPr>
      <t>0.5×2m</t>
    </r>
    <r>
      <rPr>
        <vertAlign val="superscript"/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，深度为</t>
    </r>
    <r>
      <rPr>
        <sz val="11"/>
        <color indexed="8"/>
        <rFont val="Times New Roman"/>
        <charset val="134"/>
      </rPr>
      <t>10mm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</si>
  <si>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，左侧边墙轮廓标缺失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个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</si>
  <si>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4m</t>
    </r>
    <r>
      <rPr>
        <sz val="11"/>
        <color indexed="8"/>
        <rFont val="宋体"/>
        <charset val="134"/>
      </rPr>
      <t>，行车道路面凹陷，面积为</t>
    </r>
    <r>
      <rPr>
        <sz val="11"/>
        <color indexed="8"/>
        <rFont val="Times New Roman"/>
        <charset val="134"/>
      </rPr>
      <t>0.5×1.5m</t>
    </r>
    <r>
      <rPr>
        <vertAlign val="superscript"/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，深度为</t>
    </r>
    <r>
      <rPr>
        <sz val="11"/>
        <color indexed="8"/>
        <rFont val="Times New Roman"/>
        <charset val="134"/>
      </rPr>
      <t>10mm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</si>
  <si>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4m</t>
    </r>
    <r>
      <rPr>
        <sz val="11"/>
        <color indexed="8"/>
        <rFont val="宋体"/>
        <charset val="134"/>
      </rPr>
      <t>，行车道路面坑槽，局部沉陷，面积为</t>
    </r>
    <r>
      <rPr>
        <sz val="11"/>
        <color indexed="8"/>
        <rFont val="Times New Roman"/>
        <charset val="134"/>
      </rPr>
      <t>0.4×0.4m</t>
    </r>
    <r>
      <rPr>
        <vertAlign val="superscript"/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，深度为</t>
    </r>
    <r>
      <rPr>
        <sz val="11"/>
        <color indexed="8"/>
        <rFont val="Times New Roman"/>
        <charset val="134"/>
      </rPr>
      <t>10mm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</si>
  <si>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0.2m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1.00mm</t>
    </r>
  </si>
  <si>
    <t>左右拱腰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</si>
  <si>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，左右拱腰涂层脱落，面积为</t>
    </r>
    <r>
      <rPr>
        <sz val="10.5"/>
        <color indexed="8"/>
        <rFont val="Times New Roman"/>
        <charset val="134"/>
      </rPr>
      <t>0.3×1.5m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</si>
  <si>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3.5m</t>
    </r>
    <r>
      <rPr>
        <sz val="11"/>
        <color indexed="8"/>
        <rFont val="宋体"/>
        <charset val="134"/>
      </rPr>
      <t>，路面横向裂缝，长度为</t>
    </r>
    <r>
      <rPr>
        <sz val="11"/>
        <color indexed="8"/>
        <rFont val="Times New Roman"/>
        <charset val="134"/>
      </rPr>
      <t>7.5m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2mm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</si>
  <si>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5m</t>
    </r>
    <r>
      <rPr>
        <sz val="11"/>
        <color indexed="8"/>
        <rFont val="宋体"/>
        <charset val="134"/>
      </rPr>
      <t>，行车道路面</t>
    </r>
    <r>
      <rPr>
        <sz val="11"/>
        <color indexed="8"/>
        <rFont val="Times New Roman"/>
        <charset val="134"/>
      </rPr>
      <t>1</t>
    </r>
    <r>
      <rPr>
        <sz val="11"/>
        <color indexed="8"/>
        <rFont val="宋体"/>
        <charset val="134"/>
      </rPr>
      <t>处坑槽，面积为</t>
    </r>
    <r>
      <rPr>
        <sz val="11"/>
        <color indexed="8"/>
        <rFont val="Times New Roman"/>
        <charset val="134"/>
      </rPr>
      <t>0.2×0.2m</t>
    </r>
    <r>
      <rPr>
        <vertAlign val="superscript"/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，深度为</t>
    </r>
    <r>
      <rPr>
        <sz val="11"/>
        <color indexed="8"/>
        <rFont val="Times New Roman"/>
        <charset val="134"/>
      </rPr>
      <t>10mm</t>
    </r>
  </si>
  <si>
    <t>右拱腰左拱腰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</si>
  <si>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，防火涂层脱落，面积为</t>
    </r>
    <r>
      <rPr>
        <sz val="10.5"/>
        <color indexed="8"/>
        <rFont val="Times New Roman"/>
        <charset val="134"/>
      </rPr>
      <t>0.5×0.05+0.4×1m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</si>
  <si>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8.2m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0.80mm</t>
    </r>
    <r>
      <rPr>
        <sz val="10.5"/>
        <color indexed="8"/>
        <rFont val="宋体"/>
        <charset val="134"/>
      </rPr>
      <t>，已修补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</si>
  <si>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4m</t>
    </r>
    <r>
      <rPr>
        <sz val="11"/>
        <color indexed="8"/>
        <rFont val="宋体"/>
        <charset val="134"/>
      </rPr>
      <t>，路面横向裂缝，长度为</t>
    </r>
    <r>
      <rPr>
        <sz val="11"/>
        <color indexed="8"/>
        <rFont val="Times New Roman"/>
        <charset val="134"/>
      </rPr>
      <t>3.75m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2mm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</si>
  <si>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8m</t>
    </r>
    <r>
      <rPr>
        <sz val="10.5"/>
        <color indexed="8"/>
        <rFont val="宋体"/>
        <charset val="134"/>
      </rPr>
      <t>，封缝料起层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</si>
  <si>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0.5m</t>
    </r>
    <r>
      <rPr>
        <sz val="11"/>
        <color indexed="8"/>
        <rFont val="宋体"/>
        <charset val="134"/>
      </rPr>
      <t>，路面横向裂缝，长度为</t>
    </r>
    <r>
      <rPr>
        <sz val="11"/>
        <color indexed="8"/>
        <rFont val="Times New Roman"/>
        <charset val="134"/>
      </rPr>
      <t>7.5m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3mm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</si>
  <si>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2m</t>
    </r>
    <r>
      <rPr>
        <sz val="11"/>
        <color indexed="8"/>
        <rFont val="宋体"/>
        <charset val="134"/>
      </rPr>
      <t>，路面横向裂缝，长度为</t>
    </r>
    <r>
      <rPr>
        <sz val="11"/>
        <color indexed="8"/>
        <rFont val="Times New Roman"/>
        <charset val="134"/>
      </rPr>
      <t>7.5m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2mm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</si>
  <si>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，左侧检修道盖板陷落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</si>
  <si>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0.2m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1.5m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0.80mm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</si>
  <si>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7m</t>
    </r>
    <r>
      <rPr>
        <sz val="11"/>
        <color indexed="8"/>
        <rFont val="宋体"/>
        <charset val="134"/>
      </rPr>
      <t>，路面横向裂缝，长度为</t>
    </r>
    <r>
      <rPr>
        <sz val="11"/>
        <color indexed="8"/>
        <rFont val="Times New Roman"/>
        <charset val="134"/>
      </rPr>
      <t>7.5m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3mm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</si>
  <si>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0.2m</t>
    </r>
    <r>
      <rPr>
        <sz val="10.5"/>
        <color indexed="8"/>
        <rFont val="宋体"/>
        <charset val="134"/>
      </rPr>
      <t>，左拱腰环向裂缝，长度为</t>
    </r>
    <r>
      <rPr>
        <sz val="10.5"/>
        <color indexed="8"/>
        <rFont val="Times New Roman"/>
        <charset val="134"/>
      </rPr>
      <t xml:space="preserve"> 1.5m</t>
    </r>
    <r>
      <rPr>
        <sz val="10.5"/>
        <color indexed="8"/>
        <rFont val="宋体"/>
        <charset val="134"/>
      </rPr>
      <t>，</t>
    </r>
    <r>
      <rPr>
        <sz val="10.5"/>
        <color indexed="8"/>
        <rFont val="Times New Roman"/>
        <charset val="134"/>
      </rPr>
      <t xml:space="preserve"> </t>
    </r>
    <r>
      <rPr>
        <sz val="10.5"/>
        <color indexed="8"/>
        <rFont val="宋体"/>
        <charset val="134"/>
      </rPr>
      <t>宽度为</t>
    </r>
    <r>
      <rPr>
        <sz val="10.5"/>
        <color indexed="8"/>
        <rFont val="Times New Roman"/>
        <charset val="134"/>
      </rPr>
      <t xml:space="preserve"> 0.80mm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</si>
  <si>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4m</t>
    </r>
    <r>
      <rPr>
        <sz val="10.5"/>
        <color indexed="8"/>
        <rFont val="宋体"/>
        <charset val="134"/>
      </rPr>
      <t>，右侧检修道盖板陷落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</si>
  <si>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7.9m</t>
    </r>
    <r>
      <rPr>
        <sz val="10.5"/>
        <color indexed="8"/>
        <rFont val="宋体"/>
        <charset val="134"/>
      </rPr>
      <t>，封缝料起层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</si>
  <si>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8m</t>
    </r>
    <r>
      <rPr>
        <sz val="10.5"/>
        <color indexed="8"/>
        <rFont val="宋体"/>
        <charset val="134"/>
      </rPr>
      <t>，封缝料起层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</si>
  <si>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0.5m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2.5m</t>
    </r>
    <r>
      <rPr>
        <sz val="10.5"/>
        <color indexed="8"/>
        <rFont val="宋体"/>
        <charset val="134"/>
      </rPr>
      <t>，封缝料起层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</si>
  <si>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，左侧检修道盖板缺角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</si>
  <si>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4.5m</t>
    </r>
    <r>
      <rPr>
        <sz val="11"/>
        <color indexed="8"/>
        <rFont val="宋体"/>
        <charset val="134"/>
      </rPr>
      <t>，路面横向裂缝，长度为</t>
    </r>
    <r>
      <rPr>
        <sz val="11"/>
        <color indexed="8"/>
        <rFont val="Times New Roman"/>
        <charset val="134"/>
      </rPr>
      <t>7.5m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2mm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</si>
  <si>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，防火涂层脱落，面积为</t>
    </r>
    <r>
      <rPr>
        <sz val="10.5"/>
        <color indexed="8"/>
        <rFont val="Times New Roman"/>
        <charset val="134"/>
      </rPr>
      <t>2×0.05m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</si>
  <si>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，防火涂层脱落，面积为</t>
    </r>
    <r>
      <rPr>
        <sz val="10.5"/>
        <color indexed="8"/>
        <rFont val="Times New Roman"/>
        <charset val="134"/>
      </rPr>
      <t>2.5×0.1m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</si>
  <si>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，防火涂层脱落，面积为</t>
    </r>
    <r>
      <rPr>
        <sz val="10.5"/>
        <color indexed="8"/>
        <rFont val="Times New Roman"/>
        <charset val="134"/>
      </rPr>
      <t>0.1×1.5m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</si>
  <si>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0m</t>
    </r>
    <r>
      <rPr>
        <sz val="11"/>
        <color indexed="8"/>
        <rFont val="宋体"/>
        <charset val="134"/>
      </rPr>
      <t>，行车道路面纵向裂缝，长度为</t>
    </r>
    <r>
      <rPr>
        <sz val="11"/>
        <color indexed="8"/>
        <rFont val="Times New Roman"/>
        <charset val="134"/>
      </rPr>
      <t>4m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2mm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</si>
  <si>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5m</t>
    </r>
    <r>
      <rPr>
        <sz val="11"/>
        <color indexed="8"/>
        <rFont val="宋体"/>
        <charset val="134"/>
      </rPr>
      <t>，行车道路面沉陷，面积为</t>
    </r>
    <r>
      <rPr>
        <sz val="11"/>
        <color indexed="8"/>
        <rFont val="Times New Roman"/>
        <charset val="134"/>
      </rPr>
      <t>1×1m</t>
    </r>
    <r>
      <rPr>
        <vertAlign val="superscript"/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，深度为</t>
    </r>
    <r>
      <rPr>
        <sz val="11"/>
        <color indexed="8"/>
        <rFont val="Times New Roman"/>
        <charset val="134"/>
      </rPr>
      <t>10mm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</si>
  <si>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0m</t>
    </r>
    <r>
      <rPr>
        <sz val="11"/>
        <color indexed="8"/>
        <rFont val="宋体"/>
        <charset val="134"/>
      </rPr>
      <t>，行车道路面凹陷，面积为</t>
    </r>
    <r>
      <rPr>
        <sz val="11"/>
        <color indexed="8"/>
        <rFont val="Times New Roman"/>
        <charset val="134"/>
      </rPr>
      <t>1×1.2m</t>
    </r>
    <r>
      <rPr>
        <vertAlign val="superscript"/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，深度为</t>
    </r>
    <r>
      <rPr>
        <sz val="11"/>
        <color indexed="8"/>
        <rFont val="Times New Roman"/>
        <charset val="134"/>
      </rPr>
      <t>15mm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</si>
  <si>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5m</t>
    </r>
    <r>
      <rPr>
        <sz val="11"/>
        <color indexed="8"/>
        <rFont val="宋体"/>
        <charset val="134"/>
      </rPr>
      <t>，行车道路面凹陷，面积为</t>
    </r>
    <r>
      <rPr>
        <sz val="11"/>
        <color indexed="8"/>
        <rFont val="Times New Roman"/>
        <charset val="134"/>
      </rPr>
      <t>0.7×1.2m</t>
    </r>
    <r>
      <rPr>
        <vertAlign val="superscript"/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，深度为</t>
    </r>
    <r>
      <rPr>
        <sz val="11"/>
        <color indexed="8"/>
        <rFont val="Times New Roman"/>
        <charset val="134"/>
      </rPr>
      <t>15mm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</si>
  <si>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6m</t>
    </r>
    <r>
      <rPr>
        <sz val="11"/>
        <color indexed="8"/>
        <rFont val="宋体"/>
        <charset val="134"/>
      </rPr>
      <t>，行车道路面凹陷，面积为</t>
    </r>
    <r>
      <rPr>
        <sz val="11"/>
        <color indexed="8"/>
        <rFont val="Times New Roman"/>
        <charset val="134"/>
      </rPr>
      <t>1×1.5m</t>
    </r>
    <r>
      <rPr>
        <vertAlign val="superscript"/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，深度为</t>
    </r>
    <r>
      <rPr>
        <sz val="11"/>
        <color indexed="8"/>
        <rFont val="Times New Roman"/>
        <charset val="134"/>
      </rPr>
      <t>10mm</t>
    </r>
  </si>
  <si>
    <r>
      <rPr>
        <sz val="10.5"/>
        <color indexed="8"/>
        <rFont val="宋体"/>
        <charset val="134"/>
      </rPr>
      <t>左拱腰</t>
    </r>
    <r>
      <rPr>
        <sz val="10.5"/>
        <color indexed="8"/>
        <rFont val="Times New Roman"/>
        <charset val="134"/>
      </rPr>
      <t xml:space="preserve">/ </t>
    </r>
    <r>
      <rPr>
        <sz val="10.5"/>
        <color indexed="8"/>
        <rFont val="宋体"/>
        <charset val="134"/>
      </rPr>
      <t>右拱腰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</si>
  <si>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，防火涂层脱落，面积为</t>
    </r>
    <r>
      <rPr>
        <sz val="10.5"/>
        <color indexed="8"/>
        <rFont val="Times New Roman"/>
        <charset val="134"/>
      </rPr>
      <t>1×0.05+0.5×0.05m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</si>
  <si>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7m</t>
    </r>
    <r>
      <rPr>
        <sz val="10.5"/>
        <color indexed="8"/>
        <rFont val="宋体"/>
        <charset val="134"/>
      </rPr>
      <t>，右侧检修道盖板陷落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</si>
  <si>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3m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0.70mm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</si>
  <si>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7.5m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3m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1mm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</si>
  <si>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，左侧检修道盖板陷落</t>
    </r>
    <r>
      <rPr>
        <sz val="10.5"/>
        <color indexed="8"/>
        <rFont val="Times New Roman"/>
        <charset val="134"/>
      </rPr>
      <t>3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</si>
  <si>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1.3m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6.8m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0.80mm</t>
    </r>
    <r>
      <rPr>
        <sz val="10.5"/>
        <color indexed="8"/>
        <rFont val="宋体"/>
        <charset val="134"/>
      </rPr>
      <t>，已修补</t>
    </r>
  </si>
  <si>
    <t>风机结构及预埋件轻微锈蚀，氧化皮已开始剥落，尚未妨碍交通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</si>
  <si>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5m</t>
    </r>
    <r>
      <rPr>
        <sz val="10.5"/>
        <color indexed="8"/>
        <rFont val="宋体"/>
        <charset val="134"/>
      </rPr>
      <t>，右侧检修道盖板陷落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</si>
  <si>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1.5m</t>
    </r>
    <r>
      <rPr>
        <sz val="11"/>
        <color indexed="8"/>
        <rFont val="宋体"/>
        <charset val="134"/>
      </rPr>
      <t>，行车道路面凹陷，面积为</t>
    </r>
    <r>
      <rPr>
        <sz val="11"/>
        <color indexed="8"/>
        <rFont val="Times New Roman"/>
        <charset val="134"/>
      </rPr>
      <t>0.4×0.5m</t>
    </r>
    <r>
      <rPr>
        <vertAlign val="superscript"/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，深度为</t>
    </r>
    <r>
      <rPr>
        <sz val="11"/>
        <color indexed="8"/>
        <rFont val="Times New Roman"/>
        <charset val="134"/>
      </rPr>
      <t>10mm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</si>
  <si>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4m</t>
    </r>
    <r>
      <rPr>
        <sz val="10.5"/>
        <color indexed="8"/>
        <rFont val="宋体"/>
        <charset val="134"/>
      </rPr>
      <t>，左侧检修道盖板陷落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</si>
  <si>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，左侧检修道盖板陷落</t>
    </r>
    <r>
      <rPr>
        <sz val="10.5"/>
        <color indexed="8"/>
        <rFont val="Times New Roman"/>
        <charset val="134"/>
      </rPr>
      <t>2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</si>
  <si>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>0.5×4m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</si>
  <si>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5m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3m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0.50mm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</si>
  <si>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，防火涂层脱落，面积为</t>
    </r>
    <r>
      <rPr>
        <sz val="10.5"/>
        <color indexed="8"/>
        <rFont val="Times New Roman"/>
        <charset val="134"/>
      </rPr>
      <t>0.3×0.1m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</si>
  <si>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7m</t>
    </r>
    <r>
      <rPr>
        <sz val="11"/>
        <color indexed="8"/>
        <rFont val="宋体"/>
        <charset val="134"/>
      </rPr>
      <t>，行车道路面凹陷，面积为</t>
    </r>
    <r>
      <rPr>
        <sz val="11"/>
        <color indexed="8"/>
        <rFont val="Times New Roman"/>
        <charset val="134"/>
      </rPr>
      <t>0.4×1m</t>
    </r>
    <r>
      <rPr>
        <vertAlign val="superscript"/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，深度为</t>
    </r>
    <r>
      <rPr>
        <sz val="11"/>
        <color indexed="8"/>
        <rFont val="Times New Roman"/>
        <charset val="134"/>
      </rPr>
      <t>20mm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</si>
  <si>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0.5m</t>
    </r>
    <r>
      <rPr>
        <sz val="11"/>
        <color indexed="8"/>
        <rFont val="宋体"/>
        <charset val="134"/>
      </rPr>
      <t>，行车道路面凹陷，面积为</t>
    </r>
    <r>
      <rPr>
        <sz val="11"/>
        <color indexed="8"/>
        <rFont val="Times New Roman"/>
        <charset val="134"/>
      </rPr>
      <t>0.4×0.2m</t>
    </r>
    <r>
      <rPr>
        <vertAlign val="superscript"/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，</t>
    </r>
    <r>
      <rPr>
        <sz val="11"/>
        <color indexed="8"/>
        <rFont val="Times New Roman"/>
        <charset val="134"/>
      </rPr>
      <t xml:space="preserve"> </t>
    </r>
    <r>
      <rPr>
        <sz val="11"/>
        <color indexed="8"/>
        <rFont val="宋体"/>
        <charset val="134"/>
      </rPr>
      <t>深度为</t>
    </r>
    <r>
      <rPr>
        <sz val="11"/>
        <color indexed="8"/>
        <rFont val="Times New Roman"/>
        <charset val="134"/>
      </rPr>
      <t>15mm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</si>
  <si>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7.9m</t>
    </r>
    <r>
      <rPr>
        <sz val="10.5"/>
        <color indexed="8"/>
        <rFont val="宋体"/>
        <charset val="134"/>
      </rPr>
      <t>，封缝料起层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</si>
  <si>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>0.3×4m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</si>
  <si>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3m</t>
    </r>
    <r>
      <rPr>
        <sz val="10.5"/>
        <color indexed="8"/>
        <rFont val="宋体"/>
        <charset val="134"/>
      </rPr>
      <t>，渗水印迹，面积为</t>
    </r>
    <r>
      <rPr>
        <sz val="10.5"/>
        <color indexed="8"/>
        <rFont val="Times New Roman"/>
        <charset val="134"/>
      </rPr>
      <t>0.3×4m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</si>
  <si>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</si>
  <si>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，防火涂层脱落，面积为</t>
    </r>
    <r>
      <rPr>
        <sz val="10.5"/>
        <color indexed="8"/>
        <rFont val="Times New Roman"/>
        <charset val="134"/>
      </rPr>
      <t>0.1×1m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</si>
  <si>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8m</t>
    </r>
    <r>
      <rPr>
        <sz val="10.5"/>
        <color indexed="8"/>
        <rFont val="宋体"/>
        <charset val="134"/>
      </rPr>
      <t>，封缝料起皮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</si>
  <si>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7.8m</t>
    </r>
    <r>
      <rPr>
        <sz val="10.5"/>
        <color indexed="8"/>
        <rFont val="宋体"/>
        <charset val="134"/>
      </rPr>
      <t>，封缝料起皮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</si>
  <si>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6m</t>
    </r>
    <r>
      <rPr>
        <sz val="10.5"/>
        <color indexed="8"/>
        <rFont val="宋体"/>
        <charset val="134"/>
      </rPr>
      <t>，紧急电话洞室渗漏水</t>
    </r>
    <r>
      <rPr>
        <sz val="10.5"/>
        <color indexed="10"/>
        <rFont val="宋体"/>
        <charset val="134"/>
      </rPr>
      <t>未发现</t>
    </r>
    <r>
      <rPr>
        <sz val="10.5"/>
        <color indexed="8"/>
        <rFont val="宋体"/>
        <charset val="134"/>
      </rPr>
      <t>，呈涌流状态，面积为</t>
    </r>
    <r>
      <rPr>
        <sz val="10.5"/>
        <color indexed="8"/>
        <rFont val="Times New Roman"/>
        <charset val="134"/>
      </rPr>
      <t>1×1.2m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</si>
  <si>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，防火涂层脱落，面积为</t>
    </r>
    <r>
      <rPr>
        <sz val="10.5"/>
        <color indexed="8"/>
        <rFont val="Times New Roman"/>
        <charset val="134"/>
      </rPr>
      <t>0.1×0.5m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</si>
  <si>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，渗水印迹，面积为</t>
    </r>
    <r>
      <rPr>
        <sz val="10.5"/>
        <color indexed="8"/>
        <rFont val="Times New Roman"/>
        <charset val="134"/>
      </rPr>
      <t>0.4×4m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</si>
  <si>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>0.4m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</si>
  <si>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，施工缝渗漏水，呈小股涌流状，面积为</t>
    </r>
    <r>
      <rPr>
        <sz val="10.5"/>
        <color indexed="8"/>
        <rFont val="Times New Roman"/>
        <charset val="134"/>
      </rPr>
      <t>0.5×6m</t>
    </r>
    <r>
      <rPr>
        <vertAlign val="superscript"/>
        <sz val="10.5"/>
        <color indexed="8"/>
        <rFont val="Times New Roman"/>
        <charset val="134"/>
      </rPr>
      <t>2</t>
    </r>
    <r>
      <rPr>
        <sz val="10.5"/>
        <color indexed="8"/>
        <rFont val="宋体"/>
        <charset val="134"/>
      </rPr>
      <t>，已增设导流槽</t>
    </r>
    <r>
      <rPr>
        <sz val="10.5"/>
        <color indexed="10"/>
        <rFont val="宋体"/>
        <charset val="134"/>
      </rPr>
      <t>（已修复）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</si>
  <si>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0m</t>
    </r>
    <r>
      <rPr>
        <sz val="11"/>
        <color indexed="8"/>
        <rFont val="宋体"/>
        <charset val="134"/>
      </rPr>
      <t>，路面横向裂缝，长度为</t>
    </r>
    <r>
      <rPr>
        <sz val="11"/>
        <color indexed="8"/>
        <rFont val="Times New Roman"/>
        <charset val="134"/>
      </rPr>
      <t>7.5m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5mm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</si>
  <si>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，防火涂层脱落，面积为</t>
    </r>
    <r>
      <rPr>
        <sz val="10.5"/>
        <color indexed="8"/>
        <rFont val="Times New Roman"/>
        <charset val="134"/>
      </rPr>
      <t>3×0.3m</t>
    </r>
    <r>
      <rPr>
        <vertAlign val="superscript"/>
        <sz val="10.5"/>
        <color indexed="8"/>
        <rFont val="Times New Roman"/>
        <charset val="134"/>
      </rPr>
      <t>2</t>
    </r>
  </si>
  <si>
    <t>取芯未回填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</si>
  <si>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，右侧墙</t>
    </r>
    <r>
      <rPr>
        <sz val="10.5"/>
        <color indexed="8"/>
        <rFont val="Times New Roman"/>
        <charset val="134"/>
      </rPr>
      <t>3</t>
    </r>
    <r>
      <rPr>
        <sz val="10.5"/>
        <color indexed="8"/>
        <rFont val="宋体"/>
        <charset val="134"/>
      </rPr>
      <t>处取芯未回填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</si>
  <si>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>6m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</si>
  <si>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右侧消防箱处背后衬砌破损渗漏水，达到小股涌流状态</t>
    </r>
    <r>
      <rPr>
        <sz val="10.5"/>
        <color indexed="10"/>
        <rFont val="宋体"/>
        <charset val="134"/>
      </rPr>
      <t>（已修复）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</si>
  <si>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3m</t>
    </r>
    <r>
      <rPr>
        <sz val="10.5"/>
        <color indexed="8"/>
        <rFont val="宋体"/>
        <charset val="134"/>
      </rPr>
      <t>，右侧墙</t>
    </r>
    <r>
      <rPr>
        <sz val="10.5"/>
        <color indexed="8"/>
        <rFont val="Times New Roman"/>
        <charset val="134"/>
      </rPr>
      <t>3</t>
    </r>
    <r>
      <rPr>
        <sz val="10.5"/>
        <color indexed="8"/>
        <rFont val="宋体"/>
        <charset val="134"/>
      </rPr>
      <t>处取芯未回填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</si>
  <si>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6m</t>
    </r>
    <r>
      <rPr>
        <sz val="10.5"/>
        <color indexed="8"/>
        <rFont val="宋体"/>
        <charset val="134"/>
      </rPr>
      <t>，衬砌破损，防水板外露，面积为</t>
    </r>
    <r>
      <rPr>
        <sz val="10.5"/>
        <color indexed="8"/>
        <rFont val="Times New Roman"/>
        <charset val="134"/>
      </rPr>
      <t>1×1m</t>
    </r>
    <r>
      <rPr>
        <vertAlign val="superscript"/>
        <sz val="10.5"/>
        <color indexed="8"/>
        <rFont val="Times New Roman"/>
        <charset val="134"/>
      </rPr>
      <t>2</t>
    </r>
    <r>
      <rPr>
        <sz val="10.5"/>
        <color indexed="8"/>
        <rFont val="宋体"/>
        <charset val="134"/>
      </rPr>
      <t>，经敲击衬砌背后空洞</t>
    </r>
    <r>
      <rPr>
        <sz val="10.5"/>
        <color indexed="10"/>
        <rFont val="宋体"/>
        <charset val="134"/>
      </rPr>
      <t>（已注浆修复）</t>
    </r>
  </si>
  <si>
    <t>瓷砖破损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</si>
  <si>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5m</t>
    </r>
    <r>
      <rPr>
        <sz val="10.5"/>
        <color indexed="8"/>
        <rFont val="宋体"/>
        <charset val="134"/>
      </rPr>
      <t>，瓷砖破损，面积为</t>
    </r>
    <r>
      <rPr>
        <sz val="10.5"/>
        <color indexed="8"/>
        <rFont val="Times New Roman"/>
        <charset val="134"/>
      </rPr>
      <t xml:space="preserve"> 0.1×0.2m</t>
    </r>
    <r>
      <rPr>
        <vertAlign val="superscript"/>
        <sz val="10.5"/>
        <color indexed="8"/>
        <rFont val="Times New Roman"/>
        <charset val="134"/>
      </rPr>
      <t>2</t>
    </r>
    <r>
      <rPr>
        <sz val="10.5"/>
        <color indexed="8"/>
        <rFont val="Times New Roman"/>
        <charset val="134"/>
      </rPr>
      <t>×12</t>
    </r>
    <r>
      <rPr>
        <sz val="10.5"/>
        <color indexed="10"/>
        <rFont val="宋体"/>
        <charset val="134"/>
      </rPr>
      <t>（已修复）</t>
    </r>
  </si>
  <si>
    <r>
      <rPr>
        <sz val="11"/>
        <color indexed="10"/>
        <rFont val="等线"/>
        <charset val="134"/>
      </rPr>
      <t>距板端</t>
    </r>
    <r>
      <rPr>
        <sz val="11"/>
        <color indexed="10"/>
        <rFont val="Times New Roman"/>
        <charset val="134"/>
      </rPr>
      <t>6m</t>
    </r>
    <r>
      <rPr>
        <sz val="11"/>
        <color indexed="10"/>
        <rFont val="等线"/>
        <charset val="134"/>
      </rPr>
      <t>，右拱腰纵向裂缝泛碱，泌死，长度</t>
    </r>
    <r>
      <rPr>
        <sz val="11"/>
        <color indexed="10"/>
        <rFont val="Times New Roman"/>
        <charset val="134"/>
      </rPr>
      <t>2m</t>
    </r>
  </si>
  <si>
    <r>
      <rPr>
        <sz val="10.5"/>
        <color indexed="10"/>
        <rFont val="宋体"/>
        <charset val="134"/>
      </rPr>
      <t>距板端</t>
    </r>
    <r>
      <rPr>
        <sz val="10.5"/>
        <color indexed="10"/>
        <rFont val="Times New Roman"/>
        <charset val="134"/>
      </rPr>
      <t>3m</t>
    </r>
    <r>
      <rPr>
        <sz val="10.5"/>
        <color indexed="10"/>
        <rFont val="宋体"/>
        <charset val="134"/>
      </rPr>
      <t>，右侧墙纵向裂缝泛碱，长度为</t>
    </r>
    <r>
      <rPr>
        <sz val="10.5"/>
        <color indexed="10"/>
        <rFont val="Times New Roman"/>
        <charset val="134"/>
      </rPr>
      <t>3m</t>
    </r>
  </si>
  <si>
    <r>
      <rPr>
        <sz val="10.5"/>
        <color indexed="10"/>
        <rFont val="宋体"/>
        <charset val="134"/>
      </rPr>
      <t>距板端</t>
    </r>
    <r>
      <rPr>
        <sz val="10.5"/>
        <color indexed="10"/>
        <rFont val="Times New Roman"/>
        <charset val="134"/>
      </rPr>
      <t>0m</t>
    </r>
    <r>
      <rPr>
        <sz val="10.5"/>
        <color indexed="10"/>
        <rFont val="宋体"/>
        <charset val="134"/>
      </rPr>
      <t>，渗水泛碱印迹，长度为</t>
    </r>
    <r>
      <rPr>
        <sz val="10.5"/>
        <color indexed="10"/>
        <rFont val="Times New Roman"/>
        <charset val="134"/>
      </rPr>
      <t>8m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</si>
  <si>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 xml:space="preserve"> 6m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</si>
  <si>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3m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6m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10"/>
        <rFont val="Times New Roman"/>
        <charset val="134"/>
      </rPr>
      <t>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0.20mm</t>
    </r>
    <r>
      <rPr>
        <sz val="10.5"/>
        <color indexed="8"/>
        <rFont val="宋体"/>
        <charset val="134"/>
      </rPr>
      <t>，开裂伴浸渗，修后破损</t>
    </r>
    <r>
      <rPr>
        <sz val="10.5"/>
        <color indexed="10"/>
        <rFont val="宋体"/>
        <charset val="134"/>
      </rPr>
      <t>泛碱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</si>
  <si>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4m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6m</t>
    </r>
    <r>
      <rPr>
        <sz val="10.5"/>
        <color indexed="8"/>
        <rFont val="宋体"/>
        <charset val="134"/>
      </rPr>
      <t>，</t>
    </r>
    <r>
      <rPr>
        <sz val="10.5"/>
        <color indexed="8"/>
        <rFont val="Times New Roman"/>
        <charset val="134"/>
      </rPr>
      <t>2</t>
    </r>
    <r>
      <rPr>
        <sz val="10.5"/>
        <color indexed="8"/>
        <rFont val="宋体"/>
        <charset val="134"/>
      </rPr>
      <t>处渗水印迹，面积为</t>
    </r>
    <r>
      <rPr>
        <sz val="10.5"/>
        <color indexed="8"/>
        <rFont val="Times New Roman"/>
        <charset val="134"/>
      </rPr>
      <t>1×1m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</si>
  <si>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 xml:space="preserve"> 6m</t>
    </r>
    <r>
      <rPr>
        <sz val="10.5"/>
        <color indexed="8"/>
        <rFont val="宋体"/>
        <charset val="134"/>
      </rPr>
      <t>，</t>
    </r>
    <r>
      <rPr>
        <sz val="10.5"/>
        <color indexed="8"/>
        <rFont val="Times New Roman"/>
        <charset val="134"/>
      </rPr>
      <t xml:space="preserve">2 </t>
    </r>
    <r>
      <rPr>
        <sz val="10.5"/>
        <color indexed="8"/>
        <rFont val="宋体"/>
        <charset val="134"/>
      </rPr>
      <t>处渗水印迹，</t>
    </r>
    <r>
      <rPr>
        <sz val="10.5"/>
        <color indexed="10"/>
        <rFont val="宋体"/>
        <charset val="134"/>
      </rPr>
      <t>泛碱</t>
    </r>
    <r>
      <rPr>
        <sz val="10.5"/>
        <color indexed="8"/>
        <rFont val="宋体"/>
        <charset val="134"/>
      </rPr>
      <t>，面积为</t>
    </r>
    <r>
      <rPr>
        <sz val="10.5"/>
        <color indexed="8"/>
        <rFont val="Times New Roman"/>
        <charset val="134"/>
      </rPr>
      <t xml:space="preserve"> 1×8m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</si>
  <si>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10"/>
        <rFont val="Times New Roman"/>
        <charset val="134"/>
      </rPr>
      <t>0.5m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6m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10"/>
        <rFont val="Times New Roman"/>
        <charset val="134"/>
      </rPr>
      <t>8m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0.20mm</t>
    </r>
    <r>
      <rPr>
        <sz val="10.5"/>
        <color indexed="8"/>
        <rFont val="宋体"/>
        <charset val="134"/>
      </rPr>
      <t>，开裂伴浸渗，</t>
    </r>
    <r>
      <rPr>
        <sz val="10.5"/>
        <color indexed="10"/>
        <rFont val="宋体"/>
        <charset val="134"/>
      </rPr>
      <t>泛碱。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</si>
  <si>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，渗水印迹，面积为</t>
    </r>
    <r>
      <rPr>
        <sz val="10.5"/>
        <color indexed="8"/>
        <rFont val="Times New Roman"/>
        <charset val="134"/>
      </rPr>
      <t>10m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</si>
  <si>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4m</t>
    </r>
    <r>
      <rPr>
        <sz val="10.5"/>
        <color indexed="8"/>
        <rFont val="宋体"/>
        <charset val="134"/>
      </rPr>
      <t>，左侧墙纵向裂缝渗水印迹，长度为</t>
    </r>
    <r>
      <rPr>
        <sz val="10.5"/>
        <color indexed="8"/>
        <rFont val="Times New Roman"/>
        <charset val="134"/>
      </rPr>
      <t>1m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</si>
  <si>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4m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5m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1.5m</t>
    </r>
    <r>
      <rPr>
        <sz val="10.5"/>
        <color indexed="8"/>
        <rFont val="宋体"/>
        <charset val="134"/>
      </rPr>
      <t>，泌死，伴浸渗，</t>
    </r>
    <r>
      <rPr>
        <sz val="10.5"/>
        <color indexed="10"/>
        <rFont val="宋体"/>
        <charset val="134"/>
      </rPr>
      <t>（已修复）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</si>
  <si>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>4m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</si>
  <si>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8m</t>
    </r>
    <r>
      <rPr>
        <sz val="10.5"/>
        <color indexed="8"/>
        <rFont val="宋体"/>
        <charset val="134"/>
      </rPr>
      <t>，渗水印迹，面积为</t>
    </r>
    <r>
      <rPr>
        <sz val="10.5"/>
        <color indexed="8"/>
        <rFont val="Times New Roman"/>
        <charset val="134"/>
      </rPr>
      <t>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</si>
  <si>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3m</t>
    </r>
    <r>
      <rPr>
        <sz val="10.5"/>
        <color indexed="8"/>
        <rFont val="宋体"/>
        <charset val="134"/>
      </rPr>
      <t>，左侧拱腰纵向裂缝渗水印迹，长度为</t>
    </r>
    <r>
      <rPr>
        <sz val="10.5"/>
        <color indexed="8"/>
        <rFont val="Times New Roman"/>
        <charset val="134"/>
      </rPr>
      <t>1.2m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</si>
  <si>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，右侧检修道侧壁轮廓标破损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个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</si>
  <si>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5m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5m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3.5m</t>
    </r>
    <r>
      <rPr>
        <sz val="10.5"/>
        <color indexed="8"/>
        <rFont val="宋体"/>
        <charset val="134"/>
      </rPr>
      <t>，泌死，伴浸渗，面积为</t>
    </r>
    <r>
      <rPr>
        <sz val="10.5"/>
        <color indexed="8"/>
        <rFont val="Times New Roman"/>
        <charset val="134"/>
      </rPr>
      <t>1.5×3.5m</t>
    </r>
    <r>
      <rPr>
        <vertAlign val="superscript"/>
        <sz val="10.5"/>
        <color indexed="8"/>
        <rFont val="Times New Roman"/>
        <charset val="134"/>
      </rPr>
      <t>2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</si>
  <si>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3m</t>
    </r>
    <r>
      <rPr>
        <sz val="10.5"/>
        <color indexed="8"/>
        <rFont val="宋体"/>
        <charset val="134"/>
      </rPr>
      <t>，渗水印迹，面积为</t>
    </r>
    <r>
      <rPr>
        <sz val="10.5"/>
        <color indexed="8"/>
        <rFont val="Times New Roman"/>
        <charset val="134"/>
      </rPr>
      <t>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</si>
  <si>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>0.3m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</si>
  <si>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4.5m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，泌死，伴浸渗，面积为</t>
    </r>
    <r>
      <rPr>
        <sz val="10.5"/>
        <color indexed="8"/>
        <rFont val="Times New Roman"/>
        <charset val="134"/>
      </rPr>
      <t>0.5×1.5m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</si>
  <si>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1"/>
        <color indexed="10"/>
        <rFont val="等线"/>
        <charset val="134"/>
      </rPr>
      <t>距板端</t>
    </r>
    <r>
      <rPr>
        <sz val="11"/>
        <color indexed="10"/>
        <rFont val="Times New Roman"/>
        <charset val="134"/>
      </rPr>
      <t>3m</t>
    </r>
    <r>
      <rPr>
        <sz val="11"/>
        <color indexed="10"/>
        <rFont val="等线"/>
        <charset val="134"/>
      </rPr>
      <t>，环向裂缝伴随泛碱，长度</t>
    </r>
    <r>
      <rPr>
        <sz val="11"/>
        <color indexed="10"/>
        <rFont val="Times New Roman"/>
        <charset val="134"/>
      </rPr>
      <t>1.5m</t>
    </r>
  </si>
  <si>
    <r>
      <rPr>
        <sz val="11"/>
        <color indexed="10"/>
        <rFont val="等线"/>
        <charset val="134"/>
      </rPr>
      <t>距板端</t>
    </r>
    <r>
      <rPr>
        <sz val="11"/>
        <color indexed="10"/>
        <rFont val="Times New Roman"/>
        <charset val="134"/>
      </rPr>
      <t>6m</t>
    </r>
    <r>
      <rPr>
        <sz val="11"/>
        <color indexed="10"/>
        <rFont val="等线"/>
        <charset val="134"/>
      </rPr>
      <t>，环向裂缝伴随泛碱泌死，长</t>
    </r>
    <r>
      <rPr>
        <sz val="11"/>
        <color indexed="10"/>
        <rFont val="Times New Roman"/>
        <charset val="134"/>
      </rPr>
      <t>2m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</si>
  <si>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>2m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</si>
  <si>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>3m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</si>
  <si>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2m</t>
    </r>
    <r>
      <rPr>
        <sz val="10.5"/>
        <color indexed="8"/>
        <rFont val="宋体"/>
        <charset val="134"/>
      </rPr>
      <t>，左侧边墙渗水印迹，面积为</t>
    </r>
    <r>
      <rPr>
        <sz val="10.5"/>
        <color indexed="8"/>
        <rFont val="Times New Roman"/>
        <charset val="134"/>
      </rPr>
      <t xml:space="preserve"> 1m</t>
    </r>
    <r>
      <rPr>
        <vertAlign val="superscript"/>
        <sz val="10.5"/>
        <color indexed="8"/>
        <rFont val="Times New Roman"/>
        <charset val="134"/>
      </rPr>
      <t>2</t>
    </r>
  </si>
  <si>
    <t>泛碱</t>
  </si>
  <si>
    <r>
      <rPr>
        <sz val="11"/>
        <color indexed="10"/>
        <rFont val="等线"/>
        <charset val="134"/>
      </rPr>
      <t>距板端</t>
    </r>
    <r>
      <rPr>
        <sz val="11"/>
        <color indexed="10"/>
        <rFont val="Times New Roman"/>
        <charset val="134"/>
      </rPr>
      <t>0m</t>
    </r>
    <r>
      <rPr>
        <sz val="11"/>
        <color indexed="10"/>
        <rFont val="等线"/>
        <charset val="134"/>
      </rPr>
      <t>，右拱腰渗水泛碱，长度</t>
    </r>
    <r>
      <rPr>
        <sz val="11"/>
        <color indexed="10"/>
        <rFont val="Times New Roman"/>
        <charset val="134"/>
      </rPr>
      <t>8m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</si>
  <si>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，施工缝右侧墙渗漏水，呈小股涌流状，面积为</t>
    </r>
    <r>
      <rPr>
        <sz val="10.5"/>
        <color indexed="8"/>
        <rFont val="Times New Roman"/>
        <charset val="134"/>
      </rPr>
      <t>2m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</si>
  <si>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1.2m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7m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0.70mm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</si>
  <si>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>0.5m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</si>
  <si>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1.5m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1.5m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0.50mm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</si>
  <si>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 xml:space="preserve"> 3m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</si>
  <si>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3m</t>
    </r>
    <r>
      <rPr>
        <sz val="10.5"/>
        <color indexed="8"/>
        <rFont val="宋体"/>
        <charset val="134"/>
      </rPr>
      <t>，防火涂层脱落，面积为</t>
    </r>
    <r>
      <rPr>
        <sz val="10.5"/>
        <color indexed="8"/>
        <rFont val="Times New Roman"/>
        <charset val="134"/>
      </rPr>
      <t>0.3×3m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</si>
  <si>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2.5m</t>
    </r>
    <r>
      <rPr>
        <sz val="10.5"/>
        <color indexed="8"/>
        <rFont val="宋体"/>
        <charset val="134"/>
      </rPr>
      <t>，防火涂层脱落，面积为</t>
    </r>
    <r>
      <rPr>
        <sz val="10.5"/>
        <color indexed="8"/>
        <rFont val="Times New Roman"/>
        <charset val="134"/>
      </rPr>
      <t xml:space="preserve"> 4.5m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</si>
  <si>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6m</t>
    </r>
    <r>
      <rPr>
        <sz val="10.5"/>
        <color indexed="8"/>
        <rFont val="宋体"/>
        <charset val="134"/>
      </rPr>
      <t>，左侧检修道盖板陷落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</si>
  <si>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，左拱腰渗水印迹，面积为</t>
    </r>
    <r>
      <rPr>
        <sz val="10.5"/>
        <color indexed="8"/>
        <rFont val="Times New Roman"/>
        <charset val="134"/>
      </rPr>
      <t>7m</t>
    </r>
    <r>
      <rPr>
        <vertAlign val="superscript"/>
        <sz val="10.5"/>
        <color indexed="8"/>
        <rFont val="Times New Roman"/>
        <charset val="134"/>
      </rPr>
      <t>2</t>
    </r>
  </si>
  <si>
    <t>电缆桥架及预埋件轻微锈蚀，氧化皮已开始剥落，尚未妨碍交通</t>
  </si>
  <si>
    <t>91~101</t>
  </si>
  <si>
    <r>
      <rPr>
        <sz val="11"/>
        <color theme="1"/>
        <rFont val="宋体"/>
        <charset val="134"/>
      </rPr>
      <t>入口洞门受雨水侵蚀，面积约9m</t>
    </r>
    <r>
      <rPr>
        <vertAlign val="superscript"/>
        <sz val="11"/>
        <color theme="1"/>
        <rFont val="宋体"/>
        <charset val="134"/>
      </rPr>
      <t>2</t>
    </r>
  </si>
  <si>
    <r>
      <rPr>
        <sz val="11"/>
        <color theme="1"/>
        <rFont val="宋体"/>
        <charset val="134"/>
      </rPr>
      <t>入口端洞门顶部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处混凝土破损，露筋，长度为</t>
    </r>
    <r>
      <rPr>
        <sz val="11"/>
        <color theme="1"/>
        <rFont val="Times New Roman"/>
        <charset val="134"/>
      </rPr>
      <t>0.3m</t>
    </r>
  </si>
  <si>
    <r>
      <rPr>
        <sz val="11"/>
        <color theme="1"/>
        <rFont val="宋体"/>
        <charset val="134"/>
      </rPr>
      <t>出口端洞门顶部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处露筋，长度为</t>
    </r>
    <r>
      <rPr>
        <sz val="11"/>
        <color theme="1"/>
        <rFont val="Times New Roman"/>
        <charset val="134"/>
      </rPr>
      <t>0.4m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</si>
  <si>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0.2×1m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</si>
  <si>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 xml:space="preserve"> 0.05×0.6m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，修后破损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</si>
  <si>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0.85mm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</si>
  <si>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，结构破损，止水带外露老化，面积为</t>
    </r>
    <r>
      <rPr>
        <sz val="10.5"/>
        <color theme="1"/>
        <rFont val="Times New Roman"/>
        <charset val="134"/>
      </rPr>
      <t>0.6×0.1m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</si>
  <si>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</si>
  <si>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</si>
  <si>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 xml:space="preserve"> 0.5× 0.05m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</si>
  <si>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</si>
  <si>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</si>
  <si>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 xml:space="preserve"> 0.1× 4m</t>
    </r>
    <r>
      <rPr>
        <vertAlign val="superscript"/>
        <sz val="6.5"/>
        <color theme="1"/>
        <rFont val="Times New Roman"/>
        <charset val="134"/>
      </rPr>
      <t>2</t>
    </r>
  </si>
  <si>
    <r>
      <rPr>
        <sz val="11"/>
        <color rgb="FF000000"/>
        <rFont val="宋体"/>
        <charset val="134"/>
      </rPr>
      <t>滤水篦缺失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</si>
  <si>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6m</t>
    </r>
    <r>
      <rPr>
        <sz val="11"/>
        <color theme="1"/>
        <rFont val="宋体"/>
        <charset val="134"/>
      </rPr>
      <t>，右侧沉砂井滤水篦子缺失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</si>
  <si>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，环向裂缝，开裂伴有渗水印迹，长度为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</si>
  <si>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4.5m²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</si>
  <si>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，纵向裂缝，开裂伴有渗水印迹，长度为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</si>
  <si>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</si>
  <si>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2×7m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</si>
  <si>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，左侧检修道盖板缺角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</si>
  <si>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，封缝料起层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</si>
  <si>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</si>
  <si>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0.3m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</si>
  <si>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 xml:space="preserve"> 0.05m</t>
    </r>
    <r>
      <rPr>
        <vertAlign val="superscript"/>
        <sz val="6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</si>
  <si>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 xml:space="preserve"> 0.04m</t>
    </r>
    <r>
      <rPr>
        <vertAlign val="superscript"/>
        <sz val="6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</si>
  <si>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，右侧沉砂井滤水篦子缺失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</si>
  <si>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7.5m</t>
    </r>
    <r>
      <rPr>
        <sz val="10.5"/>
        <color theme="1"/>
        <rFont val="宋体"/>
        <charset val="134"/>
      </rPr>
      <t>，右侧检修道盖板陷落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</si>
  <si>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8m</t>
    </r>
    <r>
      <rPr>
        <sz val="11"/>
        <color theme="1"/>
        <rFont val="宋体"/>
        <charset val="134"/>
      </rPr>
      <t>，左侧检修道盖板缺角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</si>
  <si>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</si>
  <si>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 xml:space="preserve"> 0.05m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</si>
  <si>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0.3×2m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</si>
  <si>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 xml:space="preserve"> 0.15m</t>
    </r>
    <r>
      <rPr>
        <vertAlign val="superscript"/>
        <sz val="6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</si>
  <si>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，右侧沉砂井滤水篦子缺失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</si>
  <si>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1m</t>
    </r>
    <r>
      <rPr>
        <sz val="11"/>
        <color theme="1"/>
        <rFont val="宋体"/>
        <charset val="134"/>
      </rPr>
      <t>，左侧检修道侧壁轮廓标脱落</t>
    </r>
  </si>
  <si>
    <t>标志松动</t>
  </si>
  <si>
    <t>人行横通道指示标志松动</t>
  </si>
  <si>
    <r>
      <rPr>
        <sz val="10.5"/>
        <color theme="1"/>
        <rFont val="宋体"/>
        <charset val="134"/>
      </rPr>
      <t>斜向裂缝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</si>
  <si>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，斜向裂缝，长度为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，已修补</t>
    </r>
  </si>
  <si>
    <r>
      <rPr>
        <sz val="11"/>
        <color rgb="FF000000"/>
        <rFont val="宋体"/>
        <charset val="134"/>
      </rPr>
      <t>标志缺失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</si>
  <si>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6m</t>
    </r>
    <r>
      <rPr>
        <sz val="11"/>
        <color theme="1"/>
        <rFont val="宋体"/>
        <charset val="134"/>
      </rPr>
      <t>，左侧检修道侧壁轮廓标缺失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</si>
  <si>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2.5m</t>
    </r>
    <r>
      <rPr>
        <sz val="11"/>
        <color theme="1"/>
        <rFont val="宋体"/>
        <charset val="134"/>
      </rPr>
      <t>，右侧沉砂井滤水篦子缺失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</si>
  <si>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6m</t>
    </r>
    <r>
      <rPr>
        <sz val="11"/>
        <color theme="1"/>
        <rFont val="宋体"/>
        <charset val="134"/>
      </rPr>
      <t>，左侧检修道侧壁轮廓标缺失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</si>
  <si>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1.2m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</si>
  <si>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，左侧检修道侧壁轮廓标缺失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</si>
  <si>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 xml:space="preserve"> 0.1m</t>
    </r>
    <r>
      <rPr>
        <vertAlign val="superscript"/>
        <sz val="6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</si>
  <si>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，拱顶环向裂缝，长度为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</si>
  <si>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2.5m</t>
    </r>
    <r>
      <rPr>
        <sz val="11"/>
        <color theme="1"/>
        <rFont val="宋体"/>
        <charset val="134"/>
      </rPr>
      <t>，右侧检修道侧壁轮廓标缺失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</si>
  <si>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2m</t>
    </r>
    <r>
      <rPr>
        <sz val="11"/>
        <color theme="1"/>
        <rFont val="宋体"/>
        <charset val="134"/>
      </rPr>
      <t>，右侧检修道侧壁轮廓标缺失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</si>
  <si>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1.5m</t>
    </r>
    <r>
      <rPr>
        <sz val="11"/>
        <color theme="1"/>
        <rFont val="宋体"/>
        <charset val="134"/>
      </rPr>
      <t>，右侧检修道侧壁轮廓标缺失</t>
    </r>
  </si>
  <si>
    <t>侧壁变形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</si>
  <si>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，左侧检修道侧壁向内侧倾斜，长度约</t>
    </r>
    <r>
      <rPr>
        <sz val="11"/>
        <color theme="1"/>
        <rFont val="Times New Roman"/>
        <charset val="134"/>
      </rPr>
      <t>5m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</si>
  <si>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7m</t>
    </r>
    <r>
      <rPr>
        <sz val="11"/>
        <color theme="1"/>
        <rFont val="宋体"/>
        <charset val="134"/>
      </rPr>
      <t>，左侧检修道侧壁轮廓标缺失</t>
    </r>
  </si>
  <si>
    <r>
      <rPr>
        <sz val="11"/>
        <color rgb="FF000000"/>
        <rFont val="宋体"/>
        <charset val="134"/>
      </rPr>
      <t>侧壁破损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</si>
  <si>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2m</t>
    </r>
    <r>
      <rPr>
        <sz val="11"/>
        <color theme="1"/>
        <rFont val="宋体"/>
        <charset val="134"/>
      </rPr>
      <t>，右侧检修道侧壁破损，</t>
    </r>
    <r>
      <rPr>
        <sz val="11"/>
        <color theme="1"/>
        <rFont val="Times New Roman"/>
        <charset val="134"/>
      </rPr>
      <t>S=0.3×0.1m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</si>
  <si>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，右侧沉砂井滤水篦子缺失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</si>
  <si>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8m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 xml:space="preserve"> 0.2m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</si>
  <si>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，左侧检修道盖板陷落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</si>
  <si>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0.2m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8.00mm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</si>
  <si>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 xml:space="preserve"> 0.1×0.3m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</si>
  <si>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0.30mm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</si>
  <si>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，右侧检修道侧壁轮廓标缺失</t>
    </r>
  </si>
  <si>
    <r>
      <rPr>
        <sz val="10.5"/>
        <color theme="1"/>
        <rFont val="宋体"/>
        <charset val="134"/>
      </rPr>
      <t>右拱腰拱顶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</si>
  <si>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 xml:space="preserve"> 0.01m</t>
    </r>
    <r>
      <rPr>
        <vertAlign val="superscript"/>
        <sz val="6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</si>
  <si>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 xml:space="preserve"> 0.5× 0.05m</t>
    </r>
    <r>
      <rPr>
        <vertAlign val="superscript"/>
        <sz val="6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</si>
  <si>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，左侧检修道侧壁轮廓标缺失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</si>
  <si>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，右侧检修道盖板陷落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</si>
  <si>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>1×0.1m</t>
    </r>
    <r>
      <rPr>
        <vertAlign val="superscript"/>
        <sz val="6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</si>
  <si>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 xml:space="preserve"> 0.05m</t>
    </r>
    <r>
      <rPr>
        <vertAlign val="superscript"/>
        <sz val="6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</si>
  <si>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 xml:space="preserve"> 0.4× 0.05m</t>
    </r>
    <r>
      <rPr>
        <vertAlign val="superscript"/>
        <sz val="6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</si>
  <si>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4m</t>
    </r>
    <r>
      <rPr>
        <sz val="11"/>
        <color theme="1"/>
        <rFont val="宋体"/>
        <charset val="134"/>
      </rPr>
      <t>，右侧沉砂井滤水篦子缺失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</si>
  <si>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，边角破损，面积为</t>
    </r>
    <r>
      <rPr>
        <sz val="10.5"/>
        <color theme="1"/>
        <rFont val="Times New Roman"/>
        <charset val="134"/>
      </rPr>
      <t>0.06m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</si>
  <si>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 xml:space="preserve"> 0.15m</t>
    </r>
    <r>
      <rPr>
        <vertAlign val="superscript"/>
        <sz val="6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</si>
  <si>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  <r>
      <rPr>
        <sz val="10.5"/>
        <color theme="1"/>
        <rFont val="宋体"/>
        <charset val="134"/>
      </rPr>
      <t>，已修补</t>
    </r>
  </si>
  <si>
    <r>
      <rPr>
        <sz val="10.5"/>
        <rFont val="宋体"/>
        <charset val="134"/>
      </rPr>
      <t>衬砌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</si>
  <si>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，露筋，长度为</t>
    </r>
    <r>
      <rPr>
        <sz val="10.5"/>
        <color theme="1"/>
        <rFont val="Times New Roman"/>
        <charset val="134"/>
      </rPr>
      <t xml:space="preserve"> 1.5m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</si>
  <si>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2.00mm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</si>
  <si>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，混凝土破损，面积为</t>
    </r>
    <r>
      <rPr>
        <sz val="10.5"/>
        <color theme="1"/>
        <rFont val="Times New Roman"/>
        <charset val="134"/>
      </rPr>
      <t>0.2×0.3m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</si>
  <si>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  <r>
      <rPr>
        <sz val="10.5"/>
        <color theme="1"/>
        <rFont val="宋体"/>
        <charset val="134"/>
      </rPr>
      <t>，封缝料起层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</si>
  <si>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1.6m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</si>
  <si>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0.3m</t>
    </r>
    <r>
      <rPr>
        <vertAlign val="superscript"/>
        <sz val="10.5"/>
        <color theme="1"/>
        <rFont val="Times New Roman"/>
        <charset val="134"/>
      </rPr>
      <t>2</t>
    </r>
  </si>
  <si>
    <t>山体滑坡</t>
  </si>
  <si>
    <r>
      <rPr>
        <sz val="10.5"/>
        <color indexed="8"/>
        <rFont val="宋体"/>
        <charset val="134"/>
      </rPr>
      <t>入洞口上方右侧边坡滑坡初步迹象，植被裸露，面积为</t>
    </r>
    <r>
      <rPr>
        <sz val="10.5"/>
        <color indexed="8"/>
        <rFont val="Times New Roman"/>
        <charset val="134"/>
      </rPr>
      <t>20m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</si>
  <si>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入洞口洞门上方结构开裂，长度为</t>
    </r>
    <r>
      <rPr>
        <sz val="10.5"/>
        <color indexed="8"/>
        <rFont val="Times New Roman"/>
        <charset val="134"/>
      </rPr>
      <t>3m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5mm</t>
    </r>
  </si>
  <si>
    <r>
      <rPr>
        <sz val="10.5"/>
        <color indexed="8"/>
        <rFont val="宋体"/>
        <charset val="134"/>
      </rPr>
      <t>入口洞门右侧存在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处露筋，长度为</t>
    </r>
    <r>
      <rPr>
        <sz val="10.5"/>
        <color indexed="8"/>
        <rFont val="Times New Roman"/>
        <charset val="134"/>
      </rPr>
      <t>1m</t>
    </r>
  </si>
  <si>
    <r>
      <rPr>
        <sz val="10.5"/>
        <color indexed="8"/>
        <rFont val="宋体"/>
        <charset val="134"/>
      </rPr>
      <t>入洞门左侧，渗水印迹，面积为</t>
    </r>
    <r>
      <rPr>
        <sz val="10.5"/>
        <color indexed="8"/>
        <rFont val="Times New Roman"/>
        <charset val="134"/>
      </rPr>
      <t>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</si>
  <si>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0m</t>
    </r>
    <r>
      <rPr>
        <sz val="11"/>
        <color indexed="8"/>
        <rFont val="宋体"/>
        <charset val="134"/>
      </rPr>
      <t>，路面剥落露骨，深度为</t>
    </r>
    <r>
      <rPr>
        <sz val="11"/>
        <color indexed="8"/>
        <rFont val="Times New Roman"/>
        <charset val="134"/>
      </rPr>
      <t>50mm</t>
    </r>
    <r>
      <rPr>
        <sz val="11"/>
        <color indexed="8"/>
        <rFont val="宋体"/>
        <charset val="134"/>
      </rPr>
      <t>，面积为</t>
    </r>
    <r>
      <rPr>
        <sz val="11"/>
        <color indexed="8"/>
        <rFont val="Times New Roman"/>
        <charset val="134"/>
      </rPr>
      <t>2.0m</t>
    </r>
    <r>
      <rPr>
        <vertAlign val="superscript"/>
        <sz val="11"/>
        <color indexed="8"/>
        <rFont val="Times New Roman"/>
        <charset val="134"/>
      </rPr>
      <t>2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</si>
  <si>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0m</t>
    </r>
    <r>
      <rPr>
        <sz val="11"/>
        <color indexed="8"/>
        <rFont val="宋体"/>
        <charset val="134"/>
      </rPr>
      <t>，超车道路面</t>
    </r>
    <r>
      <rPr>
        <sz val="11"/>
        <color indexed="8"/>
        <rFont val="Times New Roman"/>
        <charset val="134"/>
      </rPr>
      <t>1</t>
    </r>
    <r>
      <rPr>
        <sz val="11"/>
        <color indexed="8"/>
        <rFont val="宋体"/>
        <charset val="134"/>
      </rPr>
      <t>处坑槽，深度为</t>
    </r>
    <r>
      <rPr>
        <sz val="11"/>
        <color indexed="8"/>
        <rFont val="Times New Roman"/>
        <charset val="134"/>
      </rPr>
      <t>10mm</t>
    </r>
    <r>
      <rPr>
        <sz val="11"/>
        <color indexed="8"/>
        <rFont val="宋体"/>
        <charset val="134"/>
      </rPr>
      <t>，面积为</t>
    </r>
    <r>
      <rPr>
        <sz val="11"/>
        <color indexed="8"/>
        <rFont val="Times New Roman"/>
        <charset val="134"/>
      </rPr>
      <t>1.0m</t>
    </r>
    <r>
      <rPr>
        <vertAlign val="superscript"/>
        <sz val="11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</si>
  <si>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左</t>
    </r>
    <r>
      <rPr>
        <sz val="10.5"/>
        <color indexed="10"/>
        <rFont val="宋体"/>
        <charset val="134"/>
      </rPr>
      <t>右</t>
    </r>
    <r>
      <rPr>
        <sz val="10.5"/>
        <color indexed="8"/>
        <rFont val="宋体"/>
        <charset val="134"/>
      </rPr>
      <t>拱腰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</si>
  <si>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，左、右两侧拱腰渗水印迹，面积为</t>
    </r>
    <r>
      <rPr>
        <sz val="10.5"/>
        <color indexed="10"/>
        <rFont val="Times New Roman"/>
        <charset val="134"/>
      </rPr>
      <t>6m</t>
    </r>
    <r>
      <rPr>
        <vertAlign val="superscript"/>
        <sz val="10.5"/>
        <color indexed="10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</si>
  <si>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，渗水印迹，面积为</t>
    </r>
    <r>
      <rPr>
        <sz val="10.5"/>
        <color indexed="8"/>
        <rFont val="Times New Roman"/>
        <charset val="134"/>
      </rPr>
      <t>0.03m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</si>
  <si>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4m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7m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1.00mm</t>
    </r>
    <r>
      <rPr>
        <sz val="10.5"/>
        <color indexed="8"/>
        <rFont val="宋体"/>
        <charset val="134"/>
      </rPr>
      <t>，已修补</t>
    </r>
  </si>
  <si>
    <t>距板端5m，路面横向裂缝，长度为7.5m，宽度为2mm</t>
  </si>
  <si>
    <t>距板端3m，环向裂缝，长度为5m，宽度为0.35mm，修补不良</t>
  </si>
  <si>
    <r>
      <rPr>
        <sz val="10.5"/>
        <color indexed="10"/>
        <rFont val="宋体"/>
        <charset val="134"/>
      </rPr>
      <t>斜</t>
    </r>
    <r>
      <rPr>
        <sz val="10.5"/>
        <color indexed="8"/>
        <rFont val="宋体"/>
        <charset val="134"/>
      </rPr>
      <t>向裂缝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</si>
  <si>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6m</t>
    </r>
    <r>
      <rPr>
        <sz val="10.5"/>
        <color indexed="8"/>
        <rFont val="宋体"/>
        <charset val="134"/>
      </rPr>
      <t>，斜向裂缝，长度为</t>
    </r>
    <r>
      <rPr>
        <sz val="10.5"/>
        <color indexed="8"/>
        <rFont val="Times New Roman"/>
        <charset val="134"/>
      </rPr>
      <t>2.5m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0.40mm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</si>
  <si>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4m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3m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0.30mm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</si>
  <si>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6.5m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0.50mm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</si>
  <si>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0.1×0.3m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</si>
  <si>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，左拱腰渗水印迹，面积为</t>
    </r>
    <r>
      <rPr>
        <sz val="10.5"/>
        <color indexed="8"/>
        <rFont val="Times New Roman"/>
        <charset val="134"/>
      </rPr>
      <t>1×1m</t>
    </r>
    <r>
      <rPr>
        <vertAlign val="superscript"/>
        <sz val="10.5"/>
        <color indexed="8"/>
        <rFont val="Times New Roman"/>
        <charset val="134"/>
      </rPr>
      <t>2</t>
    </r>
  </si>
  <si>
    <t>距板端6.5m，路面横向裂缝，长度为7.5m，宽度为2mm</t>
  </si>
  <si>
    <t>距板端1m，行车道路面横向裂缝，长度为3.75m，宽度为1mm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</si>
  <si>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，左侧检修道盖板陷落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</si>
  <si>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10"/>
        <rFont val="Times New Roman"/>
        <charset val="134"/>
      </rPr>
      <t>8m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0.20mm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</si>
  <si>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3m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4m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0.20mm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</si>
  <si>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1.00mm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</si>
  <si>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6m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4m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0.20mm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</si>
  <si>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5m</t>
    </r>
    <r>
      <rPr>
        <sz val="10.5"/>
        <color indexed="8"/>
        <rFont val="宋体"/>
        <charset val="134"/>
      </rPr>
      <t>，左侧检修道盖板缺角</t>
    </r>
    <r>
      <rPr>
        <sz val="10.5"/>
        <color indexed="8"/>
        <rFont val="Times New Roman"/>
        <charset val="134"/>
      </rPr>
      <t>2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</si>
  <si>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1.5m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8.2m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0.80mm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</si>
  <si>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，左侧检修道盖板缺角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</si>
  <si>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6m</t>
    </r>
    <r>
      <rPr>
        <sz val="10.5"/>
        <color indexed="8"/>
        <rFont val="宋体"/>
        <charset val="134"/>
      </rPr>
      <t>，左侧检修道盖板缺角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</si>
  <si>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</si>
  <si>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4m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</si>
  <si>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8.2m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</si>
  <si>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10"/>
        <rFont val="宋体"/>
        <charset val="134"/>
      </rPr>
      <t>纵</t>
    </r>
    <r>
      <rPr>
        <sz val="10.5"/>
        <color indexed="8"/>
        <rFont val="宋体"/>
        <charset val="134"/>
      </rPr>
      <t>向裂缝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</si>
  <si>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</t>
    </r>
    <r>
      <rPr>
        <sz val="10.5"/>
        <color indexed="10"/>
        <rFont val="宋体"/>
        <charset val="134"/>
      </rPr>
      <t>纵</t>
    </r>
    <r>
      <rPr>
        <sz val="10.5"/>
        <color indexed="8"/>
        <rFont val="宋体"/>
        <charset val="134"/>
      </rPr>
      <t>向裂缝，长度为</t>
    </r>
    <r>
      <rPr>
        <sz val="10.5"/>
        <color indexed="8"/>
        <rFont val="Times New Roman"/>
        <charset val="134"/>
      </rPr>
      <t>8.1m</t>
    </r>
    <r>
      <rPr>
        <sz val="10.5"/>
        <color indexed="8"/>
        <rFont val="宋体"/>
        <charset val="134"/>
      </rPr>
      <t>，已修补</t>
    </r>
  </si>
  <si>
    <t>距板端3m，路面横向裂缝，长度为7.5m，宽度为3mm</t>
  </si>
  <si>
    <t>距板端1.5m，右侧沉砂井滤水篦子缺失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</si>
  <si>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1.7m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8.0m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0.80mm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</si>
  <si>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</t>
    </r>
    <r>
      <rPr>
        <sz val="10.5"/>
        <color indexed="10"/>
        <rFont val="Times New Roman"/>
        <charset val="134"/>
      </rPr>
      <t>Y</t>
    </r>
    <r>
      <rPr>
        <sz val="10.5"/>
        <color indexed="10"/>
        <rFont val="宋体"/>
        <charset val="134"/>
      </rPr>
      <t>型</t>
    </r>
    <r>
      <rPr>
        <sz val="10.5"/>
        <color indexed="8"/>
        <rFont val="宋体"/>
        <charset val="134"/>
      </rPr>
      <t>裂缝，长度为</t>
    </r>
    <r>
      <rPr>
        <sz val="10.5"/>
        <color indexed="8"/>
        <rFont val="Times New Roman"/>
        <charset val="134"/>
      </rPr>
      <t>8.1m</t>
    </r>
    <r>
      <rPr>
        <sz val="10.5"/>
        <color indexed="8"/>
        <rFont val="宋体"/>
        <charset val="134"/>
      </rPr>
      <t>，封缝料起皮。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</si>
  <si>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0.02m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</si>
  <si>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</si>
  <si>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8.1m</t>
    </r>
    <r>
      <rPr>
        <sz val="10.5"/>
        <color indexed="8"/>
        <rFont val="宋体"/>
        <charset val="134"/>
      </rPr>
      <t>，封缝料起皮</t>
    </r>
  </si>
  <si>
    <t>距板端0m，行车道纵向裂缝，长度为7m，宽度为2mm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</si>
  <si>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，涂层脱落，面积</t>
    </r>
    <r>
      <rPr>
        <sz val="10.5"/>
        <color indexed="8"/>
        <rFont val="Times New Roman"/>
        <charset val="134"/>
      </rPr>
      <t>0.05×3m</t>
    </r>
    <r>
      <rPr>
        <vertAlign val="superscript"/>
        <sz val="10.5"/>
        <color indexed="8"/>
        <rFont val="Times New Roman"/>
        <charset val="134"/>
      </rPr>
      <t>2</t>
    </r>
  </si>
  <si>
    <t>距板端7m，右侧沉砂井滤水篦子缺失</t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</si>
  <si>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2.5m</t>
    </r>
    <r>
      <rPr>
        <sz val="11"/>
        <color indexed="8"/>
        <rFont val="宋体"/>
        <charset val="134"/>
      </rPr>
      <t>，行车道路面凹陷，面积为</t>
    </r>
    <r>
      <rPr>
        <sz val="11"/>
        <color indexed="8"/>
        <rFont val="Times New Roman"/>
        <charset val="134"/>
      </rPr>
      <t>1.5×0.5m</t>
    </r>
    <r>
      <rPr>
        <vertAlign val="superscript"/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，深度为</t>
    </r>
    <r>
      <rPr>
        <sz val="11"/>
        <color indexed="8"/>
        <rFont val="Times New Roman"/>
        <charset val="134"/>
      </rPr>
      <t>15mm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</si>
  <si>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，涂层脱落，面积</t>
    </r>
    <r>
      <rPr>
        <sz val="10.5"/>
        <color indexed="8"/>
        <rFont val="Times New Roman"/>
        <charset val="134"/>
      </rPr>
      <t>0.1×3m</t>
    </r>
    <r>
      <rPr>
        <vertAlign val="superscript"/>
        <sz val="10.5"/>
        <color indexed="8"/>
        <rFont val="Times New Roman"/>
        <charset val="134"/>
      </rPr>
      <t>2</t>
    </r>
  </si>
  <si>
    <t>距板端7m，横向裂缝，长度为7.5m，宽度为4mm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</si>
  <si>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，左拱腰涂层脱落，面积为</t>
    </r>
    <r>
      <rPr>
        <sz val="10.5"/>
        <color indexed="8"/>
        <rFont val="Times New Roman"/>
        <charset val="134"/>
      </rPr>
      <t>1.5×0.1m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</si>
  <si>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8.1m</t>
    </r>
    <r>
      <rPr>
        <sz val="10.5"/>
        <color indexed="8"/>
        <rFont val="宋体"/>
        <charset val="134"/>
      </rPr>
      <t>，封缝料起皮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</si>
  <si>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8.1m</t>
    </r>
    <r>
      <rPr>
        <sz val="10.5"/>
        <color indexed="8"/>
        <rFont val="宋体"/>
        <charset val="134"/>
      </rPr>
      <t>，封缝料起皮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</si>
  <si>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0.05×1.2m</t>
    </r>
    <r>
      <rPr>
        <vertAlign val="superscript"/>
        <sz val="10.5"/>
        <color indexed="8"/>
        <rFont val="Times New Roman"/>
        <charset val="134"/>
      </rPr>
      <t>2</t>
    </r>
  </si>
  <si>
    <t>距板端5.5m，超车道路面横向裂缝，长度为3.75m，宽度为3mm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</si>
  <si>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0.1×2m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</si>
  <si>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5.5m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1.5×1.5m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</si>
  <si>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>0.6m</t>
    </r>
    <r>
      <rPr>
        <vertAlign val="superscript"/>
        <sz val="10.5"/>
        <color indexed="8"/>
        <rFont val="Times New Roman"/>
        <charset val="134"/>
      </rPr>
      <t>2</t>
    </r>
  </si>
  <si>
    <t>26-29号板，距板端0m，路面中间纵向裂缝，长度为24m，宽度为10mm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</si>
  <si>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5m</t>
    </r>
    <r>
      <rPr>
        <sz val="10.5"/>
        <color indexed="8"/>
        <rFont val="宋体"/>
        <charset val="134"/>
      </rPr>
      <t>，左侧检修道盖板缺角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</si>
  <si>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，斜向裂缝，长度为</t>
    </r>
    <r>
      <rPr>
        <sz val="10.5"/>
        <color indexed="8"/>
        <rFont val="Times New Roman"/>
        <charset val="134"/>
      </rPr>
      <t>8.2m</t>
    </r>
    <r>
      <rPr>
        <sz val="10.5"/>
        <color indexed="8"/>
        <rFont val="宋体"/>
        <charset val="134"/>
      </rPr>
      <t>，封缝料起皮</t>
    </r>
  </si>
  <si>
    <t>距板端4.5m，路面横向裂缝，长度为7.5m，宽度为3mm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</si>
  <si>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，左侧检修道盖板缺角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</si>
  <si>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t>拱顶左拱腰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</si>
  <si>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1.5×0.1m</t>
    </r>
    <r>
      <rPr>
        <vertAlign val="superscript"/>
        <sz val="10.5"/>
        <color indexed="8"/>
        <rFont val="Times New Roman"/>
        <charset val="134"/>
      </rPr>
      <t>2</t>
    </r>
  </si>
  <si>
    <t>距板端8m，右侧沉砂井滤水篦子缺失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</si>
  <si>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0.1×0.2m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</si>
  <si>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4m</t>
    </r>
    <r>
      <rPr>
        <sz val="10.5"/>
        <color indexed="8"/>
        <rFont val="宋体"/>
        <charset val="134"/>
      </rPr>
      <t>，左侧检修道盖板缺角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</si>
  <si>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3.5m</t>
    </r>
    <r>
      <rPr>
        <sz val="10.5"/>
        <color indexed="8"/>
        <rFont val="宋体"/>
        <charset val="134"/>
      </rPr>
      <t>，右侧检修道盖板陷落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</si>
  <si>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t>距板端2m，超车道路面横向裂缝，长度为3.75m，宽度为2mm</t>
  </si>
  <si>
    <t>右拱腰、拱顶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</si>
  <si>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5.0m</t>
    </r>
    <r>
      <rPr>
        <sz val="10.5"/>
        <color indexed="8"/>
        <rFont val="宋体"/>
        <charset val="134"/>
      </rPr>
      <t>，右侧检修道盖板陷落</t>
    </r>
    <r>
      <rPr>
        <sz val="10.5"/>
        <color indexed="8"/>
        <rFont val="Times New Roman"/>
        <charset val="134"/>
      </rPr>
      <t>2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</si>
  <si>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7m</t>
    </r>
    <r>
      <rPr>
        <sz val="10.5"/>
        <color indexed="8"/>
        <rFont val="宋体"/>
        <charset val="134"/>
      </rPr>
      <t>，左侧检修道盖板缺角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</si>
  <si>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，左右拱腰涂层脱落，面积为</t>
    </r>
    <r>
      <rPr>
        <sz val="10.5"/>
        <color indexed="8"/>
        <rFont val="Times New Roman"/>
        <charset val="134"/>
      </rPr>
      <t>0.05×1m</t>
    </r>
    <r>
      <rPr>
        <vertAlign val="superscript"/>
        <sz val="10.5"/>
        <color indexed="8"/>
        <rFont val="Times New Roman"/>
        <charset val="134"/>
      </rPr>
      <t>2</t>
    </r>
  </si>
  <si>
    <t>距板端8m，超车道路面横向裂缝，长度为3.75m，宽度为2mm</t>
  </si>
  <si>
    <t>距板端5m，超车道路面横向裂缝，长度为3.75m，宽度为3mm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</si>
  <si>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，斜向裂缝，长度为</t>
    </r>
    <r>
      <rPr>
        <sz val="10.5"/>
        <color indexed="8"/>
        <rFont val="Times New Roman"/>
        <charset val="134"/>
      </rPr>
      <t>8.1m</t>
    </r>
    <r>
      <rPr>
        <sz val="10.5"/>
        <color indexed="8"/>
        <rFont val="宋体"/>
        <charset val="134"/>
      </rPr>
      <t>，封缝料起皮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</si>
  <si>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1.5m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6m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0.80mm</t>
    </r>
    <r>
      <rPr>
        <sz val="10.5"/>
        <color indexed="8"/>
        <rFont val="宋体"/>
        <charset val="134"/>
      </rPr>
      <t>，已修补</t>
    </r>
  </si>
  <si>
    <t>拱顶左拱腰右拱腰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</si>
  <si>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0.1×8m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</si>
  <si>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1"/>
        <color indexed="10"/>
        <rFont val="等线"/>
        <charset val="134"/>
      </rPr>
      <t>距板端</t>
    </r>
    <r>
      <rPr>
        <sz val="11"/>
        <color indexed="10"/>
        <rFont val="Times New Roman"/>
        <charset val="134"/>
      </rPr>
      <t>7m</t>
    </r>
    <r>
      <rPr>
        <sz val="11"/>
        <color indexed="10"/>
        <rFont val="等线"/>
        <charset val="134"/>
      </rPr>
      <t>，右拱腰涂层脱落，面积</t>
    </r>
    <r>
      <rPr>
        <sz val="11"/>
        <color indexed="10"/>
        <rFont val="Times New Roman"/>
        <charset val="134"/>
      </rPr>
      <t>1m</t>
    </r>
    <r>
      <rPr>
        <vertAlign val="superscript"/>
        <sz val="11"/>
        <color indexed="10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</si>
  <si>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1.2m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8.2m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1.00mm</t>
    </r>
    <r>
      <rPr>
        <sz val="10.5"/>
        <color indexed="8"/>
        <rFont val="宋体"/>
        <charset val="134"/>
      </rPr>
      <t>，已修补</t>
    </r>
  </si>
  <si>
    <t>距板端1m，行车道路面横向裂缝，长度为3.75m，宽度为2mm</t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</si>
  <si>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0m</t>
    </r>
    <r>
      <rPr>
        <sz val="11"/>
        <color indexed="8"/>
        <rFont val="宋体"/>
        <charset val="134"/>
      </rPr>
      <t>，右侧沉砂井滤水篦子缺失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</si>
  <si>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，涂层脱落，面积</t>
    </r>
    <r>
      <rPr>
        <sz val="10.5"/>
        <color indexed="8"/>
        <rFont val="Times New Roman"/>
        <charset val="134"/>
      </rPr>
      <t>0.1×1.5m</t>
    </r>
    <r>
      <rPr>
        <vertAlign val="superscript"/>
        <sz val="10.5"/>
        <color indexed="8"/>
        <rFont val="Times New Roman"/>
        <charset val="134"/>
      </rPr>
      <t>2</t>
    </r>
  </si>
  <si>
    <t>距板端5m，行车道路面横向裂缝，长度为3.75m，宽度为2mm</t>
  </si>
  <si>
    <t>左拱顶</t>
  </si>
  <si>
    <r>
      <rPr>
        <sz val="11"/>
        <color indexed="10"/>
        <rFont val="等线"/>
        <charset val="134"/>
      </rPr>
      <t>距板端</t>
    </r>
    <r>
      <rPr>
        <sz val="11"/>
        <color indexed="10"/>
        <rFont val="Times New Roman"/>
        <charset val="134"/>
      </rPr>
      <t>0m</t>
    </r>
    <r>
      <rPr>
        <sz val="11"/>
        <color indexed="10"/>
        <rFont val="等线"/>
        <charset val="134"/>
      </rPr>
      <t>，左拱腰涂层脱落，长度</t>
    </r>
    <r>
      <rPr>
        <sz val="11"/>
        <color indexed="10"/>
        <rFont val="Times New Roman"/>
        <charset val="134"/>
      </rPr>
      <t>4m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</si>
  <si>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，斜向裂缝，长度为</t>
    </r>
    <r>
      <rPr>
        <sz val="10.5"/>
        <color indexed="8"/>
        <rFont val="Times New Roman"/>
        <charset val="134"/>
      </rPr>
      <t>8m</t>
    </r>
    <r>
      <rPr>
        <sz val="10.5"/>
        <color indexed="8"/>
        <rFont val="宋体"/>
        <charset val="134"/>
      </rPr>
      <t>，封缝料起皮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</si>
  <si>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，涂层脱落，面积</t>
    </r>
    <r>
      <rPr>
        <sz val="10.5"/>
        <color indexed="8"/>
        <rFont val="Times New Roman"/>
        <charset val="134"/>
      </rPr>
      <t>1×0.1m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</si>
  <si>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3m</t>
    </r>
    <r>
      <rPr>
        <sz val="10.5"/>
        <color indexed="8"/>
        <rFont val="宋体"/>
        <charset val="134"/>
      </rPr>
      <t>，左侧检修道盖板缺角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</si>
  <si>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t>距板端6m，右侧沉砂井滤水篦子缺失</t>
  </si>
  <si>
    <t>距板端2m，行车道路面横向裂缝，长度为3.75m，宽度为1mm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</si>
  <si>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0.1×1m</t>
    </r>
    <r>
      <rPr>
        <vertAlign val="superscript"/>
        <sz val="10.5"/>
        <color indexed="8"/>
        <rFont val="Times New Roman"/>
        <charset val="134"/>
      </rPr>
      <t>2</t>
    </r>
  </si>
  <si>
    <t>距板端2.5m，行车道路面横向裂缝，长度为3.75m，宽度为2mm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</si>
  <si>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6m</t>
    </r>
    <r>
      <rPr>
        <sz val="10.5"/>
        <color indexed="8"/>
        <rFont val="宋体"/>
        <charset val="134"/>
      </rPr>
      <t>，渗水印迹，面积为</t>
    </r>
    <r>
      <rPr>
        <sz val="10.5"/>
        <color indexed="8"/>
        <rFont val="Times New Roman"/>
        <charset val="134"/>
      </rPr>
      <t>1m</t>
    </r>
    <r>
      <rPr>
        <vertAlign val="superscript"/>
        <sz val="10.5"/>
        <color indexed="8"/>
        <rFont val="Times New Roman"/>
        <charset val="134"/>
      </rPr>
      <t>2</t>
    </r>
  </si>
  <si>
    <t>剥蚀</t>
  </si>
  <si>
    <t>55-56号板，距板端0m，右侧排水边沟混凝土剥蚀，长度为10m</t>
  </si>
  <si>
    <r>
      <rPr>
        <sz val="10.5"/>
        <color indexed="10"/>
        <rFont val="宋体"/>
        <charset val="134"/>
      </rPr>
      <t>右</t>
    </r>
    <r>
      <rPr>
        <sz val="10.5"/>
        <color indexed="8"/>
        <rFont val="宋体"/>
        <charset val="134"/>
      </rPr>
      <t>拱腰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</si>
  <si>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，右拱腰渗水印迹，面积为</t>
    </r>
    <r>
      <rPr>
        <sz val="10.5"/>
        <color indexed="8"/>
        <rFont val="Times New Roman"/>
        <charset val="134"/>
      </rPr>
      <t>2×0.4m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</si>
  <si>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theme="1"/>
        <rFont val="宋体"/>
        <charset val="134"/>
      </rPr>
      <t>滑坡迹象</t>
    </r>
  </si>
  <si>
    <r>
      <rPr>
        <sz val="10.5"/>
        <color theme="1"/>
        <rFont val="宋体"/>
        <charset val="134"/>
      </rPr>
      <t>入洞口右侧山体存在土石外露，面积为</t>
    </r>
    <r>
      <rPr>
        <sz val="10.5"/>
        <color theme="1"/>
        <rFont val="Times New Roman"/>
        <charset val="134"/>
      </rPr>
      <t>5×5m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</si>
  <si>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出口洞门墙右侧渗水印迹，面积约</t>
    </r>
    <r>
      <rPr>
        <sz val="10.5"/>
        <color theme="1"/>
        <rFont val="Times New Roman"/>
        <charset val="134"/>
      </rPr>
      <t>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</si>
  <si>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2.1m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</si>
  <si>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，左侧排水边沟杂物淤积堵塞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</si>
  <si>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4m</t>
    </r>
    <r>
      <rPr>
        <sz val="10.5"/>
        <color theme="1"/>
        <rFont val="宋体"/>
        <charset val="134"/>
      </rPr>
      <t>，右拱腰涂层脱落，面积为</t>
    </r>
    <r>
      <rPr>
        <sz val="10.5"/>
        <color theme="1"/>
        <rFont val="Times New Roman"/>
        <charset val="134"/>
      </rPr>
      <t xml:space="preserve"> 0.5m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</si>
  <si>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，右拱腰涂层脱落，面积为</t>
    </r>
    <r>
      <rPr>
        <sz val="10.5"/>
        <color theme="1"/>
        <rFont val="Times New Roman"/>
        <charset val="134"/>
      </rPr>
      <t xml:space="preserve"> 0.1×1.5m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</si>
  <si>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7.8m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</si>
  <si>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，拱顶涂层脱落，面积为</t>
    </r>
    <r>
      <rPr>
        <sz val="10.5"/>
        <color theme="1"/>
        <rFont val="Times New Roman"/>
        <charset val="134"/>
      </rPr>
      <t>0.05×0.6m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</si>
  <si>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7.8m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</si>
  <si>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，左拱腰涂层脱落，面积</t>
    </r>
    <r>
      <rPr>
        <sz val="10.5"/>
        <color theme="1"/>
        <rFont val="Times New Roman"/>
        <charset val="134"/>
      </rPr>
      <t xml:space="preserve"> 0.1×2m</t>
    </r>
    <r>
      <rPr>
        <vertAlign val="superscript"/>
        <sz val="10.5"/>
        <color theme="1"/>
        <rFont val="Times New Roman"/>
        <charset val="134"/>
      </rPr>
      <t>2</t>
    </r>
  </si>
  <si>
    <t>距板端5m，左侧检修道盖板缺角1块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</si>
  <si>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4.5m</t>
    </r>
    <r>
      <rPr>
        <sz val="10.5"/>
        <color theme="1"/>
        <rFont val="宋体"/>
        <charset val="134"/>
      </rPr>
      <t>，右侧检修道盖板破损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</si>
  <si>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t>距板端2m，左侧检修道盖板缺角1块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</si>
  <si>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2.0m</t>
    </r>
    <r>
      <rPr>
        <sz val="10.5"/>
        <color theme="1"/>
        <rFont val="宋体"/>
        <charset val="134"/>
      </rPr>
      <t>，右侧检修道盖板破损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</si>
  <si>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3.5m</t>
    </r>
    <r>
      <rPr>
        <sz val="10.5"/>
        <color theme="1"/>
        <rFont val="宋体"/>
        <charset val="134"/>
      </rPr>
      <t>，右侧检修道盖板陷落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</si>
  <si>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5.0m</t>
    </r>
    <r>
      <rPr>
        <sz val="10.5"/>
        <color theme="1"/>
        <rFont val="宋体"/>
        <charset val="134"/>
      </rPr>
      <t>，右侧检修道盖板陷落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</si>
  <si>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0.5m</t>
    </r>
    <r>
      <rPr>
        <sz val="11"/>
        <color theme="1"/>
        <rFont val="宋体"/>
        <charset val="134"/>
      </rPr>
      <t>，左侧沉砂井滤水篦子缺失</t>
    </r>
  </si>
  <si>
    <t>距板端3m，左侧检修道盖板缺角1块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</si>
  <si>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 xml:space="preserve"> 7.8m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</si>
  <si>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6.5m</t>
    </r>
    <r>
      <rPr>
        <sz val="10.5"/>
        <color theme="1"/>
        <rFont val="宋体"/>
        <charset val="134"/>
      </rPr>
      <t>，右侧检修道盖板破损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</si>
  <si>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7.7m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</si>
  <si>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，左拱腰涂层脱落，面积</t>
    </r>
    <r>
      <rPr>
        <sz val="10.5"/>
        <color theme="1"/>
        <rFont val="Times New Roman"/>
        <charset val="134"/>
      </rPr>
      <t xml:space="preserve"> 0.1×0.3m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</si>
  <si>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8m</t>
    </r>
    <r>
      <rPr>
        <vertAlign val="superscript"/>
        <sz val="10.5"/>
        <color theme="1"/>
        <rFont val="Times New Roman"/>
        <charset val="134"/>
      </rPr>
      <t>2</t>
    </r>
  </si>
  <si>
    <t>失效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</si>
  <si>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7m</t>
    </r>
    <r>
      <rPr>
        <sz val="11"/>
        <color theme="1"/>
        <rFont val="宋体"/>
        <charset val="134"/>
      </rPr>
      <t>，左侧沉砂井滤水篦子失效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</si>
  <si>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，右拱腰涂层脱落，面积为</t>
    </r>
    <r>
      <rPr>
        <sz val="10.5"/>
        <color theme="1"/>
        <rFont val="Times New Roman"/>
        <charset val="134"/>
      </rPr>
      <t xml:space="preserve"> 1×0.1m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</si>
  <si>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0.2m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</si>
  <si>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，右侧检修道盖板陷落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</si>
  <si>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</si>
  <si>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030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19.6m</t>
    </r>
    <r>
      <rPr>
        <sz val="10.5"/>
        <color theme="1"/>
        <rFont val="宋体"/>
        <charset val="134"/>
      </rPr>
      <t>，封缝料起皮</t>
    </r>
  </si>
  <si>
    <t>距板端1m，左侧检修道盖板缺角1块</t>
  </si>
  <si>
    <t>距板端4m，左侧检修道盖板缺角1块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</si>
  <si>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，左侧沉砂井滤水篦子缺失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</si>
  <si>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，左拱腰、拱顶涂层脱落，面积</t>
    </r>
    <r>
      <rPr>
        <sz val="10.5"/>
        <color theme="1"/>
        <rFont val="Times New Roman"/>
        <charset val="134"/>
      </rPr>
      <t xml:space="preserve"> 0.1×2m</t>
    </r>
    <r>
      <rPr>
        <vertAlign val="superscript"/>
        <sz val="10.5"/>
        <color theme="1"/>
        <rFont val="Times New Roman"/>
        <charset val="134"/>
      </rPr>
      <t>2</t>
    </r>
  </si>
  <si>
    <t>距板端5m，左侧检修道盖板缺角3块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</si>
  <si>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0.90mm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</si>
  <si>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，右拱腰涂层脱落，面积为</t>
    </r>
    <r>
      <rPr>
        <sz val="10.5"/>
        <color theme="1"/>
        <rFont val="Times New Roman"/>
        <charset val="134"/>
      </rPr>
      <t xml:space="preserve"> 0.05×2m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</si>
  <si>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7.7m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</si>
  <si>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044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19.6m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</si>
  <si>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，拱顶涂层脱落，面积为</t>
    </r>
    <r>
      <rPr>
        <sz val="10.5"/>
        <color theme="1"/>
        <rFont val="Times New Roman"/>
        <charset val="134"/>
      </rPr>
      <t>0.1×1m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</si>
  <si>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，右拱腰涂层脱落，面积为</t>
    </r>
    <r>
      <rPr>
        <sz val="10.5"/>
        <color theme="1"/>
        <rFont val="Times New Roman"/>
        <charset val="134"/>
      </rPr>
      <t xml:space="preserve"> 0.3×0.5m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</si>
  <si>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，右拱腰涂层脱落，面积为</t>
    </r>
    <r>
      <rPr>
        <sz val="10.5"/>
        <color theme="1"/>
        <rFont val="Times New Roman"/>
        <charset val="134"/>
      </rPr>
      <t xml:space="preserve"> 0.1m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</si>
  <si>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18m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</si>
  <si>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，右拱腰涂层脱落，面积为</t>
    </r>
    <r>
      <rPr>
        <sz val="10.5"/>
        <color theme="1"/>
        <rFont val="Times New Roman"/>
        <charset val="134"/>
      </rPr>
      <t xml:space="preserve"> 0.2m</t>
    </r>
    <r>
      <rPr>
        <vertAlign val="superscript"/>
        <sz val="10.5"/>
        <color theme="1"/>
        <rFont val="Times New Roman"/>
        <charset val="134"/>
      </rPr>
      <t>2</t>
    </r>
  </si>
  <si>
    <t>距板端3.5m，左侧检修道盖板缺角1块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</si>
  <si>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7m</t>
    </r>
    <r>
      <rPr>
        <sz val="10.5"/>
        <color theme="1"/>
        <rFont val="宋体"/>
        <charset val="134"/>
      </rPr>
      <t>，左拱腰渗水印迹，面积为4</t>
    </r>
    <r>
      <rPr>
        <sz val="10.5"/>
        <color theme="1"/>
        <rFont val="Times New Roman"/>
        <charset val="134"/>
      </rPr>
      <t>m</t>
    </r>
    <r>
      <rPr>
        <vertAlign val="superscript"/>
        <sz val="10.5"/>
        <color theme="1"/>
        <rFont val="Times New Roman"/>
        <charset val="134"/>
      </rPr>
      <t>2</t>
    </r>
  </si>
  <si>
    <t>51~55</t>
  </si>
  <si>
    <r>
      <rPr>
        <sz val="10.5"/>
        <color indexed="8"/>
        <rFont val="宋体"/>
        <charset val="134"/>
      </rPr>
      <t>入洞口左侧洞门开裂，长度为</t>
    </r>
    <r>
      <rPr>
        <sz val="10.5"/>
        <color indexed="8"/>
        <rFont val="Times New Roman"/>
        <charset val="134"/>
      </rPr>
      <t xml:space="preserve"> 1.5m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1mm</t>
    </r>
  </si>
  <si>
    <t>滑坡</t>
  </si>
  <si>
    <r>
      <rPr>
        <sz val="10.5"/>
        <color indexed="8"/>
        <rFont val="宋体"/>
        <charset val="134"/>
      </rPr>
      <t>入口测右侧山体滑坡初步迹象，面积为</t>
    </r>
    <r>
      <rPr>
        <sz val="10.5"/>
        <color indexed="8"/>
        <rFont val="Times New Roman"/>
        <charset val="134"/>
      </rPr>
      <t>100m</t>
    </r>
    <r>
      <rPr>
        <vertAlign val="superscript"/>
        <sz val="10.5"/>
        <color indexed="8"/>
        <rFont val="Times New Roman"/>
        <charset val="134"/>
      </rPr>
      <t>2</t>
    </r>
    <r>
      <rPr>
        <sz val="10.5"/>
        <color indexed="8"/>
        <rFont val="宋体"/>
        <charset val="134"/>
      </rPr>
      <t>，已防护</t>
    </r>
  </si>
  <si>
    <r>
      <rPr>
        <sz val="10.5"/>
        <color indexed="8"/>
        <rFont val="宋体"/>
        <charset val="134"/>
      </rPr>
      <t>出洞口左侧山体滑坡初步迹象，面积为</t>
    </r>
    <r>
      <rPr>
        <sz val="10.5"/>
        <color indexed="8"/>
        <rFont val="Times New Roman"/>
        <charset val="134"/>
      </rPr>
      <t>25m</t>
    </r>
    <r>
      <rPr>
        <vertAlign val="superscript"/>
        <sz val="10.5"/>
        <color indexed="8"/>
        <rFont val="Times New Roman"/>
        <charset val="134"/>
      </rPr>
      <t>2</t>
    </r>
    <r>
      <rPr>
        <sz val="10.5"/>
        <color indexed="8"/>
        <rFont val="宋体"/>
        <charset val="134"/>
      </rPr>
      <t>，修后破损</t>
    </r>
  </si>
  <si>
    <r>
      <rPr>
        <sz val="10.5"/>
        <color indexed="8"/>
        <rFont val="宋体"/>
        <charset val="134"/>
      </rPr>
      <t>出洞口两侧洞门受雨水侵蚀，面积约</t>
    </r>
    <r>
      <rPr>
        <sz val="10.5"/>
        <color indexed="8"/>
        <rFont val="Times New Roman"/>
        <charset val="134"/>
      </rPr>
      <t>9m</t>
    </r>
    <r>
      <rPr>
        <vertAlign val="superscript"/>
        <sz val="10.5"/>
        <color indexed="8"/>
        <rFont val="Times New Roman"/>
        <charset val="134"/>
      </rPr>
      <t>2</t>
    </r>
  </si>
  <si>
    <t>盖板移位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</si>
  <si>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，左侧检修道盖板移位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</si>
  <si>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>0.03m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</si>
  <si>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4m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10"/>
        <rFont val="Times New Roman"/>
        <charset val="134"/>
      </rPr>
      <t>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0.30mm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</si>
  <si>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3m</t>
    </r>
    <r>
      <rPr>
        <sz val="10.5"/>
        <color indexed="8"/>
        <rFont val="宋体"/>
        <charset val="134"/>
      </rPr>
      <t>，左侧边墙一条环向裂缝，长度为</t>
    </r>
    <r>
      <rPr>
        <sz val="10.5"/>
        <color indexed="8"/>
        <rFont val="Times New Roman"/>
        <charset val="134"/>
      </rPr>
      <t>2.5m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0.10mm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</si>
  <si>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8m</t>
    </r>
    <r>
      <rPr>
        <sz val="10.5"/>
        <color indexed="8"/>
        <rFont val="宋体"/>
        <charset val="134"/>
      </rPr>
      <t>，左侧边墙一条环向裂缝，长度为</t>
    </r>
    <r>
      <rPr>
        <sz val="10.5"/>
        <color indexed="8"/>
        <rFont val="Times New Roman"/>
        <charset val="134"/>
      </rPr>
      <t>2.5m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0.10mm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</si>
  <si>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 xml:space="preserve"> 0.1×1.5m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</si>
  <si>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4m</t>
    </r>
    <r>
      <rPr>
        <sz val="11"/>
        <color indexed="8"/>
        <rFont val="宋体"/>
        <charset val="134"/>
      </rPr>
      <t>，右侧排水边沟堵塞，长度为</t>
    </r>
    <r>
      <rPr>
        <sz val="11"/>
        <color indexed="8"/>
        <rFont val="Times New Roman"/>
        <charset val="134"/>
      </rPr>
      <t>1m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</si>
  <si>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3.5m</t>
    </r>
    <r>
      <rPr>
        <sz val="11"/>
        <color indexed="8"/>
        <rFont val="宋体"/>
        <charset val="134"/>
      </rPr>
      <t>，行车道路面横向裂缝，长度为</t>
    </r>
    <r>
      <rPr>
        <sz val="11"/>
        <color indexed="8"/>
        <rFont val="Times New Roman"/>
        <charset val="134"/>
      </rPr>
      <t>3.75m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2mm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</si>
  <si>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6m</t>
    </r>
    <r>
      <rPr>
        <sz val="11"/>
        <color indexed="8"/>
        <rFont val="宋体"/>
        <charset val="134"/>
      </rPr>
      <t>，行车道路面横向裂缝，长度为</t>
    </r>
    <r>
      <rPr>
        <sz val="11"/>
        <color indexed="8"/>
        <rFont val="Times New Roman"/>
        <charset val="134"/>
      </rPr>
      <t>3.75m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2mm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</si>
  <si>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1m</t>
    </r>
    <r>
      <rPr>
        <sz val="11"/>
        <color indexed="8"/>
        <rFont val="宋体"/>
        <charset val="134"/>
      </rPr>
      <t>，右侧排水边沟堵塞，长度为</t>
    </r>
    <r>
      <rPr>
        <sz val="11"/>
        <color indexed="8"/>
        <rFont val="Times New Roman"/>
        <charset val="134"/>
      </rPr>
      <t>2m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</si>
  <si>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2m</t>
    </r>
    <r>
      <rPr>
        <sz val="10.5"/>
        <color indexed="8"/>
        <rFont val="宋体"/>
        <charset val="134"/>
      </rPr>
      <t>，左侧检修道盖板缺角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处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</si>
  <si>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0m</t>
    </r>
    <r>
      <rPr>
        <sz val="11"/>
        <color indexed="8"/>
        <rFont val="宋体"/>
        <charset val="134"/>
      </rPr>
      <t>，超车道路面横向裂缝，长度为</t>
    </r>
    <r>
      <rPr>
        <sz val="11"/>
        <color indexed="8"/>
        <rFont val="Times New Roman"/>
        <charset val="134"/>
      </rPr>
      <t>3.75m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2mm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</si>
  <si>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5m</t>
    </r>
    <r>
      <rPr>
        <sz val="11"/>
        <color indexed="8"/>
        <rFont val="宋体"/>
        <charset val="134"/>
      </rPr>
      <t>，右侧沉砂井滤水篦子缺失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</si>
  <si>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，左侧检修道盖板缺角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</si>
  <si>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，左侧边墙一条环向裂缝，长度为</t>
    </r>
    <r>
      <rPr>
        <sz val="10.5"/>
        <color indexed="8"/>
        <rFont val="Times New Roman"/>
        <charset val="134"/>
      </rPr>
      <t>1.2m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0.10mm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</si>
  <si>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7m</t>
    </r>
    <r>
      <rPr>
        <sz val="10.5"/>
        <color indexed="8"/>
        <rFont val="宋体"/>
        <charset val="134"/>
      </rPr>
      <t>，左侧检修道盖板缺角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</si>
  <si>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 xml:space="preserve"> 0.05×2m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</si>
  <si>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1.8m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8.1m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0.80mm</t>
    </r>
    <r>
      <rPr>
        <sz val="10.5"/>
        <color indexed="8"/>
        <rFont val="宋体"/>
        <charset val="134"/>
      </rPr>
      <t>，已修补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</si>
  <si>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1.5m</t>
    </r>
    <r>
      <rPr>
        <sz val="11"/>
        <color indexed="8"/>
        <rFont val="宋体"/>
        <charset val="134"/>
      </rPr>
      <t>，行车道路面纵向裂缝，长度为</t>
    </r>
    <r>
      <rPr>
        <sz val="11"/>
        <color indexed="8"/>
        <rFont val="Times New Roman"/>
        <charset val="134"/>
      </rPr>
      <t>3m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1mm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</si>
  <si>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 xml:space="preserve"> 0m</t>
    </r>
    <r>
      <rPr>
        <sz val="10.5"/>
        <rFont val="宋体"/>
        <charset val="134"/>
      </rPr>
      <t>，涂层脱落，面积为</t>
    </r>
    <r>
      <rPr>
        <sz val="10.5"/>
        <rFont val="Times New Roman"/>
        <charset val="134"/>
      </rPr>
      <t>0.1×1m</t>
    </r>
    <r>
      <rPr>
        <vertAlign val="superscript"/>
        <sz val="10.5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</si>
  <si>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5m</t>
    </r>
    <r>
      <rPr>
        <sz val="10.5"/>
        <color indexed="8"/>
        <rFont val="宋体"/>
        <charset val="134"/>
      </rPr>
      <t>，左侧检修道盖板缺角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</si>
  <si>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1.2m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8.1m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0.60mm</t>
    </r>
    <r>
      <rPr>
        <sz val="10.5"/>
        <color indexed="8"/>
        <rFont val="宋体"/>
        <charset val="134"/>
      </rPr>
      <t>，已修补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</si>
  <si>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2.5m</t>
    </r>
    <r>
      <rPr>
        <sz val="11"/>
        <color indexed="8"/>
        <rFont val="宋体"/>
        <charset val="134"/>
      </rPr>
      <t>，路面横向裂缝，长度为</t>
    </r>
    <r>
      <rPr>
        <sz val="11"/>
        <color indexed="8"/>
        <rFont val="Times New Roman"/>
        <charset val="134"/>
      </rPr>
      <t>7.5m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1mm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</si>
  <si>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7.5m</t>
    </r>
    <r>
      <rPr>
        <sz val="11"/>
        <color indexed="8"/>
        <rFont val="宋体"/>
        <charset val="134"/>
      </rPr>
      <t>，行车道路面横向裂缝，长度为</t>
    </r>
    <r>
      <rPr>
        <sz val="11"/>
        <color indexed="8"/>
        <rFont val="Times New Roman"/>
        <charset val="134"/>
      </rPr>
      <t>3.75m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2mm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</si>
  <si>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3.5m</t>
    </r>
    <r>
      <rPr>
        <sz val="11"/>
        <color indexed="8"/>
        <rFont val="宋体"/>
        <charset val="134"/>
      </rPr>
      <t>，右侧检修道盖板破损</t>
    </r>
    <r>
      <rPr>
        <sz val="11"/>
        <color indexed="8"/>
        <rFont val="Times New Roman"/>
        <charset val="134"/>
      </rPr>
      <t>1</t>
    </r>
    <r>
      <rPr>
        <sz val="11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</si>
  <si>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8.1m</t>
    </r>
    <r>
      <rPr>
        <sz val="10.5"/>
        <color indexed="8"/>
        <rFont val="宋体"/>
        <charset val="134"/>
      </rPr>
      <t>，修补后起皮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</si>
  <si>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7m</t>
    </r>
    <r>
      <rPr>
        <sz val="11"/>
        <color indexed="8"/>
        <rFont val="宋体"/>
        <charset val="134"/>
      </rPr>
      <t>，右侧沉砂井滤水篦子缺失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</si>
  <si>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1.5m</t>
    </r>
    <r>
      <rPr>
        <sz val="11"/>
        <color indexed="8"/>
        <rFont val="宋体"/>
        <charset val="134"/>
      </rPr>
      <t>，超车道路面横向裂缝，长度为</t>
    </r>
    <r>
      <rPr>
        <sz val="11"/>
        <color indexed="8"/>
        <rFont val="Times New Roman"/>
        <charset val="134"/>
      </rPr>
      <t>3.75m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2mm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</si>
  <si>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0m</t>
    </r>
    <r>
      <rPr>
        <sz val="11"/>
        <color indexed="8"/>
        <rFont val="宋体"/>
        <charset val="134"/>
      </rPr>
      <t>，右侧检修道盖板破损</t>
    </r>
    <r>
      <rPr>
        <sz val="11"/>
        <color indexed="8"/>
        <rFont val="Times New Roman"/>
        <charset val="134"/>
      </rPr>
      <t>1</t>
    </r>
    <r>
      <rPr>
        <sz val="11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</si>
  <si>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 xml:space="preserve"> 2×0.1m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</si>
  <si>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0.5m</t>
    </r>
    <r>
      <rPr>
        <sz val="10.5"/>
        <color indexed="8"/>
        <rFont val="宋体"/>
        <charset val="134"/>
      </rPr>
      <t>，右侧边墙紧急电话指示标志破损、脱落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</si>
  <si>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0m</t>
    </r>
    <r>
      <rPr>
        <sz val="11"/>
        <color indexed="8"/>
        <rFont val="宋体"/>
        <charset val="134"/>
      </rPr>
      <t>，路面横向裂缝，长度为</t>
    </r>
    <r>
      <rPr>
        <sz val="11"/>
        <color indexed="8"/>
        <rFont val="Times New Roman"/>
        <charset val="134"/>
      </rPr>
      <t>7.5m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2mm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</si>
  <si>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0m</t>
    </r>
    <r>
      <rPr>
        <sz val="11"/>
        <color indexed="8"/>
        <rFont val="宋体"/>
        <charset val="134"/>
      </rPr>
      <t>，右侧沉砂井滤水篦子缺失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</si>
  <si>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，左拱腰涂层脱落，面积为</t>
    </r>
    <r>
      <rPr>
        <sz val="10.5"/>
        <color indexed="8"/>
        <rFont val="Times New Roman"/>
        <charset val="134"/>
      </rPr>
      <t xml:space="preserve"> 3×0.05m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</si>
  <si>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 xml:space="preserve"> 0.1×1m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</si>
  <si>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7m</t>
    </r>
    <r>
      <rPr>
        <sz val="11"/>
        <color indexed="8"/>
        <rFont val="宋体"/>
        <charset val="134"/>
      </rPr>
      <t>，右侧检修道盖板破损</t>
    </r>
    <r>
      <rPr>
        <sz val="11"/>
        <color indexed="8"/>
        <rFont val="Times New Roman"/>
        <charset val="134"/>
      </rPr>
      <t>1</t>
    </r>
    <r>
      <rPr>
        <sz val="11"/>
        <color indexed="8"/>
        <rFont val="宋体"/>
        <charset val="134"/>
      </rPr>
      <t>块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</si>
  <si>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1m</t>
    </r>
    <r>
      <rPr>
        <sz val="11"/>
        <color indexed="8"/>
        <rFont val="宋体"/>
        <charset val="134"/>
      </rPr>
      <t>，行车道路面横向裂缝，长度为</t>
    </r>
    <r>
      <rPr>
        <sz val="11"/>
        <color indexed="8"/>
        <rFont val="Times New Roman"/>
        <charset val="134"/>
      </rPr>
      <t>3.75m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3mm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</si>
  <si>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5m</t>
    </r>
    <r>
      <rPr>
        <sz val="10.5"/>
        <color indexed="8"/>
        <rFont val="宋体"/>
        <charset val="134"/>
      </rPr>
      <t>、</t>
    </r>
    <r>
      <rPr>
        <sz val="10.5"/>
        <color indexed="8"/>
        <rFont val="Times New Roman"/>
        <charset val="134"/>
      </rPr>
      <t>6m</t>
    </r>
    <r>
      <rPr>
        <sz val="10.5"/>
        <color indexed="8"/>
        <rFont val="宋体"/>
        <charset val="134"/>
      </rPr>
      <t>，左侧检修道盖板缺角</t>
    </r>
    <r>
      <rPr>
        <sz val="10.5"/>
        <color indexed="8"/>
        <rFont val="Times New Roman"/>
        <charset val="134"/>
      </rPr>
      <t>2</t>
    </r>
    <r>
      <rPr>
        <sz val="10.5"/>
        <color indexed="8"/>
        <rFont val="宋体"/>
        <charset val="134"/>
      </rPr>
      <t>处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</si>
  <si>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2.5m</t>
    </r>
    <r>
      <rPr>
        <sz val="11"/>
        <color indexed="8"/>
        <rFont val="宋体"/>
        <charset val="134"/>
      </rPr>
      <t>，路面横向裂缝，长度为</t>
    </r>
    <r>
      <rPr>
        <sz val="11"/>
        <color indexed="8"/>
        <rFont val="Times New Roman"/>
        <charset val="134"/>
      </rPr>
      <t>7.5m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2mm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</si>
  <si>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5m</t>
    </r>
    <r>
      <rPr>
        <sz val="10.5"/>
        <color indexed="8"/>
        <rFont val="宋体"/>
        <charset val="134"/>
      </rPr>
      <t>，左侧检修道盖板陷落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</si>
  <si>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7m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0.7mm</t>
    </r>
    <r>
      <rPr>
        <sz val="10.5"/>
        <color indexed="8"/>
        <rFont val="宋体"/>
        <charset val="134"/>
      </rPr>
      <t>，已修补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</si>
  <si>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1m</t>
    </r>
    <r>
      <rPr>
        <sz val="11"/>
        <color indexed="8"/>
        <rFont val="宋体"/>
        <charset val="134"/>
      </rPr>
      <t>，右侧检修道盖板陷落</t>
    </r>
    <r>
      <rPr>
        <sz val="11"/>
        <color indexed="8"/>
        <rFont val="Times New Roman"/>
        <charset val="134"/>
      </rPr>
      <t>1</t>
    </r>
    <r>
      <rPr>
        <sz val="11"/>
        <color indexed="8"/>
        <rFont val="宋体"/>
        <charset val="134"/>
      </rPr>
      <t>块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</si>
  <si>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2m</t>
    </r>
    <r>
      <rPr>
        <sz val="11"/>
        <color indexed="8"/>
        <rFont val="宋体"/>
        <charset val="134"/>
      </rPr>
      <t>，行车道路面横向裂缝，长度为</t>
    </r>
    <r>
      <rPr>
        <sz val="11"/>
        <color indexed="8"/>
        <rFont val="Times New Roman"/>
        <charset val="134"/>
      </rPr>
      <t>3.75m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3mm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</si>
  <si>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，瓷砖破损，面积为</t>
    </r>
    <r>
      <rPr>
        <sz val="10.5"/>
        <color indexed="8"/>
        <rFont val="Times New Roman"/>
        <charset val="134"/>
      </rPr>
      <t>0.045m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</si>
  <si>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3m</t>
    </r>
    <r>
      <rPr>
        <sz val="10.5"/>
        <color indexed="8"/>
        <rFont val="宋体"/>
        <charset val="134"/>
      </rPr>
      <t>，左侧检修道盖板缺角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</si>
  <si>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8m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10"/>
        <rFont val="Times New Roman"/>
        <charset val="134"/>
      </rPr>
      <t>10m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1.50mm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</si>
  <si>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6.5m</t>
    </r>
    <r>
      <rPr>
        <sz val="11"/>
        <color indexed="8"/>
        <rFont val="宋体"/>
        <charset val="134"/>
      </rPr>
      <t>，右侧检修道盖板破损</t>
    </r>
    <r>
      <rPr>
        <sz val="11"/>
        <color indexed="8"/>
        <rFont val="Times New Roman"/>
        <charset val="134"/>
      </rPr>
      <t>1</t>
    </r>
    <r>
      <rPr>
        <sz val="11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</si>
  <si>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，右拱腰涂层脱落，面积为</t>
    </r>
    <r>
      <rPr>
        <sz val="10.5"/>
        <color indexed="8"/>
        <rFont val="Times New Roman"/>
        <charset val="134"/>
      </rPr>
      <t xml:space="preserve"> 1×0.1m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</si>
  <si>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4m</t>
    </r>
    <r>
      <rPr>
        <sz val="11"/>
        <color indexed="8"/>
        <rFont val="宋体"/>
        <charset val="134"/>
      </rPr>
      <t>，右侧检修道盖板破损</t>
    </r>
    <r>
      <rPr>
        <sz val="11"/>
        <color indexed="8"/>
        <rFont val="Times New Roman"/>
        <charset val="134"/>
      </rPr>
      <t>1</t>
    </r>
    <r>
      <rPr>
        <sz val="11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</si>
  <si>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2×0.1m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</si>
  <si>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，左拱腰涂层脱落，面积为</t>
    </r>
    <r>
      <rPr>
        <sz val="10.5"/>
        <color indexed="8"/>
        <rFont val="Times New Roman"/>
        <charset val="134"/>
      </rPr>
      <t xml:space="preserve"> 1.5×0.05m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</si>
  <si>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</t>
    </r>
    <r>
      <rPr>
        <sz val="10.5"/>
        <color indexed="8"/>
        <rFont val="Times New Roman"/>
        <charset val="134"/>
      </rPr>
      <t>048</t>
    </r>
    <r>
      <rPr>
        <sz val="10.5"/>
        <color indexed="8"/>
        <rFont val="宋体"/>
        <charset val="134"/>
      </rPr>
      <t>号板板端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24.6m</t>
    </r>
    <r>
      <rPr>
        <sz val="10.5"/>
        <color indexed="8"/>
        <rFont val="宋体"/>
        <charset val="134"/>
      </rPr>
      <t>，修补处起皮脱落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</si>
  <si>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4m</t>
    </r>
    <r>
      <rPr>
        <sz val="10.5"/>
        <color indexed="8"/>
        <rFont val="宋体"/>
        <charset val="134"/>
      </rPr>
      <t>，左侧检修道盖板陷落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</si>
  <si>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8.1m</t>
    </r>
    <r>
      <rPr>
        <sz val="10.5"/>
        <color indexed="8"/>
        <rFont val="宋体"/>
        <charset val="134"/>
      </rPr>
      <t>，修补后起皮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</si>
  <si>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4m</t>
    </r>
    <r>
      <rPr>
        <sz val="10.5"/>
        <color indexed="8"/>
        <rFont val="宋体"/>
        <charset val="134"/>
      </rPr>
      <t>，左侧检修道盖板缺角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</si>
  <si>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5m</t>
    </r>
    <r>
      <rPr>
        <sz val="11"/>
        <color indexed="8"/>
        <rFont val="宋体"/>
        <charset val="134"/>
      </rPr>
      <t>，右侧检修道盖板破损</t>
    </r>
    <r>
      <rPr>
        <sz val="11"/>
        <color indexed="8"/>
        <rFont val="Times New Roman"/>
        <charset val="134"/>
      </rPr>
      <t>1</t>
    </r>
    <r>
      <rPr>
        <sz val="11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</si>
  <si>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5</t>
    </r>
    <r>
      <rPr>
        <sz val="10.5"/>
        <color indexed="8"/>
        <rFont val="宋体"/>
        <charset val="134"/>
      </rPr>
      <t>、</t>
    </r>
    <r>
      <rPr>
        <sz val="10.5"/>
        <color indexed="8"/>
        <rFont val="Times New Roman"/>
        <charset val="134"/>
      </rPr>
      <t>6m</t>
    </r>
    <r>
      <rPr>
        <sz val="10.5"/>
        <color indexed="8"/>
        <rFont val="宋体"/>
        <charset val="134"/>
      </rPr>
      <t>，左侧检修道盖板缺角</t>
    </r>
    <r>
      <rPr>
        <sz val="10.5"/>
        <color indexed="8"/>
        <rFont val="Times New Roman"/>
        <charset val="134"/>
      </rPr>
      <t>2</t>
    </r>
    <r>
      <rPr>
        <sz val="10.5"/>
        <color indexed="8"/>
        <rFont val="宋体"/>
        <charset val="134"/>
      </rPr>
      <t>处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</si>
  <si>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7m</t>
    </r>
    <r>
      <rPr>
        <sz val="10.5"/>
        <color indexed="8"/>
        <rFont val="宋体"/>
        <charset val="134"/>
      </rPr>
      <t>，左拱腰纵向裂缝，</t>
    </r>
    <r>
      <rPr>
        <sz val="10.5"/>
        <color indexed="10"/>
        <rFont val="宋体"/>
        <charset val="134"/>
      </rPr>
      <t>长度</t>
    </r>
    <r>
      <rPr>
        <sz val="10.5"/>
        <color indexed="10"/>
        <rFont val="Times New Roman"/>
        <charset val="134"/>
      </rPr>
      <t>1m</t>
    </r>
    <r>
      <rPr>
        <sz val="10.5"/>
        <color indexed="8"/>
        <rFont val="宋体"/>
        <charset val="134"/>
      </rPr>
      <t>，已修补</t>
    </r>
  </si>
  <si>
    <t>盖板未归位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</si>
  <si>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5m</t>
    </r>
    <r>
      <rPr>
        <sz val="10.5"/>
        <color indexed="8"/>
        <rFont val="宋体"/>
        <charset val="134"/>
      </rPr>
      <t>，左侧检修道盖板未归位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</si>
  <si>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1m</t>
    </r>
    <r>
      <rPr>
        <sz val="11"/>
        <color indexed="8"/>
        <rFont val="宋体"/>
        <charset val="134"/>
      </rPr>
      <t>，行车道路面横向裂缝，长度为</t>
    </r>
    <r>
      <rPr>
        <sz val="11"/>
        <color indexed="8"/>
        <rFont val="Times New Roman"/>
        <charset val="134"/>
      </rPr>
      <t>3.75m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2mm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</si>
  <si>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>1.2m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</si>
  <si>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9m</t>
    </r>
    <r>
      <rPr>
        <sz val="11"/>
        <color indexed="8"/>
        <rFont val="宋体"/>
        <charset val="134"/>
      </rPr>
      <t>，右侧沉砂井滤水篦子缺失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</si>
  <si>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2m</t>
    </r>
    <r>
      <rPr>
        <sz val="10.5"/>
        <color indexed="8"/>
        <rFont val="宋体"/>
        <charset val="134"/>
      </rPr>
      <t>，左拱腰渗水印迹，面积为</t>
    </r>
    <r>
      <rPr>
        <sz val="10.5"/>
        <color indexed="8"/>
        <rFont val="Times New Roman"/>
        <charset val="134"/>
      </rPr>
      <t xml:space="preserve"> 7m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</si>
  <si>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theme="1"/>
        <rFont val="宋体"/>
        <charset val="134"/>
      </rPr>
      <t>出洞口右侧边坡边坡下部喷射混凝土破损，土石外露，面积为</t>
    </r>
    <r>
      <rPr>
        <sz val="10.5"/>
        <color theme="1"/>
        <rFont val="Times New Roman"/>
        <charset val="134"/>
      </rPr>
      <t>10m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</si>
  <si>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入口洞门两侧受雨水侵蚀，面积约</t>
    </r>
    <r>
      <rPr>
        <sz val="10.5"/>
        <color theme="1"/>
        <rFont val="Times New Roman"/>
        <charset val="134"/>
      </rPr>
      <t>9m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</si>
  <si>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0.09m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</si>
  <si>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0.3m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</si>
  <si>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1-10</t>
    </r>
    <r>
      <rPr>
        <sz val="11"/>
        <color theme="1"/>
        <rFont val="宋体"/>
        <charset val="134"/>
      </rPr>
      <t>号板，距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号板板端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，左侧排水边沟杂物淤积堵塞，长度约</t>
    </r>
    <r>
      <rPr>
        <sz val="11"/>
        <color theme="1"/>
        <rFont val="Times New Roman"/>
        <charset val="134"/>
      </rPr>
      <t>70m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</si>
  <si>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，左侧拱腰渗水印迹，面积为</t>
    </r>
    <r>
      <rPr>
        <sz val="10.5"/>
        <color theme="1"/>
        <rFont val="Times New Roman"/>
        <charset val="134"/>
      </rPr>
      <t>7m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</si>
  <si>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</si>
  <si>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4.7m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</si>
  <si>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8.2m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</si>
  <si>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，左侧墙瓷砖脱落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块，面积为</t>
    </r>
    <r>
      <rPr>
        <sz val="10.5"/>
        <color theme="1"/>
        <rFont val="Times New Roman"/>
        <charset val="134"/>
      </rPr>
      <t>0.15×0.1m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Times New Roman"/>
        <charset val="134"/>
      </rPr>
      <t>×2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</si>
  <si>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0.70mm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</si>
  <si>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，左侧墙瓷砖脱落，面积为</t>
    </r>
    <r>
      <rPr>
        <sz val="10.5"/>
        <color theme="1"/>
        <rFont val="Times New Roman"/>
        <charset val="134"/>
      </rPr>
      <t>0.1×0.1m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</si>
  <si>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盖板缺角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</si>
  <si>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1.3m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</si>
  <si>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左侧边墙里程桩指示牌松动，且缺少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个锚固螺栓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</si>
  <si>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4.5m</t>
    </r>
    <r>
      <rPr>
        <sz val="10.5"/>
        <color theme="1"/>
        <rFont val="宋体"/>
        <charset val="134"/>
      </rPr>
      <t>，右侧检修道盖板陷落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</si>
  <si>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8.1m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</si>
  <si>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5.5m</t>
    </r>
    <r>
      <rPr>
        <sz val="10.5"/>
        <color theme="1"/>
        <rFont val="宋体"/>
        <charset val="134"/>
      </rPr>
      <t>，右侧检修道盖板缺角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</si>
  <si>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8.2m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</si>
  <si>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0.5m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</si>
  <si>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2.00mm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</si>
  <si>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3.5m</t>
    </r>
    <r>
      <rPr>
        <sz val="10.5"/>
        <color theme="1"/>
        <rFont val="宋体"/>
        <charset val="134"/>
      </rPr>
      <t>，右侧检修道盖板缺角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</si>
  <si>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8.1m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</si>
  <si>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</si>
  <si>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</si>
  <si>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0.30mm</t>
    </r>
    <r>
      <rPr>
        <sz val="10.5"/>
        <color theme="1"/>
        <rFont val="宋体"/>
        <charset val="134"/>
      </rPr>
      <t>，已修补</t>
    </r>
  </si>
  <si>
    <r>
      <rPr>
        <sz val="10.5"/>
        <rFont val="宋体"/>
        <charset val="134"/>
      </rPr>
      <t>检修道</t>
    </r>
  </si>
  <si>
    <r>
      <rPr>
        <sz val="10.5"/>
        <color theme="1"/>
        <rFont val="宋体"/>
        <charset val="134"/>
      </rPr>
      <t>左侧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</si>
  <si>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，左侧检修道盖板缺角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</si>
  <si>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6m</t>
    </r>
    <r>
      <rPr>
        <sz val="11"/>
        <color theme="1"/>
        <rFont val="宋体"/>
        <charset val="134"/>
      </rPr>
      <t>，左侧沉砂井滤水篦子缺失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</si>
  <si>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</si>
  <si>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，左侧检修道盖板缺角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</si>
  <si>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</si>
  <si>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</si>
  <si>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，斜向裂缝，长度为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0.20mm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</si>
  <si>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4m</t>
    </r>
    <r>
      <rPr>
        <sz val="10.5"/>
        <color theme="1"/>
        <rFont val="宋体"/>
        <charset val="134"/>
      </rPr>
      <t>，左侧检修道盖板缺角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处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</si>
  <si>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，左侧检修道盖板缺角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</si>
  <si>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0.3m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</si>
  <si>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，左侧检修道盖板陷落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</si>
  <si>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8.1m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</si>
  <si>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</si>
  <si>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042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16.2m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</si>
  <si>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 xml:space="preserve"> 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，封缝料起层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</si>
  <si>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044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27.3m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</si>
  <si>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，左拱腰涂层脱落，面积为</t>
    </r>
    <r>
      <rPr>
        <sz val="10.5"/>
        <color theme="1"/>
        <rFont val="Times New Roman"/>
        <charset val="134"/>
      </rPr>
      <t>1.5×1.5m</t>
    </r>
    <r>
      <rPr>
        <vertAlign val="superscript"/>
        <sz val="6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</si>
  <si>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，右拱腰涂层脱落，面积为</t>
    </r>
    <r>
      <rPr>
        <sz val="10.5"/>
        <color theme="1"/>
        <rFont val="Times New Roman"/>
        <charset val="134"/>
      </rPr>
      <t>1×1m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</si>
  <si>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，左侧检修道盖板缺角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</si>
  <si>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0.70mm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</si>
  <si>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，左侧检修道盖板缺角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</si>
  <si>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1"/>
        <color theme="1"/>
        <rFont val="Times New Roman"/>
        <charset val="134"/>
      </rPr>
      <t>51-52</t>
    </r>
    <r>
      <rPr>
        <sz val="11"/>
        <color theme="1"/>
        <rFont val="宋体"/>
        <charset val="134"/>
      </rPr>
      <t>号板，距</t>
    </r>
    <r>
      <rPr>
        <sz val="11"/>
        <color theme="1"/>
        <rFont val="Times New Roman"/>
        <charset val="134"/>
      </rPr>
      <t>51#</t>
    </r>
    <r>
      <rPr>
        <sz val="11"/>
        <color theme="1"/>
        <rFont val="宋体"/>
        <charset val="134"/>
      </rPr>
      <t>板端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，左侧检修道侧壁轮廓标缺失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处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</si>
  <si>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3.0m</t>
    </r>
    <r>
      <rPr>
        <sz val="10.5"/>
        <color theme="1"/>
        <rFont val="宋体"/>
        <charset val="134"/>
      </rPr>
      <t>，右侧检修道盖板陷落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</si>
  <si>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052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27.3m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</si>
  <si>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</si>
  <si>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0.5×1m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</si>
  <si>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</si>
  <si>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8.1m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</si>
  <si>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0.1×1.5m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</si>
  <si>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3m</t>
    </r>
    <r>
      <rPr>
        <sz val="10.5"/>
        <color theme="1"/>
        <rFont val="宋体"/>
        <charset val="134"/>
      </rPr>
      <t>，左侧检修道盖板缺角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</si>
  <si>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5m</t>
    </r>
    <r>
      <rPr>
        <sz val="10.5"/>
        <color theme="1"/>
        <rFont val="宋体"/>
        <charset val="134"/>
      </rPr>
      <t>，左侧检修道盖板缺角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</si>
  <si>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盖板未归位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</si>
  <si>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7m</t>
    </r>
    <r>
      <rPr>
        <sz val="10.5"/>
        <color theme="1"/>
        <rFont val="宋体"/>
        <charset val="134"/>
      </rPr>
      <t>，左侧检修道盖板未归位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</si>
  <si>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2.5m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</si>
  <si>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，右侧检修道盖板陷落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</si>
  <si>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8m</t>
    </r>
    <r>
      <rPr>
        <sz val="11"/>
        <color theme="1"/>
        <rFont val="宋体"/>
        <charset val="134"/>
      </rPr>
      <t>，左侧沉砂井滤水篦子缺失</t>
    </r>
  </si>
  <si>
    <t>滑坡迹象</t>
  </si>
  <si>
    <r>
      <rPr>
        <sz val="10.5"/>
        <color theme="1"/>
        <rFont val="宋体"/>
        <charset val="134"/>
      </rPr>
      <t>入洞口左侧山体滑坡初步迹象，面积为</t>
    </r>
    <r>
      <rPr>
        <sz val="10.5"/>
        <color theme="1"/>
        <rFont val="Times New Roman"/>
        <charset val="134"/>
      </rPr>
      <t>25m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；右侧边坡少量土石杂物滑落堆积，面积约</t>
    </r>
    <r>
      <rPr>
        <sz val="10.5"/>
        <color theme="1"/>
        <rFont val="Times New Roman"/>
        <charset val="134"/>
      </rPr>
      <t>9m</t>
    </r>
    <r>
      <rPr>
        <vertAlign val="superscript"/>
        <sz val="10.5"/>
        <color theme="1"/>
        <rFont val="Times New Roman"/>
        <charset val="134"/>
      </rPr>
      <t>2</t>
    </r>
  </si>
  <si>
    <t>2025.08.01</t>
  </si>
  <si>
    <r>
      <rPr>
        <sz val="10.5"/>
        <color theme="1"/>
        <rFont val="宋体"/>
        <charset val="134"/>
      </rPr>
      <t>土石掉落</t>
    </r>
  </si>
  <si>
    <r>
      <rPr>
        <sz val="10.5"/>
        <color theme="1"/>
        <rFont val="宋体"/>
        <charset val="134"/>
      </rPr>
      <t>出口左侧山体有土石零星掉落，面积为</t>
    </r>
    <r>
      <rPr>
        <sz val="10.5"/>
        <color theme="1"/>
        <rFont val="Times New Roman"/>
        <charset val="134"/>
      </rPr>
      <t>20m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，已加挡墙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</si>
  <si>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0.14mm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</si>
  <si>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7.5m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0.7×0.7m²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</si>
  <si>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5m</t>
    </r>
    <r>
      <rPr>
        <sz val="11"/>
        <rFont val="宋体"/>
        <charset val="134"/>
      </rPr>
      <t>，左侧墙环向裂缝，</t>
    </r>
    <r>
      <rPr>
        <sz val="11"/>
        <color rgb="FFFF0000"/>
        <rFont val="宋体"/>
        <charset val="134"/>
      </rPr>
      <t>长度为</t>
    </r>
    <r>
      <rPr>
        <sz val="11"/>
        <color rgb="FFFF0000"/>
        <rFont val="Times New Roman"/>
        <charset val="134"/>
      </rPr>
      <t>2.5m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>0.10mm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</si>
  <si>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5m</t>
    </r>
    <r>
      <rPr>
        <sz val="10.5"/>
        <color theme="1"/>
        <rFont val="宋体"/>
        <charset val="134"/>
      </rPr>
      <t>，涂层脱落，面积</t>
    </r>
    <r>
      <rPr>
        <sz val="10.5"/>
        <color theme="1"/>
        <rFont val="Times New Roman"/>
        <charset val="134"/>
      </rPr>
      <t xml:space="preserve"> 0.2×0.4m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</si>
  <si>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rFont val="宋体"/>
        <charset val="134"/>
      </rPr>
      <t>路面</t>
    </r>
  </si>
  <si>
    <r>
      <rPr>
        <sz val="10.5"/>
        <color theme="1"/>
        <rFont val="宋体"/>
        <charset val="134"/>
      </rPr>
      <t>路面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</si>
  <si>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，路面左侧横向裂缝，长度为</t>
    </r>
    <r>
      <rPr>
        <sz val="11"/>
        <rFont val="Times New Roman"/>
        <charset val="134"/>
      </rPr>
      <t>3.75m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>2mm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</si>
  <si>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3.0m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2.0m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</si>
  <si>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4.5m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2.0m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</si>
  <si>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4m</t>
    </r>
    <r>
      <rPr>
        <sz val="11"/>
        <rFont val="宋体"/>
        <charset val="134"/>
      </rPr>
      <t>，左侧墙环向裂缝，长度为</t>
    </r>
    <r>
      <rPr>
        <sz val="11"/>
        <rFont val="Times New Roman"/>
        <charset val="134"/>
      </rPr>
      <t>2.0m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>0.12mm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</si>
  <si>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0.12mm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</si>
  <si>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5.5m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0.28m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</si>
  <si>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，左侧墙环向裂缝，长度为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0.10mm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</si>
  <si>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5m</t>
    </r>
    <r>
      <rPr>
        <sz val="11"/>
        <rFont val="宋体"/>
        <charset val="134"/>
      </rPr>
      <t>，左侧墙环向裂缝，长度为</t>
    </r>
    <r>
      <rPr>
        <sz val="11"/>
        <rFont val="Times New Roman"/>
        <charset val="134"/>
      </rPr>
      <t>2.0m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>0.10mm</t>
    </r>
    <r>
      <rPr>
        <sz val="1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</si>
  <si>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2.4m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</si>
  <si>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</si>
  <si>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，边角破损，面积为</t>
    </r>
    <r>
      <rPr>
        <sz val="10.5"/>
        <color theme="1"/>
        <rFont val="Times New Roman"/>
        <charset val="134"/>
      </rPr>
      <t>0.02m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</si>
  <si>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2.4m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0.15mm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</si>
  <si>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，拱顶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处钢筋锈胀，长度约</t>
    </r>
    <r>
      <rPr>
        <sz val="10.5"/>
        <color theme="1"/>
        <rFont val="Times New Roman"/>
        <charset val="134"/>
      </rPr>
      <t>1.5m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</si>
  <si>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0.30mm</t>
    </r>
    <r>
      <rPr>
        <sz val="10.5"/>
        <color theme="1"/>
        <rFont val="宋体"/>
        <charset val="134"/>
      </rPr>
      <t>，开裂伴渗水，已修补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</si>
  <si>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</si>
  <si>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，露筋锈蚀，长度为</t>
    </r>
    <r>
      <rPr>
        <sz val="10.5"/>
        <color theme="1"/>
        <rFont val="Times New Roman"/>
        <charset val="134"/>
      </rPr>
      <t>0.5m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</si>
  <si>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 xml:space="preserve"> 0m</t>
    </r>
    <r>
      <rPr>
        <sz val="11"/>
        <rFont val="宋体"/>
        <charset val="134"/>
      </rPr>
      <t>，右侧墙瓷砖破损，面积为</t>
    </r>
    <r>
      <rPr>
        <sz val="11"/>
        <rFont val="Times New Roman"/>
        <charset val="134"/>
      </rPr>
      <t xml:space="preserve"> 0.06m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</si>
  <si>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0.20mm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</si>
  <si>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5m</t>
    </r>
    <r>
      <rPr>
        <sz val="11"/>
        <rFont val="宋体"/>
        <charset val="134"/>
      </rPr>
      <t>，路面左侧横向裂缝，长度为</t>
    </r>
    <r>
      <rPr>
        <sz val="11"/>
        <rFont val="Times New Roman"/>
        <charset val="134"/>
      </rPr>
      <t>3.75m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>1mm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</si>
  <si>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 xml:space="preserve"> 8.5m</t>
    </r>
    <r>
      <rPr>
        <sz val="11"/>
        <rFont val="宋体"/>
        <charset val="134"/>
      </rPr>
      <t>，左侧墙瓷砖脱落，面积为</t>
    </r>
    <r>
      <rPr>
        <sz val="11"/>
        <rFont val="Times New Roman"/>
        <charset val="134"/>
      </rPr>
      <t xml:space="preserve"> 0.05m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</si>
  <si>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处露筋锈蚀，累计长度为</t>
    </r>
    <r>
      <rPr>
        <sz val="10.5"/>
        <color theme="1"/>
        <rFont val="Times New Roman"/>
        <charset val="134"/>
      </rPr>
      <t>0.4m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</si>
  <si>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</si>
  <si>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0.8m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0.20mm</t>
    </r>
    <r>
      <rPr>
        <sz val="10.5"/>
        <color theme="1"/>
        <rFont val="宋体"/>
        <charset val="134"/>
      </rPr>
      <t>，</t>
    </r>
    <r>
      <rPr>
        <sz val="10.5"/>
        <color rgb="FFFF0000"/>
        <rFont val="宋体"/>
        <charset val="134"/>
      </rPr>
      <t>修补处起皮脱落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</si>
  <si>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0.3m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</si>
  <si>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9m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</si>
  <si>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</si>
  <si>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，拱顶</t>
    </r>
    <r>
      <rPr>
        <sz val="10.5"/>
        <color theme="1"/>
        <rFont val="Times New Roman"/>
        <charset val="134"/>
      </rPr>
      <t>4</t>
    </r>
    <r>
      <rPr>
        <sz val="10.5"/>
        <color theme="1"/>
        <rFont val="宋体"/>
        <charset val="134"/>
      </rPr>
      <t>处</t>
    </r>
    <r>
      <rPr>
        <sz val="10.5"/>
        <color theme="1"/>
        <rFont val="宋体"/>
        <charset val="134"/>
      </rPr>
      <t>锈胀露筋，长度约</t>
    </r>
    <r>
      <rPr>
        <sz val="10.5"/>
        <color theme="1"/>
        <rFont val="Times New Roman"/>
        <charset val="134"/>
      </rPr>
      <t>5.5m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</si>
  <si>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，拱顶</t>
    </r>
    <r>
      <rPr>
        <sz val="10.5"/>
        <color theme="1"/>
        <rFont val="Times New Roman"/>
        <charset val="134"/>
      </rPr>
      <t>9</t>
    </r>
    <r>
      <rPr>
        <sz val="10.5"/>
        <color theme="1"/>
        <rFont val="宋体"/>
        <charset val="134"/>
      </rPr>
      <t>处</t>
    </r>
    <r>
      <rPr>
        <sz val="10.5"/>
        <color theme="1"/>
        <rFont val="宋体"/>
        <charset val="134"/>
      </rPr>
      <t>锈胀露筋，长度约</t>
    </r>
    <r>
      <rPr>
        <sz val="10.5"/>
        <color theme="1"/>
        <rFont val="Times New Roman"/>
        <charset val="134"/>
      </rPr>
      <t>8.0m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</si>
  <si>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4m</t>
    </r>
    <r>
      <rPr>
        <sz val="11"/>
        <rFont val="宋体"/>
        <charset val="134"/>
      </rPr>
      <t>，路面横向裂缝，长度为</t>
    </r>
    <r>
      <rPr>
        <sz val="11"/>
        <rFont val="Times New Roman"/>
        <charset val="134"/>
      </rPr>
      <t>7.5m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>1mm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</si>
  <si>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6m</t>
    </r>
    <r>
      <rPr>
        <sz val="11"/>
        <rFont val="宋体"/>
        <charset val="134"/>
      </rPr>
      <t>，左检道盖板破损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</si>
  <si>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</si>
  <si>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7.5m</t>
    </r>
    <r>
      <rPr>
        <sz val="11"/>
        <rFont val="宋体"/>
        <charset val="134"/>
      </rPr>
      <t>，路面横向裂缝，长度为</t>
    </r>
    <r>
      <rPr>
        <sz val="11"/>
        <rFont val="Times New Roman"/>
        <charset val="134"/>
      </rPr>
      <t>7.5m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>1mm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</si>
  <si>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</si>
  <si>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，长度为</t>
    </r>
    <r>
      <rPr>
        <sz val="10.5"/>
        <color theme="1"/>
        <rFont val="Times New Roman"/>
        <charset val="134"/>
      </rPr>
      <t>10m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</si>
  <si>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10.4m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</si>
  <si>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0.20mm</t>
    </r>
    <r>
      <rPr>
        <sz val="10.5"/>
        <color theme="1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</si>
  <si>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3m</t>
    </r>
    <r>
      <rPr>
        <sz val="11"/>
        <rFont val="宋体"/>
        <charset val="134"/>
      </rPr>
      <t>，路面横向裂缝，长度为</t>
    </r>
    <r>
      <rPr>
        <sz val="11"/>
        <rFont val="Times New Roman"/>
        <charset val="134"/>
      </rPr>
      <t>7.5m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>1mm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</si>
  <si>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9.5m</t>
    </r>
    <r>
      <rPr>
        <sz val="11"/>
        <rFont val="宋体"/>
        <charset val="134"/>
      </rPr>
      <t>，左检道盖板掉角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块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</si>
  <si>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，路面右侧横向裂缝，长度为</t>
    </r>
    <r>
      <rPr>
        <sz val="11"/>
        <rFont val="Times New Roman"/>
        <charset val="134"/>
      </rPr>
      <t>3.75m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>2mm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</si>
  <si>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，瓷砖破损，面积为</t>
    </r>
    <r>
      <rPr>
        <sz val="10.5"/>
        <color theme="1"/>
        <rFont val="Times New Roman"/>
        <charset val="134"/>
      </rPr>
      <t xml:space="preserve"> 0.2× 0.1m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</si>
  <si>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，露筋锈蚀，长度为</t>
    </r>
    <r>
      <rPr>
        <sz val="10.5"/>
        <color theme="1"/>
        <rFont val="Times New Roman"/>
        <charset val="134"/>
      </rPr>
      <t>0.5m</t>
    </r>
  </si>
  <si>
    <t>距板端2m，左检道盖板陷落1块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</si>
  <si>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</si>
  <si>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，左拱腰涂层脱落，面积为</t>
    </r>
    <r>
      <rPr>
        <sz val="10.5"/>
        <color theme="1"/>
        <rFont val="Times New Roman"/>
        <charset val="134"/>
      </rPr>
      <t xml:space="preserve"> 0.03m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</si>
  <si>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 xml:space="preserve"> 0.1×1m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</si>
  <si>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，露筋锈蚀，长度为</t>
    </r>
    <r>
      <rPr>
        <sz val="10.5"/>
        <color theme="1"/>
        <rFont val="Times New Roman"/>
        <charset val="134"/>
      </rPr>
      <t>0.5m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</si>
  <si>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0.2m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3.5m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</si>
  <si>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 xml:space="preserve"> 7m</t>
    </r>
    <r>
      <rPr>
        <sz val="11"/>
        <rFont val="宋体"/>
        <charset val="134"/>
      </rPr>
      <t>，左侧墙瓷砖破损，面积为</t>
    </r>
    <r>
      <rPr>
        <sz val="11"/>
        <rFont val="Times New Roman"/>
        <charset val="134"/>
      </rPr>
      <t xml:space="preserve"> 0.3m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</si>
  <si>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0.25m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</si>
  <si>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，左拱腰施工缝渗水印迹，面积为</t>
    </r>
    <r>
      <rPr>
        <sz val="10.5"/>
        <color theme="1"/>
        <rFont val="Times New Roman"/>
        <charset val="134"/>
      </rPr>
      <t>0.15m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</si>
  <si>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5.5m</t>
    </r>
    <r>
      <rPr>
        <sz val="10.5"/>
        <color theme="1"/>
        <rFont val="宋体"/>
        <charset val="134"/>
      </rPr>
      <t>，左拱腰涂层脱落，面积为</t>
    </r>
    <r>
      <rPr>
        <sz val="10.5"/>
        <color theme="1"/>
        <rFont val="Times New Roman"/>
        <charset val="134"/>
      </rPr>
      <t xml:space="preserve"> 1.2m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</si>
  <si>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人行横洞内，距板端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，拱顶防水板外露，面积为</t>
    </r>
    <r>
      <rPr>
        <sz val="10.5"/>
        <color theme="1"/>
        <rFont val="Times New Roman"/>
        <charset val="134"/>
      </rPr>
      <t>0.2×1m</t>
    </r>
    <r>
      <rPr>
        <vertAlign val="superscript"/>
        <sz val="10.5"/>
        <color theme="1"/>
        <rFont val="Times New Roman"/>
        <charset val="134"/>
      </rPr>
      <t>2</t>
    </r>
  </si>
  <si>
    <t>41~44</t>
  </si>
  <si>
    <r>
      <rPr>
        <sz val="10.5"/>
        <color theme="1"/>
        <rFont val="宋体"/>
        <charset val="134"/>
      </rPr>
      <t>人行横洞内，距板端</t>
    </r>
    <r>
      <rPr>
        <sz val="10.5"/>
        <color theme="1"/>
        <rFont val="Times New Roman"/>
        <charset val="134"/>
      </rPr>
      <t xml:space="preserve"> 5m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 xml:space="preserve">2 </t>
    </r>
    <r>
      <rPr>
        <sz val="10.5"/>
        <color theme="1"/>
        <rFont val="宋体"/>
        <charset val="134"/>
      </rPr>
      <t>处涂层脱落，面积为</t>
    </r>
    <r>
      <rPr>
        <sz val="10.5"/>
        <color theme="1"/>
        <rFont val="Times New Roman"/>
        <charset val="134"/>
      </rPr>
      <t>0.2m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</si>
  <si>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入洞口右侧山体滑坡初步迹象，树木倾倒，面积为</t>
    </r>
    <r>
      <rPr>
        <sz val="10.5"/>
        <color theme="1"/>
        <rFont val="Times New Roman"/>
        <charset val="134"/>
      </rPr>
      <t>40m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</si>
  <si>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截水沟损坏</t>
    </r>
  </si>
  <si>
    <r>
      <rPr>
        <sz val="10.5"/>
        <color theme="1"/>
        <rFont val="宋体"/>
        <charset val="134"/>
      </rPr>
      <t>入口端洞顶截水沟局部损坏，面积约</t>
    </r>
    <r>
      <rPr>
        <sz val="10.5"/>
        <color theme="1"/>
        <rFont val="Times New Roman"/>
        <charset val="134"/>
      </rPr>
      <t>1.5m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，且存在较大落石</t>
    </r>
  </si>
  <si>
    <r>
      <rPr>
        <sz val="10.5"/>
        <color theme="1"/>
        <rFont val="宋体"/>
        <charset val="134"/>
      </rPr>
      <t>入洞口洞门右侧涂料脱落，露筋，面积</t>
    </r>
    <r>
      <rPr>
        <sz val="11"/>
        <color theme="1"/>
        <rFont val="宋体"/>
        <charset val="134"/>
      </rPr>
      <t>为</t>
    </r>
    <r>
      <rPr>
        <sz val="11"/>
        <color theme="1"/>
        <rFont val="Times New Roman"/>
        <charset val="134"/>
      </rPr>
      <t>1m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</si>
  <si>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出口洞门两侧受雨水侵蚀，面积约9m</t>
    </r>
    <r>
      <rPr>
        <vertAlign val="superscript"/>
        <sz val="10.5"/>
        <color theme="1"/>
        <rFont val="宋体"/>
        <charset val="134"/>
      </rPr>
      <t>2</t>
    </r>
  </si>
  <si>
    <t>距板端6m，右检道盖板破损2块</t>
  </si>
  <si>
    <r>
      <rPr>
        <sz val="10.5"/>
        <color theme="1"/>
        <rFont val="宋体"/>
        <charset val="134"/>
      </rPr>
      <t xml:space="preserve">距板端 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，涂层脱落面积为</t>
    </r>
    <r>
      <rPr>
        <sz val="10.5"/>
        <color theme="1"/>
        <rFont val="Times New Roman"/>
        <charset val="134"/>
      </rPr>
      <t>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</si>
  <si>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排水系统</t>
    </r>
  </si>
  <si>
    <r>
      <rPr>
        <sz val="11"/>
        <color theme="1"/>
        <rFont val="宋体"/>
        <charset val="134"/>
      </rPr>
      <t>滤水篦损坏</t>
    </r>
  </si>
  <si>
    <r>
      <rPr>
        <sz val="10.5"/>
        <color theme="1"/>
        <rFont val="宋体"/>
        <charset val="134"/>
      </rPr>
      <t>入洞口右侧边沟沉砂井滤水篦损坏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</si>
  <si>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4.5m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0.10mm</t>
    </r>
  </si>
  <si>
    <t>拱顶右拱腰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</si>
  <si>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</si>
  <si>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0.5×0.5m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</si>
  <si>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，左拱腰施工缝渗水印迹，面积为</t>
    </r>
    <r>
      <rPr>
        <sz val="10.5"/>
        <color theme="1"/>
        <rFont val="Times New Roman"/>
        <charset val="134"/>
      </rPr>
      <t>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</si>
  <si>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，拱顶衬砌锈胀，涂料局部脱落，面积约</t>
    </r>
    <r>
      <rPr>
        <sz val="10.5"/>
        <color theme="1"/>
        <rFont val="Times New Roman"/>
        <charset val="134"/>
      </rPr>
      <t>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</si>
  <si>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3.5m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</si>
  <si>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1.0m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</si>
  <si>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6.0m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0.5m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</si>
  <si>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0.2m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</si>
  <si>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4.0m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0.6m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0.10mm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</si>
  <si>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14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15.7m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</si>
  <si>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7.8m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</si>
  <si>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，拱顶</t>
    </r>
    <r>
      <rPr>
        <sz val="10.5"/>
        <color rgb="FFFF0000"/>
        <rFont val="Times New Roman"/>
        <charset val="134"/>
      </rPr>
      <t>9</t>
    </r>
    <r>
      <rPr>
        <sz val="10.5"/>
        <color rgb="FFFF0000"/>
        <rFont val="宋体"/>
        <charset val="134"/>
      </rPr>
      <t>处</t>
    </r>
    <r>
      <rPr>
        <sz val="10.5"/>
        <color theme="1"/>
        <rFont val="宋体"/>
        <charset val="134"/>
      </rPr>
      <t>衬砌锈胀露筋，累计</t>
    </r>
    <r>
      <rPr>
        <sz val="10.5"/>
        <color rgb="FFFF0000"/>
        <rFont val="宋体"/>
        <charset val="134"/>
      </rPr>
      <t>长度约</t>
    </r>
    <r>
      <rPr>
        <sz val="10.5"/>
        <color rgb="FFFF0000"/>
        <rFont val="Times New Roman"/>
        <charset val="134"/>
      </rPr>
      <t>2.5m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</si>
  <si>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处露筋，累计长度为</t>
    </r>
    <r>
      <rPr>
        <sz val="10.5"/>
        <color theme="1"/>
        <rFont val="Times New Roman"/>
        <charset val="134"/>
      </rPr>
      <t>1m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</si>
  <si>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，拱顶</t>
    </r>
    <r>
      <rPr>
        <sz val="10.5"/>
        <color theme="1"/>
        <rFont val="Times New Roman"/>
        <charset val="134"/>
      </rPr>
      <t>3</t>
    </r>
    <r>
      <rPr>
        <sz val="10.5"/>
        <color theme="1"/>
        <rFont val="宋体"/>
        <charset val="134"/>
      </rPr>
      <t>处</t>
    </r>
    <r>
      <rPr>
        <sz val="10.5"/>
        <color theme="1"/>
        <rFont val="宋体"/>
        <charset val="134"/>
      </rPr>
      <t>锈胀露筋，长度约</t>
    </r>
    <r>
      <rPr>
        <sz val="10.5"/>
        <color theme="1"/>
        <rFont val="Times New Roman"/>
        <charset val="134"/>
      </rPr>
      <t>1.5m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</si>
  <si>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3.0m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</si>
  <si>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7.9m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</si>
  <si>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2.0m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0.14mm</t>
    </r>
  </si>
  <si>
    <t>距板端4m，左检道盖板未归位1块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</si>
  <si>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0.2m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2.0m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</si>
  <si>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0.3m</t>
    </r>
    <r>
      <rPr>
        <sz val="11"/>
        <rFont val="宋体"/>
        <charset val="134"/>
      </rPr>
      <t>，左拱腰环向裂缝，长度为</t>
    </r>
    <r>
      <rPr>
        <sz val="11"/>
        <rFont val="Times New Roman"/>
        <charset val="134"/>
      </rPr>
      <t>2.0m</t>
    </r>
    <r>
      <rPr>
        <sz val="11"/>
        <rFont val="宋体"/>
        <charset val="134"/>
      </rPr>
      <t>，宽度为</t>
    </r>
    <r>
      <rPr>
        <sz val="11"/>
        <rFont val="Times New Roman"/>
        <charset val="134"/>
      </rPr>
      <t>1.00mm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</si>
  <si>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0.2m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</si>
  <si>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，右拱腰涂层脱落，面积为</t>
    </r>
    <r>
      <rPr>
        <sz val="10.5"/>
        <color theme="1"/>
        <rFont val="Times New Roman"/>
        <charset val="134"/>
      </rPr>
      <t xml:space="preserve"> 0.02m</t>
    </r>
    <r>
      <rPr>
        <vertAlign val="superscript"/>
        <sz val="10.5"/>
        <color theme="1"/>
        <rFont val="Times New Roman"/>
        <charset val="134"/>
      </rPr>
      <t>2</t>
    </r>
  </si>
  <si>
    <t>41-43号板，距板端1m，右侧检修道侧壁镶面破损，长度约20m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</si>
  <si>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</si>
  <si>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0.2m</t>
    </r>
    <r>
      <rPr>
        <sz val="10.5"/>
        <color theme="1"/>
        <rFont val="宋体"/>
        <charset val="134"/>
      </rPr>
      <t>，施工缝环向裂缝，长度为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</si>
  <si>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，拱顶涂层脱落，面积为</t>
    </r>
    <r>
      <rPr>
        <sz val="10.5"/>
        <color theme="1"/>
        <rFont val="Times New Roman"/>
        <charset val="134"/>
      </rPr>
      <t xml:space="preserve"> 0.02m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</si>
  <si>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，右拱腰涂层脱落，面积为</t>
    </r>
    <r>
      <rPr>
        <sz val="10.5"/>
        <color theme="1"/>
        <rFont val="Times New Roman"/>
        <charset val="134"/>
      </rPr>
      <t xml:space="preserve"> 0.4m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</si>
  <si>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5.5m</t>
    </r>
    <r>
      <rPr>
        <sz val="10.5"/>
        <color theme="1"/>
        <rFont val="宋体"/>
        <charset val="134"/>
      </rPr>
      <t>，拱顶</t>
    </r>
    <r>
      <rPr>
        <sz val="10.5"/>
        <color rgb="FFFF0000"/>
        <rFont val="Times New Roman"/>
        <charset val="134"/>
      </rPr>
      <t>3</t>
    </r>
    <r>
      <rPr>
        <sz val="10.5"/>
        <color rgb="FFFF0000"/>
        <rFont val="宋体"/>
        <charset val="134"/>
      </rPr>
      <t>处</t>
    </r>
    <r>
      <rPr>
        <sz val="10.5"/>
        <color theme="1"/>
        <rFont val="宋体"/>
        <charset val="134"/>
      </rPr>
      <t>锈胀露筋，累计长度为</t>
    </r>
    <r>
      <rPr>
        <sz val="10.5"/>
        <color theme="1"/>
        <rFont val="Times New Roman"/>
        <charset val="134"/>
      </rPr>
      <t>1.3m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</si>
  <si>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4.0m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0.30mm</t>
    </r>
    <r>
      <rPr>
        <sz val="10.5"/>
        <color theme="1"/>
        <rFont val="宋体"/>
        <charset val="134"/>
      </rPr>
      <t>，伴有渗水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</si>
  <si>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2.3m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0.15mm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</si>
  <si>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</t>
    </r>
    <r>
      <rPr>
        <sz val="10.5"/>
        <color theme="1"/>
        <rFont val="宋体"/>
        <charset val="134"/>
      </rPr>
      <t>拱顶</t>
    </r>
    <r>
      <rPr>
        <sz val="10.5"/>
        <color rgb="FFFF0000"/>
        <rFont val="Times New Roman"/>
        <charset val="134"/>
      </rPr>
      <t>3</t>
    </r>
    <r>
      <rPr>
        <sz val="10.5"/>
        <color rgb="FFFF0000"/>
        <rFont val="宋体"/>
        <charset val="134"/>
      </rPr>
      <t>处</t>
    </r>
    <r>
      <rPr>
        <sz val="10.5"/>
        <color theme="1"/>
        <rFont val="宋体"/>
        <charset val="134"/>
      </rPr>
      <t>锈胀露筋，</t>
    </r>
    <r>
      <rPr>
        <sz val="10.5"/>
        <color theme="1"/>
        <rFont val="宋体"/>
        <charset val="134"/>
      </rPr>
      <t>长度为</t>
    </r>
    <r>
      <rPr>
        <sz val="10.5"/>
        <color rgb="FFFF0000"/>
        <rFont val="Times New Roman"/>
        <charset val="134"/>
      </rPr>
      <t>0.9</t>
    </r>
    <r>
      <rPr>
        <sz val="10.5"/>
        <color theme="1"/>
        <rFont val="Times New Roman"/>
        <charset val="134"/>
      </rPr>
      <t>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</si>
  <si>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，左拱腰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处</t>
    </r>
    <r>
      <rPr>
        <sz val="10.5"/>
        <color theme="1"/>
        <rFont val="宋体"/>
        <charset val="134"/>
      </rPr>
      <t>渗水泛碱，面积为</t>
    </r>
    <r>
      <rPr>
        <sz val="10.5"/>
        <color theme="1"/>
        <rFont val="Times New Roman"/>
        <charset val="134"/>
      </rPr>
      <t>0.1m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</si>
  <si>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</t>
    </r>
    <r>
      <rPr>
        <sz val="10.5"/>
        <color theme="1"/>
        <rFont val="宋体"/>
        <charset val="134"/>
      </rPr>
      <t>拱顶</t>
    </r>
    <r>
      <rPr>
        <sz val="10.5"/>
        <color rgb="FFFF0000"/>
        <rFont val="Times New Roman"/>
        <charset val="134"/>
      </rPr>
      <t>8</t>
    </r>
    <r>
      <rPr>
        <sz val="10.5"/>
        <color rgb="FFFF0000"/>
        <rFont val="宋体"/>
        <charset val="134"/>
      </rPr>
      <t>处</t>
    </r>
    <r>
      <rPr>
        <sz val="10.5"/>
        <color theme="1"/>
        <rFont val="宋体"/>
        <charset val="134"/>
      </rPr>
      <t>锈胀露筋，</t>
    </r>
    <r>
      <rPr>
        <sz val="10.5"/>
        <color theme="1"/>
        <rFont val="宋体"/>
        <charset val="134"/>
      </rPr>
      <t>长度为</t>
    </r>
    <r>
      <rPr>
        <sz val="10.5"/>
        <color rgb="FFFF0000"/>
        <rFont val="Times New Roman"/>
        <charset val="134"/>
      </rPr>
      <t>2.4</t>
    </r>
    <r>
      <rPr>
        <sz val="10.5"/>
        <color theme="1"/>
        <rFont val="Times New Roman"/>
        <charset val="134"/>
      </rPr>
      <t>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</si>
  <si>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</si>
  <si>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4.5m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处渗水印迹，面积为</t>
    </r>
    <r>
      <rPr>
        <sz val="10.5"/>
        <color theme="1"/>
        <rFont val="Times New Roman"/>
        <charset val="134"/>
      </rPr>
      <t>0.8m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</si>
  <si>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2.0m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2.3m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</si>
  <si>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5.0m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2.0m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</si>
  <si>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4.5m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</si>
  <si>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3.0m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2.2m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0.14mm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</si>
  <si>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，左拱腰涂层脱落，面积为</t>
    </r>
    <r>
      <rPr>
        <sz val="10.5"/>
        <color theme="1"/>
        <rFont val="Times New Roman"/>
        <charset val="134"/>
      </rPr>
      <t xml:space="preserve"> 0.05m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</si>
  <si>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吊顶及预埋件</t>
    </r>
  </si>
  <si>
    <t>61~66</t>
  </si>
  <si>
    <r>
      <rPr>
        <sz val="10.5"/>
        <color theme="1"/>
        <rFont val="宋体"/>
        <charset val="134"/>
      </rPr>
      <t>距入洞口</t>
    </r>
    <r>
      <rPr>
        <sz val="10.5"/>
        <color theme="1"/>
        <rFont val="Times New Roman"/>
        <charset val="134"/>
      </rPr>
      <t>15m</t>
    </r>
    <r>
      <rPr>
        <sz val="10.5"/>
        <color theme="1"/>
        <rFont val="宋体"/>
        <charset val="134"/>
      </rPr>
      <t>，右侧山体滑坡初步迹象，面积为</t>
    </r>
    <r>
      <rPr>
        <sz val="10.5"/>
        <color theme="1"/>
        <rFont val="Times New Roman"/>
        <charset val="134"/>
      </rPr>
      <t>20m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</si>
  <si>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出洞口右侧端墙壁面渗水印迹，面积为</t>
    </r>
    <r>
      <rPr>
        <sz val="10.5"/>
        <color theme="1"/>
        <rFont val="Times New Roman"/>
        <charset val="134"/>
      </rPr>
      <t>30m</t>
    </r>
    <r>
      <rPr>
        <vertAlign val="superscript"/>
        <sz val="10.5"/>
        <color theme="1"/>
        <rFont val="Times New Roman"/>
        <charset val="134"/>
      </rPr>
      <t>2</t>
    </r>
  </si>
  <si>
    <t>距板端0m，超车道路面横向裂缝，长度为3.75m，宽度为1mm</t>
  </si>
  <si>
    <r>
      <rPr>
        <sz val="11"/>
        <color theme="1"/>
        <rFont val="Times New Roman"/>
        <charset val="134"/>
      </rPr>
      <t>1-10</t>
    </r>
    <r>
      <rPr>
        <sz val="11"/>
        <color theme="1"/>
        <rFont val="宋体"/>
        <charset val="134"/>
      </rPr>
      <t>号板，右侧排水沟与路面接缝处破损，高度</t>
    </r>
    <r>
      <rPr>
        <sz val="11"/>
        <color theme="1"/>
        <rFont val="Times New Roman"/>
        <charset val="134"/>
      </rPr>
      <t>5cm</t>
    </r>
    <r>
      <rPr>
        <sz val="11"/>
        <color theme="1"/>
        <rFont val="宋体"/>
        <charset val="134"/>
      </rPr>
      <t>，长度</t>
    </r>
    <r>
      <rPr>
        <sz val="11"/>
        <color theme="1"/>
        <rFont val="Times New Roman"/>
        <charset val="134"/>
      </rPr>
      <t>70m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</si>
  <si>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 xml:space="preserve"> 2.5m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</si>
  <si>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涂层脱落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</si>
  <si>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，涂层脱落，面积为</t>
    </r>
    <r>
      <rPr>
        <sz val="11"/>
        <color theme="1"/>
        <rFont val="Times New Roman"/>
        <charset val="134"/>
      </rPr>
      <t xml:space="preserve"> 3m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</si>
  <si>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，左拱腰渗水印迹，面积为</t>
    </r>
    <r>
      <rPr>
        <sz val="11"/>
        <rFont val="Times New Roman"/>
        <charset val="134"/>
      </rPr>
      <t>7m</t>
    </r>
    <r>
      <rPr>
        <vertAlign val="superscript"/>
        <sz val="1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</si>
  <si>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0.9m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</si>
  <si>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，施工缝处，衬砌破损，面积为</t>
    </r>
    <r>
      <rPr>
        <sz val="10.5"/>
        <color theme="1"/>
        <rFont val="Times New Roman"/>
        <charset val="134"/>
      </rPr>
      <t>0.1×0.4m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</si>
  <si>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左拱腰、拱顶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</si>
  <si>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 xml:space="preserve"> 0.4m</t>
    </r>
    <r>
      <rPr>
        <vertAlign val="superscript"/>
        <sz val="10.5"/>
        <color theme="1"/>
        <rFont val="Times New Roman"/>
        <charset val="134"/>
      </rPr>
      <t>2</t>
    </r>
  </si>
  <si>
    <t>左拱腰、拱顶</t>
  </si>
  <si>
    <r>
      <rPr>
        <sz val="11"/>
        <rFont val="宋体"/>
        <charset val="134"/>
      </rPr>
      <t>漏止水带，砼破损面积为</t>
    </r>
    <r>
      <rPr>
        <sz val="11"/>
        <rFont val="Times New Roman"/>
        <charset val="134"/>
      </rPr>
      <t>0.2×2m²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</si>
  <si>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36m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</si>
  <si>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4.5m</t>
    </r>
    <r>
      <rPr>
        <sz val="10.5"/>
        <color theme="1"/>
        <rFont val="宋体"/>
        <charset val="134"/>
      </rPr>
      <t>，右侧墙环向裂缝，长度为</t>
    </r>
    <r>
      <rPr>
        <sz val="10.5"/>
        <color theme="1"/>
        <rFont val="Times New Roman"/>
        <charset val="134"/>
      </rPr>
      <t>3.0m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0.20mm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</si>
  <si>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0.1m</t>
    </r>
    <r>
      <rPr>
        <vertAlign val="superscript"/>
        <sz val="10.5"/>
        <color theme="1"/>
        <rFont val="Times New Roman"/>
        <charset val="134"/>
      </rPr>
      <t>2</t>
    </r>
  </si>
  <si>
    <t>距板端6m，超车道路面横向裂缝，长度为3.75m，宽度为2mm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</si>
  <si>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4.5m</t>
    </r>
    <r>
      <rPr>
        <sz val="11"/>
        <color theme="1"/>
        <rFont val="宋体"/>
        <charset val="134"/>
      </rPr>
      <t>，行车道路面横向裂缝，长度为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1mm</t>
    </r>
    <r>
      <rPr>
        <sz val="11"/>
        <color theme="1"/>
        <rFont val="宋体"/>
        <charset val="134"/>
      </rPr>
      <t>（修复后网裂，面积为</t>
    </r>
    <r>
      <rPr>
        <sz val="11"/>
        <color theme="1"/>
        <rFont val="Times New Roman"/>
        <charset val="134"/>
      </rPr>
      <t>1m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，宽</t>
    </r>
    <r>
      <rPr>
        <sz val="11"/>
        <color theme="1"/>
        <rFont val="Times New Roman"/>
        <charset val="134"/>
      </rPr>
      <t>2mm</t>
    </r>
    <r>
      <rPr>
        <sz val="11"/>
        <color theme="1"/>
        <rFont val="宋体"/>
        <charset val="134"/>
      </rPr>
      <t>）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</si>
  <si>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 xml:space="preserve"> 0.1×1m2</t>
    </r>
  </si>
  <si>
    <t>距板端4.5m，路面横向裂缝，长度为7.5m，宽度为1mm（修复后网裂，面积为 1.0m2， 宽2mm）</t>
  </si>
  <si>
    <t>中间</t>
  </si>
  <si>
    <t>标线磨损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</si>
  <si>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，路面中央标线局部磨损，长度为</t>
    </r>
    <r>
      <rPr>
        <sz val="10.5"/>
        <color theme="1"/>
        <rFont val="Times New Roman"/>
        <charset val="134"/>
      </rPr>
      <t>1.5m</t>
    </r>
  </si>
  <si>
    <t>距板端3.5m，路面横向裂缝，长度为7.5m，宽度为1mm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</si>
  <si>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，右侧墙消防指示标志脱落</t>
    </r>
  </si>
  <si>
    <t>距板端2.5m，行车道路面横向裂缝，长度为3.75m，宽度为1mm</t>
  </si>
  <si>
    <t>距板端0m，行车道路面横向裂缝，长度为3.75m，宽度为1mm</t>
  </si>
  <si>
    <t>距板端5.5m，路面横向裂缝，长度为7.5m，宽度为2mm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</si>
  <si>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，露筋锈蚀，长度为</t>
    </r>
    <r>
      <rPr>
        <sz val="10.5"/>
        <color theme="1"/>
        <rFont val="Times New Roman"/>
        <charset val="134"/>
      </rPr>
      <t>0.4m</t>
    </r>
  </si>
  <si>
    <t>距板端0m，路面横向裂缝，长度为7.5m，宽度为2mm</t>
  </si>
  <si>
    <t>距板端6.5m，行车道路面横向裂缝，长度为3.75m，宽度为1mm</t>
  </si>
  <si>
    <t>距板端4m，超车道路面横向裂缝，长度为3.75m，宽度为3mm</t>
  </si>
  <si>
    <r>
      <rPr>
        <sz val="11"/>
        <rFont val="宋体"/>
        <charset val="134"/>
      </rPr>
      <t>瓷砖空鼓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</si>
  <si>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，左侧墙瓷砖空鼓，面积为</t>
    </r>
    <r>
      <rPr>
        <sz val="11"/>
        <rFont val="Times New Roman"/>
        <charset val="134"/>
      </rPr>
      <t xml:space="preserve"> 0.5×1.5m2</t>
    </r>
  </si>
  <si>
    <t>距板端0m，左侧检修道盖板缺角1块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</si>
  <si>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</si>
  <si>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6m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</si>
  <si>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1m</t>
    </r>
    <r>
      <rPr>
        <sz val="11"/>
        <color theme="1"/>
        <rFont val="宋体"/>
        <charset val="134"/>
      </rPr>
      <t>，超车道路面修复后网裂，面积为</t>
    </r>
    <r>
      <rPr>
        <sz val="11"/>
        <color theme="1"/>
        <rFont val="Times New Roman"/>
        <charset val="134"/>
      </rPr>
      <t>1.0×0.5m2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</si>
  <si>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 xml:space="preserve"> 0.1m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</si>
  <si>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>0.03m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</si>
  <si>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0.36m</t>
    </r>
    <r>
      <rPr>
        <vertAlign val="superscript"/>
        <sz val="10.5"/>
        <color theme="1"/>
        <rFont val="Times New Roman"/>
        <charset val="134"/>
      </rPr>
      <t>2</t>
    </r>
  </si>
  <si>
    <t>距板端4m，路面横向裂缝，长度为7.5m，宽度为1mm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</si>
  <si>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，右侧检修道盖板陷落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</si>
  <si>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t>距板端3m，路面横向裂缝，长度为7.5m，宽度为1mm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</si>
  <si>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，露筋锈蚀，长度为</t>
    </r>
    <r>
      <rPr>
        <sz val="10.5"/>
        <color theme="1"/>
        <rFont val="Times New Roman"/>
        <charset val="134"/>
      </rPr>
      <t>0.4m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</si>
  <si>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0.5m</t>
    </r>
    <r>
      <rPr>
        <sz val="10.5"/>
        <color theme="1"/>
        <rFont val="宋体"/>
        <charset val="134"/>
      </rPr>
      <t>，露筋锈蚀，长度为</t>
    </r>
    <r>
      <rPr>
        <sz val="10.5"/>
        <color theme="1"/>
        <rFont val="Times New Roman"/>
        <charset val="134"/>
      </rPr>
      <t>0.2m</t>
    </r>
  </si>
  <si>
    <t>距板端7m，行车道路面横向裂缝，长度为3.75m，宽度为1mm</t>
  </si>
  <si>
    <t>划痕</t>
  </si>
  <si>
    <t>距板端0m，超车道路面横向划痕，长度为3m，深度为20mm</t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</si>
  <si>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6m</t>
    </r>
    <r>
      <rPr>
        <sz val="11"/>
        <rFont val="宋体"/>
        <charset val="134"/>
      </rPr>
      <t>，左侧墙瓷砖空鼓，面积为</t>
    </r>
    <r>
      <rPr>
        <sz val="11"/>
        <rFont val="Times New Roman"/>
        <charset val="134"/>
      </rPr>
      <t xml:space="preserve"> 0.1×0.2m2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</si>
  <si>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</si>
  <si>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 xml:space="preserve"> 0.1m2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</si>
  <si>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>0.01m2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</si>
  <si>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</si>
  <si>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  <r>
      <rPr>
        <sz val="10.5"/>
        <color theme="1"/>
        <rFont val="宋体"/>
        <charset val="134"/>
      </rPr>
      <t>，已修补</t>
    </r>
  </si>
  <si>
    <t>距板端1.5m，行车道路面横向裂缝，长度为3.75m，宽度为1mm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</si>
  <si>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</si>
  <si>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，行车道路面横向裂缝，长度为</t>
    </r>
    <r>
      <rPr>
        <sz val="11"/>
        <color theme="1"/>
        <rFont val="Times New Roman"/>
        <charset val="134"/>
      </rPr>
      <t>3.0m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</si>
  <si>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5.5m</t>
    </r>
    <r>
      <rPr>
        <sz val="11"/>
        <color theme="1"/>
        <rFont val="宋体"/>
        <charset val="134"/>
      </rPr>
      <t>，行车道路面横向裂缝，长度为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</si>
  <si>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，右侧墙环向裂缝，长度为</t>
    </r>
    <r>
      <rPr>
        <sz val="10.5"/>
        <color theme="1"/>
        <rFont val="Times New Roman"/>
        <charset val="134"/>
      </rPr>
      <t>3.0m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0.16mm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</si>
  <si>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</si>
  <si>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</si>
  <si>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18m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</si>
  <si>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</si>
  <si>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10.5m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</si>
  <si>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，左拱腰渗水印迹，面积为</t>
    </r>
    <r>
      <rPr>
        <sz val="11"/>
        <rFont val="Times New Roman"/>
        <charset val="134"/>
      </rPr>
      <t>1×1m2</t>
    </r>
  </si>
  <si>
    <r>
      <rPr>
        <sz val="10.5"/>
        <color theme="1"/>
        <rFont val="宋体"/>
        <charset val="134"/>
      </rPr>
      <t>距端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</si>
  <si>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，涂层脱落，面积</t>
    </r>
    <r>
      <rPr>
        <sz val="10.5"/>
        <color theme="1"/>
        <rFont val="Times New Roman"/>
        <charset val="134"/>
      </rPr>
      <t xml:space="preserve"> 0.05×1.2m2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</si>
  <si>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，左侧墙瓷砖空鼓，面积为</t>
    </r>
    <r>
      <rPr>
        <sz val="11"/>
        <rFont val="Times New Roman"/>
        <charset val="134"/>
      </rPr>
      <t xml:space="preserve"> 1×2m2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</si>
  <si>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，右拱腰涂料脱落，面积为</t>
    </r>
    <r>
      <rPr>
        <sz val="10.5"/>
        <color theme="1"/>
        <rFont val="Times New Roman"/>
        <charset val="134"/>
      </rPr>
      <t xml:space="preserve"> 0.05×1.5m2</t>
    </r>
  </si>
  <si>
    <r>
      <rPr>
        <sz val="10.5"/>
        <color theme="1"/>
        <rFont val="宋体"/>
        <charset val="134"/>
      </rPr>
      <t>距端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</si>
  <si>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0.25m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</si>
  <si>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0.3m</t>
    </r>
    <r>
      <rPr>
        <vertAlign val="superscript"/>
        <sz val="10.5"/>
        <color theme="1"/>
        <rFont val="Times New Roman"/>
        <charset val="134"/>
      </rPr>
      <t>2</t>
    </r>
  </si>
  <si>
    <t>71~77</t>
  </si>
  <si>
    <r>
      <rPr>
        <sz val="11"/>
        <color theme="1"/>
        <rFont val="宋体"/>
        <charset val="134"/>
      </rPr>
      <t>全隧道路缘排水沟结构完好，排水功能正常</t>
    </r>
  </si>
  <si>
    <r>
      <rPr>
        <sz val="10.5"/>
        <color theme="1"/>
        <rFont val="宋体"/>
        <charset val="134"/>
      </rPr>
      <t>出洞口左侧土石外露，</t>
    </r>
    <r>
      <rPr>
        <sz val="10.5"/>
        <color rgb="FFFF0000"/>
        <rFont val="宋体"/>
        <charset val="134"/>
      </rPr>
      <t>冲刷</t>
    </r>
    <r>
      <rPr>
        <sz val="10.5"/>
        <color theme="1"/>
        <rFont val="宋体"/>
        <charset val="134"/>
      </rPr>
      <t>，面积约</t>
    </r>
    <r>
      <rPr>
        <sz val="10.5"/>
        <color theme="1"/>
        <rFont val="Times New Roman"/>
        <charset val="134"/>
      </rPr>
      <t>20m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</si>
  <si>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出洞口右侧山体土石滑落，面积约</t>
    </r>
    <r>
      <rPr>
        <sz val="10.5"/>
        <color theme="1"/>
        <rFont val="Times New Roman"/>
        <charset val="134"/>
      </rPr>
      <t>100m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</si>
  <si>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入口洞门</t>
    </r>
  </si>
  <si>
    <r>
      <rPr>
        <sz val="10.5"/>
        <color theme="1"/>
        <rFont val="宋体"/>
        <charset val="134"/>
      </rPr>
      <t>入口左、右侧端墙壁面渗水印迹，面积为</t>
    </r>
    <r>
      <rPr>
        <sz val="10.5"/>
        <color theme="1"/>
        <rFont val="Times New Roman"/>
        <charset val="134"/>
      </rPr>
      <t>30m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</si>
  <si>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rFont val="宋体"/>
        <charset val="134"/>
      </rPr>
      <t>涂层脱落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</si>
  <si>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8m</t>
    </r>
    <r>
      <rPr>
        <sz val="10.5"/>
        <rFont val="宋体"/>
        <charset val="134"/>
      </rPr>
      <t>，涂层脱落，面积为</t>
    </r>
    <r>
      <rPr>
        <sz val="10.5"/>
        <rFont val="Times New Roman"/>
        <charset val="134"/>
      </rPr>
      <t>0.5×0.3m</t>
    </r>
    <r>
      <rPr>
        <vertAlign val="superscript"/>
        <sz val="10.5"/>
        <rFont val="Times New Roman"/>
        <charset val="134"/>
      </rPr>
      <t>2</t>
    </r>
  </si>
  <si>
    <r>
      <rPr>
        <sz val="11"/>
        <color rgb="FF000000"/>
        <rFont val="宋体"/>
        <charset val="134"/>
      </rPr>
      <t>衬砌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</si>
  <si>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，左拱腰渗水印迹，面积为</t>
    </r>
    <r>
      <rPr>
        <sz val="11"/>
        <rFont val="Times New Roman"/>
        <charset val="134"/>
      </rPr>
      <t>2m</t>
    </r>
    <r>
      <rPr>
        <vertAlign val="superscript"/>
        <sz val="11"/>
        <rFont val="Times New Roman"/>
        <charset val="134"/>
      </rPr>
      <t>2</t>
    </r>
  </si>
  <si>
    <r>
      <rPr>
        <sz val="11"/>
        <color rgb="FF000000"/>
        <rFont val="宋体"/>
        <charset val="134"/>
      </rPr>
      <t>左边墙</t>
    </r>
  </si>
  <si>
    <r>
      <rPr>
        <sz val="11"/>
        <rFont val="宋体"/>
        <charset val="134"/>
      </rPr>
      <t>瓷砖刮痕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</si>
  <si>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5m</t>
    </r>
    <r>
      <rPr>
        <sz val="10.5"/>
        <rFont val="宋体"/>
        <charset val="134"/>
      </rPr>
      <t>，左边墙瓷砖刮痕</t>
    </r>
    <r>
      <rPr>
        <sz val="10.5"/>
        <rFont val="Times New Roman"/>
        <charset val="134"/>
      </rPr>
      <t>3</t>
    </r>
    <r>
      <rPr>
        <sz val="10.5"/>
        <rFont val="宋体"/>
        <charset val="134"/>
      </rPr>
      <t>块，面积为</t>
    </r>
    <r>
      <rPr>
        <sz val="10.5"/>
        <rFont val="Times New Roman"/>
        <charset val="134"/>
      </rPr>
      <t>0.4×0.6m</t>
    </r>
    <r>
      <rPr>
        <vertAlign val="superscript"/>
        <sz val="10.5"/>
        <rFont val="Times New Roman"/>
        <charset val="134"/>
      </rPr>
      <t>2</t>
    </r>
  </si>
  <si>
    <t>距板端4m，左侧检修道盖板破损脱落4块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</si>
  <si>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15.5m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，已修补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</si>
  <si>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8m</t>
    </r>
    <r>
      <rPr>
        <sz val="10.5"/>
        <rFont val="宋体"/>
        <charset val="134"/>
      </rPr>
      <t>，涂层脱落，面积为</t>
    </r>
    <r>
      <rPr>
        <sz val="10.5"/>
        <rFont val="Times New Roman"/>
        <charset val="134"/>
      </rPr>
      <t>1.5×0.05m</t>
    </r>
    <r>
      <rPr>
        <vertAlign val="superscript"/>
        <sz val="10.5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</si>
  <si>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</si>
  <si>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</si>
  <si>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15.8m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  <r>
      <rPr>
        <sz val="10.5"/>
        <color theme="1"/>
        <rFont val="宋体"/>
        <charset val="134"/>
      </rPr>
      <t>，已修补</t>
    </r>
  </si>
  <si>
    <r>
      <rPr>
        <sz val="10.5"/>
        <rFont val="宋体"/>
        <charset val="134"/>
      </rPr>
      <t>瓷砖破损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</si>
  <si>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0m</t>
    </r>
    <r>
      <rPr>
        <sz val="10.5"/>
        <rFont val="宋体"/>
        <charset val="134"/>
      </rPr>
      <t>，瓷砖破损，面积为</t>
    </r>
    <r>
      <rPr>
        <sz val="10.5"/>
        <rFont val="Times New Roman"/>
        <charset val="134"/>
      </rPr>
      <t>1.2×0.1m</t>
    </r>
    <r>
      <rPr>
        <vertAlign val="superscript"/>
        <sz val="10.5"/>
        <rFont val="Times New Roman"/>
        <charset val="134"/>
      </rPr>
      <t>2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</si>
  <si>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8m</t>
    </r>
    <r>
      <rPr>
        <sz val="10.5"/>
        <rFont val="宋体"/>
        <charset val="134"/>
      </rPr>
      <t>，涂层脱落，面积为</t>
    </r>
    <r>
      <rPr>
        <sz val="10.5"/>
        <rFont val="Times New Roman"/>
        <charset val="134"/>
      </rPr>
      <t>0.02m</t>
    </r>
    <r>
      <rPr>
        <vertAlign val="superscript"/>
        <sz val="10.5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</si>
  <si>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7.6m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</si>
  <si>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，斜向裂缝，长度为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0.5mm</t>
    </r>
    <r>
      <rPr>
        <sz val="10.5"/>
        <color theme="1"/>
        <rFont val="宋体"/>
        <charset val="134"/>
      </rPr>
      <t>，局部伴有渗水，已修补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</si>
  <si>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5.4m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，局部伴有渗水，已修补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</si>
  <si>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处渗水印迹，面积为</t>
    </r>
    <r>
      <rPr>
        <sz val="10.5"/>
        <color theme="1"/>
        <rFont val="Times New Roman"/>
        <charset val="134"/>
      </rPr>
      <t>0.2×3m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Times New Roman"/>
        <charset val="134"/>
      </rPr>
      <t>+0.1×1m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</si>
  <si>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，施工缝环向裂缝，长度为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</si>
  <si>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3.5m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0.2×1m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</si>
  <si>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，已修补</t>
    </r>
  </si>
  <si>
    <r>
      <rPr>
        <sz val="10.5"/>
        <color rgb="FFFF0000"/>
        <rFont val="宋体"/>
        <charset val="134"/>
      </rPr>
      <t>距板端</t>
    </r>
    <r>
      <rPr>
        <sz val="10.5"/>
        <color rgb="FFFF0000"/>
        <rFont val="Times New Roman"/>
        <charset val="134"/>
      </rPr>
      <t>3m</t>
    </r>
    <r>
      <rPr>
        <sz val="10.5"/>
        <color rgb="FFFF0000"/>
        <rFont val="宋体"/>
        <charset val="134"/>
      </rPr>
      <t>，纵向裂缝，长度</t>
    </r>
    <r>
      <rPr>
        <sz val="10.5"/>
        <color rgb="FFFF0000"/>
        <rFont val="Times New Roman"/>
        <charset val="134"/>
      </rPr>
      <t>1.5m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</si>
  <si>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</si>
  <si>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0m</t>
    </r>
    <r>
      <rPr>
        <sz val="10.5"/>
        <rFont val="宋体"/>
        <charset val="134"/>
      </rPr>
      <t>，左边墙瓷砖空鼓，面积为</t>
    </r>
    <r>
      <rPr>
        <sz val="10.5"/>
        <rFont val="Times New Roman"/>
        <charset val="134"/>
      </rPr>
      <t>1×1m</t>
    </r>
    <r>
      <rPr>
        <vertAlign val="superscript"/>
        <sz val="10.5"/>
        <rFont val="Times New Roman"/>
        <charset val="134"/>
      </rPr>
      <t>2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</si>
  <si>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0m</t>
    </r>
    <r>
      <rPr>
        <sz val="10.5"/>
        <rFont val="宋体"/>
        <charset val="134"/>
      </rPr>
      <t>，涂层脱落，面积为</t>
    </r>
    <r>
      <rPr>
        <sz val="10.5"/>
        <rFont val="Times New Roman"/>
        <charset val="134"/>
      </rPr>
      <t>0.2m</t>
    </r>
    <r>
      <rPr>
        <vertAlign val="superscript"/>
        <sz val="10.5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</si>
  <si>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，宽度</t>
    </r>
    <r>
      <rPr>
        <sz val="10.5"/>
        <color theme="1"/>
        <rFont val="Times New Roman"/>
        <charset val="134"/>
      </rPr>
      <t>0.40mm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</si>
  <si>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0.1m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</si>
  <si>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18.1m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  <r>
      <rPr>
        <sz val="10.5"/>
        <color theme="1"/>
        <rFont val="宋体"/>
        <charset val="134"/>
      </rPr>
      <t>，已修补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</si>
  <si>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0m</t>
    </r>
    <r>
      <rPr>
        <sz val="10.5"/>
        <rFont val="宋体"/>
        <charset val="134"/>
      </rPr>
      <t>，涂层脱落，面积为</t>
    </r>
    <r>
      <rPr>
        <sz val="10.5"/>
        <rFont val="Times New Roman"/>
        <charset val="134"/>
      </rPr>
      <t>0.1m</t>
    </r>
    <r>
      <rPr>
        <vertAlign val="superscript"/>
        <sz val="10.5"/>
        <rFont val="Times New Roman"/>
        <charset val="134"/>
      </rPr>
      <t>2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</si>
  <si>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8m</t>
    </r>
    <r>
      <rPr>
        <sz val="10.5"/>
        <rFont val="宋体"/>
        <charset val="134"/>
      </rPr>
      <t>，涂层脱落，面积为</t>
    </r>
    <r>
      <rPr>
        <sz val="10.5"/>
        <rFont val="Times New Roman"/>
        <charset val="134"/>
      </rPr>
      <t>0.05m</t>
    </r>
    <r>
      <rPr>
        <vertAlign val="superscript"/>
        <sz val="10.5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</si>
  <si>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0.30mm</t>
    </r>
    <r>
      <rPr>
        <sz val="10.5"/>
        <color theme="1"/>
        <rFont val="宋体"/>
        <charset val="134"/>
      </rPr>
      <t>，已修补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</si>
  <si>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0m</t>
    </r>
    <r>
      <rPr>
        <sz val="10.5"/>
        <rFont val="宋体"/>
        <charset val="134"/>
      </rPr>
      <t>，涂层脱落，面积为</t>
    </r>
    <r>
      <rPr>
        <sz val="10.5"/>
        <rFont val="Times New Roman"/>
        <charset val="134"/>
      </rPr>
      <t>0.03m</t>
    </r>
    <r>
      <rPr>
        <vertAlign val="superscript"/>
        <sz val="10.5"/>
        <rFont val="Times New Roman"/>
        <charset val="134"/>
      </rPr>
      <t>2</t>
    </r>
  </si>
  <si>
    <r>
      <rPr>
        <sz val="10.5"/>
        <color theme="1"/>
        <rFont val="宋体"/>
        <charset val="134"/>
      </rPr>
      <t>左拱腰钢筋外露长度为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，引起涂层环向开裂</t>
    </r>
    <r>
      <rPr>
        <sz val="10.5"/>
        <color theme="1"/>
        <rFont val="Times New Roman"/>
        <charset val="134"/>
      </rPr>
      <t>10m</t>
    </r>
  </si>
  <si>
    <t>距板端7m，左侧路缘排水沟结构破损，长度为2m</t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</si>
  <si>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8m</t>
    </r>
    <r>
      <rPr>
        <sz val="10.5"/>
        <rFont val="宋体"/>
        <charset val="134"/>
      </rPr>
      <t>，涂层脱落，面积为</t>
    </r>
    <r>
      <rPr>
        <sz val="10.5"/>
        <rFont val="Times New Roman"/>
        <charset val="134"/>
      </rPr>
      <t>0.1m</t>
    </r>
    <r>
      <rPr>
        <vertAlign val="superscript"/>
        <sz val="10.5"/>
        <rFont val="Times New Roman"/>
        <charset val="134"/>
      </rPr>
      <t>2</t>
    </r>
  </si>
  <si>
    <t>距板端0m，左侧路缘排水沟结构破损，长度为1.5m</t>
  </si>
  <si>
    <t>距板端3m，左侧路缘排水沟结构破损，长度为1m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</si>
  <si>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</si>
  <si>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0m</t>
    </r>
    <r>
      <rPr>
        <sz val="10.5"/>
        <rFont val="宋体"/>
        <charset val="134"/>
      </rPr>
      <t>，涂层脱落，面积为</t>
    </r>
    <r>
      <rPr>
        <sz val="10.5"/>
        <rFont val="Times New Roman"/>
        <charset val="134"/>
      </rPr>
      <t>0.045m</t>
    </r>
    <r>
      <rPr>
        <vertAlign val="superscript"/>
        <sz val="10.5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</si>
  <si>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0.2m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</si>
  <si>
    <r>
      <rPr>
        <sz val="10.5"/>
        <color theme="1"/>
        <rFont val="宋体"/>
        <charset val="134"/>
      </rPr>
      <t>左、右拱腰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</si>
  <si>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0m</t>
    </r>
    <r>
      <rPr>
        <sz val="10.5"/>
        <rFont val="宋体"/>
        <charset val="134"/>
      </rPr>
      <t>，涂层脱落，面积为</t>
    </r>
    <r>
      <rPr>
        <sz val="10.5"/>
        <rFont val="Times New Roman"/>
        <charset val="134"/>
      </rPr>
      <t>3×0.05m</t>
    </r>
    <r>
      <rPr>
        <vertAlign val="superscript"/>
        <sz val="10.5"/>
        <rFont val="Times New Roman"/>
        <charset val="134"/>
      </rPr>
      <t>2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</si>
  <si>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0m</t>
    </r>
    <r>
      <rPr>
        <sz val="10.5"/>
        <rFont val="宋体"/>
        <charset val="134"/>
      </rPr>
      <t>，涂层脱落，面积为</t>
    </r>
    <r>
      <rPr>
        <sz val="10.5"/>
        <rFont val="Times New Roman"/>
        <charset val="134"/>
      </rPr>
      <t>0.05m</t>
    </r>
    <r>
      <rPr>
        <vertAlign val="superscript"/>
        <sz val="10.5"/>
        <rFont val="Times New Roman"/>
        <charset val="134"/>
      </rPr>
      <t>2</t>
    </r>
    <r>
      <rPr>
        <sz val="10.5"/>
        <rFont val="宋体"/>
        <charset val="134"/>
      </rPr>
      <t>，局部轻微破损</t>
    </r>
  </si>
  <si>
    <r>
      <rPr>
        <sz val="11"/>
        <color rgb="FF000000"/>
        <rFont val="宋体"/>
        <charset val="134"/>
      </rPr>
      <t>左右拱腰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</si>
  <si>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0m</t>
    </r>
    <r>
      <rPr>
        <sz val="10.5"/>
        <rFont val="宋体"/>
        <charset val="134"/>
      </rPr>
      <t>，左右拱腰涂料脱落，面积为</t>
    </r>
    <r>
      <rPr>
        <sz val="10.5"/>
        <rFont val="Times New Roman"/>
        <charset val="134"/>
      </rPr>
      <t>0.2m</t>
    </r>
    <r>
      <rPr>
        <vertAlign val="superscript"/>
        <sz val="10.5"/>
        <rFont val="Times New Roman"/>
        <charset val="134"/>
      </rPr>
      <t>2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</si>
  <si>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0m</t>
    </r>
    <r>
      <rPr>
        <sz val="10.5"/>
        <rFont val="宋体"/>
        <charset val="134"/>
      </rPr>
      <t>，涂层脱落，面积为</t>
    </r>
    <r>
      <rPr>
        <sz val="10.5"/>
        <rFont val="Times New Roman"/>
        <charset val="134"/>
      </rPr>
      <t>0.5m</t>
    </r>
    <r>
      <rPr>
        <vertAlign val="superscript"/>
        <sz val="10.5"/>
        <rFont val="Times New Roman"/>
        <charset val="134"/>
      </rPr>
      <t>2</t>
    </r>
  </si>
  <si>
    <t>距板端3m，左侧路缘排水沟结构破损，长度为1.5m</t>
  </si>
  <si>
    <t>距板端0m，左侧沉砂井滤水篦子缺失</t>
  </si>
  <si>
    <r>
      <rPr>
        <sz val="10.5"/>
        <rFont val="宋体"/>
        <charset val="134"/>
      </rPr>
      <t>露筋</t>
    </r>
  </si>
  <si>
    <r>
      <rPr>
        <sz val="10.5"/>
        <color rgb="FFFF0000"/>
        <rFont val="宋体"/>
        <charset val="134"/>
      </rPr>
      <t>距板端</t>
    </r>
    <r>
      <rPr>
        <sz val="10.5"/>
        <color rgb="FFFF0000"/>
        <rFont val="Times New Roman"/>
        <charset val="134"/>
      </rPr>
      <t>7m</t>
    </r>
    <r>
      <rPr>
        <sz val="10.5"/>
        <color rgb="FFFF0000"/>
        <rFont val="宋体"/>
        <charset val="134"/>
      </rPr>
      <t>，露筋，长度</t>
    </r>
    <r>
      <rPr>
        <sz val="10.5"/>
        <color rgb="FFFF0000"/>
        <rFont val="Times New Roman"/>
        <charset val="134"/>
      </rPr>
      <t>0.5m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</si>
  <si>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，右拱腰露筋锈蚀，长度为</t>
    </r>
    <r>
      <rPr>
        <sz val="10.5"/>
        <color theme="1"/>
        <rFont val="Times New Roman"/>
        <charset val="134"/>
      </rPr>
      <t>0.5m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</si>
  <si>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1.5×3.5m</t>
    </r>
    <r>
      <rPr>
        <vertAlign val="superscript"/>
        <sz val="10.5"/>
        <color theme="1"/>
        <rFont val="Times New Roman"/>
        <charset val="134"/>
      </rPr>
      <t>2</t>
    </r>
  </si>
  <si>
    <t>距板端3m，左侧路缘排水沟结构破损，长度为4m</t>
  </si>
  <si>
    <t>距板端6m，左侧检修道盖板缺角1块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</si>
  <si>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，拱顶混凝土局部破损，长度为</t>
    </r>
    <r>
      <rPr>
        <sz val="10.5"/>
        <color theme="1"/>
        <rFont val="Times New Roman"/>
        <charset val="134"/>
      </rPr>
      <t>0.4m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</si>
  <si>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0.1m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</si>
  <si>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，斜向裂缝，长度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0.3mm</t>
    </r>
    <r>
      <rPr>
        <sz val="10.5"/>
        <color theme="1"/>
        <rFont val="宋体"/>
        <charset val="134"/>
      </rPr>
      <t>，已修补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</si>
  <si>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0m</t>
    </r>
    <r>
      <rPr>
        <sz val="10.5"/>
        <rFont val="宋体"/>
        <charset val="134"/>
      </rPr>
      <t>，涂层脱落，面积为</t>
    </r>
    <r>
      <rPr>
        <sz val="10.5"/>
        <rFont val="Times New Roman"/>
        <charset val="134"/>
      </rPr>
      <t>0.1m</t>
    </r>
    <r>
      <rPr>
        <vertAlign val="superscript"/>
        <sz val="10.5"/>
        <rFont val="Times New Roman"/>
        <charset val="134"/>
      </rPr>
      <t>2</t>
    </r>
    <r>
      <rPr>
        <sz val="10.5"/>
        <rFont val="宋体"/>
        <charset val="134"/>
      </rPr>
      <t>局部轻微破损</t>
    </r>
  </si>
  <si>
    <r>
      <rPr>
        <sz val="11"/>
        <color rgb="FFFF0000"/>
        <rFont val="宋体"/>
        <charset val="134"/>
      </rPr>
      <t>瓷砖脱落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</si>
  <si>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0m</t>
    </r>
    <r>
      <rPr>
        <sz val="10.5"/>
        <rFont val="宋体"/>
        <charset val="134"/>
      </rPr>
      <t>，左边墙瓷砖脱落，面积为</t>
    </r>
    <r>
      <rPr>
        <sz val="10.5"/>
        <rFont val="Times New Roman"/>
        <charset val="134"/>
      </rPr>
      <t>1×0.5m</t>
    </r>
    <r>
      <rPr>
        <vertAlign val="superscript"/>
        <sz val="10.5"/>
        <rFont val="Times New Roman"/>
        <charset val="134"/>
      </rPr>
      <t>2</t>
    </r>
  </si>
  <si>
    <t>距板端1m，右侧检修道盖板陷落1块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</si>
  <si>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0.4×3m</t>
    </r>
    <r>
      <rPr>
        <vertAlign val="superscript"/>
        <sz val="10.5"/>
        <color theme="1"/>
        <rFont val="Times New Roman"/>
        <charset val="134"/>
      </rPr>
      <t>2</t>
    </r>
  </si>
  <si>
    <t>距板端3m，左侧路缘排水沟结构破损，长度为5m</t>
  </si>
  <si>
    <t>距板端8m，左侧沉砂井滤水篦子缺失</t>
  </si>
  <si>
    <r>
      <rPr>
        <sz val="10.5"/>
        <color theme="1"/>
        <rFont val="宋体"/>
        <charset val="134"/>
      </rPr>
      <t>左拱腰右拱腰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</si>
  <si>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2m</t>
    </r>
    <r>
      <rPr>
        <sz val="11"/>
        <rFont val="宋体"/>
        <charset val="134"/>
      </rPr>
      <t>，涂层脱落，面积为</t>
    </r>
    <r>
      <rPr>
        <sz val="11"/>
        <rFont val="Times New Roman"/>
        <charset val="134"/>
      </rPr>
      <t>3m</t>
    </r>
    <r>
      <rPr>
        <vertAlign val="superscript"/>
        <sz val="11"/>
        <rFont val="Times New Roman"/>
        <charset val="134"/>
      </rPr>
      <t>2</t>
    </r>
  </si>
  <si>
    <r>
      <rPr>
        <sz val="10.5"/>
        <rFont val="宋体"/>
        <charset val="134"/>
      </rPr>
      <t>渗水印迹</t>
    </r>
  </si>
  <si>
    <r>
      <rPr>
        <sz val="11"/>
        <color theme="1"/>
        <rFont val="宋体"/>
        <charset val="134"/>
      </rPr>
      <t>全隧道路缘排水沟堵塞</t>
    </r>
  </si>
  <si>
    <r>
      <rPr>
        <sz val="11"/>
        <color theme="1"/>
        <rFont val="宋体"/>
        <charset val="134"/>
      </rPr>
      <t>全隧道路面已重铺，未见明显病害</t>
    </r>
  </si>
  <si>
    <r>
      <rPr>
        <sz val="11"/>
        <color rgb="FF000000"/>
        <rFont val="宋体"/>
        <charset val="134"/>
      </rPr>
      <t>入洞口仰坡土石滑落，面积约</t>
    </r>
    <r>
      <rPr>
        <sz val="11"/>
        <color rgb="FF000000"/>
        <rFont val="Times New Roman"/>
        <charset val="134"/>
      </rPr>
      <t>30m</t>
    </r>
    <r>
      <rPr>
        <vertAlign val="superscript"/>
        <sz val="11"/>
        <color rgb="FF000000"/>
        <rFont val="Times New Roman"/>
        <charset val="134"/>
      </rPr>
      <t>2</t>
    </r>
  </si>
  <si>
    <r>
      <rPr>
        <sz val="11"/>
        <color rgb="FF000000"/>
        <rFont val="宋体"/>
        <charset val="134"/>
      </rPr>
      <t>出口侧</t>
    </r>
  </si>
  <si>
    <r>
      <rPr>
        <sz val="11"/>
        <color theme="1"/>
        <rFont val="宋体"/>
        <charset val="134"/>
      </rPr>
      <t>出口洞顶仰坡土石滑落，面积约</t>
    </r>
    <r>
      <rPr>
        <sz val="11"/>
        <color theme="1"/>
        <rFont val="Times New Roman"/>
        <charset val="134"/>
      </rPr>
      <t>20m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</si>
  <si>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rgb="FF000000"/>
        <rFont val="宋体"/>
        <charset val="134"/>
      </rPr>
      <t>入口洞门</t>
    </r>
  </si>
  <si>
    <r>
      <rPr>
        <sz val="11"/>
        <color rgb="FF000000"/>
        <rFont val="宋体"/>
        <charset val="134"/>
      </rPr>
      <t>露筋</t>
    </r>
  </si>
  <si>
    <r>
      <rPr>
        <sz val="11"/>
        <color rgb="FF000000"/>
        <rFont val="宋体"/>
        <charset val="134"/>
      </rPr>
      <t>入口洞门右侧露筋，长度约</t>
    </r>
    <r>
      <rPr>
        <sz val="11"/>
        <color rgb="FF000000"/>
        <rFont val="Times New Roman"/>
        <charset val="134"/>
      </rPr>
      <t>2m</t>
    </r>
  </si>
  <si>
    <r>
      <rPr>
        <sz val="10.5"/>
        <color theme="1"/>
        <rFont val="宋体"/>
        <charset val="134"/>
      </rPr>
      <t>出洞口洞门两侧端墙渗水印迹，累计面积约</t>
    </r>
    <r>
      <rPr>
        <sz val="10.5"/>
        <color theme="1"/>
        <rFont val="Times New Roman"/>
        <charset val="134"/>
      </rPr>
      <t>30m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</si>
  <si>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破损</t>
    </r>
  </si>
  <si>
    <r>
      <rPr>
        <sz val="11"/>
        <color theme="1"/>
        <rFont val="宋体"/>
        <charset val="134"/>
      </rPr>
      <t>出口洞门左侧混凝土破损，面积约</t>
    </r>
    <r>
      <rPr>
        <sz val="11"/>
        <color theme="1"/>
        <rFont val="Times New Roman"/>
        <charset val="134"/>
      </rPr>
      <t>0.4×0.4m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</si>
  <si>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出洞口右侧边坡土石滑落，面积约</t>
    </r>
    <r>
      <rPr>
        <sz val="11"/>
        <color theme="1"/>
        <rFont val="Times New Roman"/>
        <charset val="134"/>
      </rPr>
      <t>8m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</si>
  <si>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，右侧检修道盖板破损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</si>
  <si>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8m</t>
    </r>
    <r>
      <rPr>
        <sz val="11"/>
        <color theme="1"/>
        <rFont val="宋体"/>
        <charset val="134"/>
      </rPr>
      <t>，拱顶涂层脱落，面积为</t>
    </r>
    <r>
      <rPr>
        <sz val="11"/>
        <color theme="1"/>
        <rFont val="Times New Roman"/>
        <charset val="134"/>
      </rPr>
      <t>0.2m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</si>
  <si>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标线磨损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</si>
  <si>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，路面右侧标线局部磨损，长度为</t>
    </r>
    <r>
      <rPr>
        <sz val="10.5"/>
        <color theme="1"/>
        <rFont val="Times New Roman"/>
        <charset val="134"/>
      </rPr>
      <t>60m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</si>
  <si>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涂层脱落，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面积为</t>
    </r>
    <r>
      <rPr>
        <sz val="11"/>
        <color theme="1"/>
        <rFont val="Times New Roman"/>
        <charset val="134"/>
      </rPr>
      <t>0.1×1m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</si>
  <si>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，拱顶露筋，长度为</t>
    </r>
    <r>
      <rPr>
        <sz val="10.5"/>
        <color theme="1"/>
        <rFont val="Times New Roman"/>
        <charset val="134"/>
      </rPr>
      <t>0.4m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</si>
  <si>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，行车道路面横向裂缝，长度为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宽度为</t>
    </r>
    <r>
      <rPr>
        <sz val="11"/>
        <color theme="1"/>
        <rFont val="Times New Roman"/>
        <charset val="134"/>
      </rPr>
      <t>2mm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</si>
  <si>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，衬砌顶部露筋，</t>
    </r>
    <r>
      <rPr>
        <sz val="10.5"/>
        <color rgb="FFFF0000"/>
        <rFont val="宋体"/>
        <charset val="134"/>
      </rPr>
      <t>累计长度约</t>
    </r>
    <r>
      <rPr>
        <sz val="10.5"/>
        <color rgb="FFFF0000"/>
        <rFont val="Times New Roman"/>
        <charset val="134"/>
      </rPr>
      <t>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</si>
  <si>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，路面中间标线局部磨损，长度为</t>
    </r>
    <r>
      <rPr>
        <sz val="10.5"/>
        <color theme="1"/>
        <rFont val="Times New Roman"/>
        <charset val="134"/>
      </rPr>
      <t>2.5m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</si>
  <si>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</t>
    </r>
    <r>
      <rPr>
        <sz val="10.5"/>
        <color rgb="FFFF0000"/>
        <rFont val="Times New Roman"/>
        <charset val="134"/>
      </rPr>
      <t>8</t>
    </r>
    <r>
      <rPr>
        <sz val="10.5"/>
        <color rgb="FFFF0000"/>
        <rFont val="宋体"/>
        <charset val="134"/>
      </rPr>
      <t>处露筋锈蚀，累计长度为</t>
    </r>
    <r>
      <rPr>
        <sz val="10.5"/>
        <color rgb="FFFF0000"/>
        <rFont val="Times New Roman"/>
        <charset val="134"/>
      </rPr>
      <t>2.4m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</si>
  <si>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，路面中间标线局部磨损，长度为</t>
    </r>
    <r>
      <rPr>
        <sz val="10.5"/>
        <color theme="1"/>
        <rFont val="Times New Roman"/>
        <charset val="134"/>
      </rPr>
      <t>8.0m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</si>
  <si>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8m</t>
    </r>
    <r>
      <rPr>
        <sz val="11"/>
        <color theme="1"/>
        <rFont val="宋体"/>
        <charset val="134"/>
      </rPr>
      <t>，涂层脱落，面积为</t>
    </r>
    <r>
      <rPr>
        <sz val="11"/>
        <color theme="1"/>
        <rFont val="Times New Roman"/>
        <charset val="134"/>
      </rPr>
      <t>0.1×3m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</si>
  <si>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拱顶左右拱腰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</si>
  <si>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，涂层脱落，面积为</t>
    </r>
    <r>
      <rPr>
        <sz val="11"/>
        <color theme="1"/>
        <rFont val="Times New Roman"/>
        <charset val="134"/>
      </rPr>
      <t>0.05×3m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</si>
  <si>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，右拱腰涂层脱落，面积为</t>
    </r>
    <r>
      <rPr>
        <sz val="11"/>
        <color theme="1"/>
        <rFont val="Times New Roman"/>
        <charset val="134"/>
      </rPr>
      <t>1.5×0.05m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</si>
  <si>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，涂层脱落，面积为</t>
    </r>
    <r>
      <rPr>
        <sz val="11"/>
        <color theme="1"/>
        <rFont val="Times New Roman"/>
        <charset val="134"/>
      </rPr>
      <t>0.1×1.5m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</si>
  <si>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瓷砖脱落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</si>
  <si>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，瓷砖脱落，面积为</t>
    </r>
    <r>
      <rPr>
        <sz val="11"/>
        <color theme="1"/>
        <rFont val="Times New Roman"/>
        <charset val="134"/>
      </rPr>
      <t>0.1×0.2m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×2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</si>
  <si>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，涂层脱落，面积为</t>
    </r>
    <r>
      <rPr>
        <sz val="11"/>
        <color theme="1"/>
        <rFont val="Times New Roman"/>
        <charset val="134"/>
      </rPr>
      <t>0.1×3m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</si>
  <si>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盖板陷落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</si>
  <si>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，左侧检修道盖板陷落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</si>
  <si>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，涂层脱落，面积为</t>
    </r>
    <r>
      <rPr>
        <sz val="11"/>
        <color theme="1"/>
        <rFont val="Times New Roman"/>
        <charset val="134"/>
      </rPr>
      <t>0.1×2.5m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</si>
  <si>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，施工缝渗水印迹，面积为</t>
    </r>
    <r>
      <rPr>
        <sz val="10.5"/>
        <color theme="1"/>
        <rFont val="Times New Roman"/>
        <charset val="134"/>
      </rPr>
      <t>0.5×6m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</si>
  <si>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，纵向裂缝，长度</t>
    </r>
    <r>
      <rPr>
        <sz val="10.5"/>
        <color theme="1"/>
        <rFont val="Times New Roman"/>
        <charset val="134"/>
      </rPr>
      <t>7.9m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</si>
  <si>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0.3m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</si>
  <si>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7.9m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</si>
  <si>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，左拱腰涂层脱落，面积为</t>
    </r>
    <r>
      <rPr>
        <sz val="11"/>
        <color theme="1"/>
        <rFont val="Times New Roman"/>
        <charset val="134"/>
      </rPr>
      <t>1.5×0.05m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</si>
  <si>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，涂层脱落，面积为</t>
    </r>
    <r>
      <rPr>
        <sz val="11"/>
        <color theme="1"/>
        <rFont val="Times New Roman"/>
        <charset val="134"/>
      </rPr>
      <t>0.1×0.3m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</si>
  <si>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，右拱腰涂层脱落，面积为</t>
    </r>
    <r>
      <rPr>
        <sz val="11"/>
        <color theme="1"/>
        <rFont val="Times New Roman"/>
        <charset val="134"/>
      </rPr>
      <t>1×0.05m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</si>
  <si>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6.5m</t>
    </r>
    <r>
      <rPr>
        <sz val="11"/>
        <color theme="1"/>
        <rFont val="宋体"/>
        <charset val="134"/>
      </rPr>
      <t>，右侧检修道盖板陷落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</si>
  <si>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8m</t>
    </r>
    <r>
      <rPr>
        <sz val="11"/>
        <color theme="1"/>
        <rFont val="宋体"/>
        <charset val="134"/>
      </rPr>
      <t>，左侧检修道盖板陷落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</si>
  <si>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，封缝料起皮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</si>
  <si>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3.5m</t>
    </r>
    <r>
      <rPr>
        <sz val="11"/>
        <color theme="1"/>
        <rFont val="宋体"/>
        <charset val="134"/>
      </rPr>
      <t>，行车道路面横向裂缝，长度为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宽度为</t>
    </r>
    <r>
      <rPr>
        <sz val="11"/>
        <color theme="1"/>
        <rFont val="Times New Roman"/>
        <charset val="134"/>
      </rPr>
      <t>2mm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</si>
  <si>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，涂层脱落，面积为</t>
    </r>
    <r>
      <rPr>
        <sz val="11"/>
        <color theme="1"/>
        <rFont val="Times New Roman"/>
        <charset val="134"/>
      </rPr>
      <t>0.05m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</si>
  <si>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，露筋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根，长度为</t>
    </r>
    <r>
      <rPr>
        <sz val="10.5"/>
        <color theme="1"/>
        <rFont val="Times New Roman"/>
        <charset val="134"/>
      </rPr>
      <t>0.6m</t>
    </r>
  </si>
  <si>
    <r>
      <rPr>
        <sz val="10.5"/>
        <color theme="1"/>
        <rFont val="宋体"/>
        <charset val="134"/>
      </rPr>
      <t>标志脱落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</si>
  <si>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，右侧墙轮廓标脱落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个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</si>
  <si>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6.5m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</si>
  <si>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，左拱腰涂层脱落，面积为</t>
    </r>
    <r>
      <rPr>
        <sz val="11"/>
        <color theme="1"/>
        <rFont val="Times New Roman"/>
        <charset val="134"/>
      </rPr>
      <t>1×0.1m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</si>
  <si>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6.5m</t>
    </r>
    <r>
      <rPr>
        <sz val="10.5"/>
        <color theme="1"/>
        <rFont val="宋体"/>
        <charset val="134"/>
      </rPr>
      <t>，露筋，长度为</t>
    </r>
    <r>
      <rPr>
        <sz val="10.5"/>
        <color theme="1"/>
        <rFont val="Times New Roman"/>
        <charset val="134"/>
      </rPr>
      <t>0.3m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</si>
  <si>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6m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</si>
  <si>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6.5m</t>
    </r>
    <r>
      <rPr>
        <sz val="10.5"/>
        <color theme="1"/>
        <rFont val="宋体"/>
        <charset val="134"/>
      </rPr>
      <t>，露筋，长度为</t>
    </r>
    <r>
      <rPr>
        <sz val="10.5"/>
        <color theme="1"/>
        <rFont val="Times New Roman"/>
        <charset val="134"/>
      </rPr>
      <t>0.5m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</si>
  <si>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3m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</si>
  <si>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，左拱腰涂层脱落，面积为</t>
    </r>
    <r>
      <rPr>
        <sz val="11"/>
        <color theme="1"/>
        <rFont val="Times New Roman"/>
        <charset val="134"/>
      </rPr>
      <t>2.5×0.05m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</si>
  <si>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，超车道路面横向裂缝，长度为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1mm</t>
    </r>
  </si>
  <si>
    <r>
      <rPr>
        <sz val="10.5"/>
        <color theme="1"/>
        <rFont val="宋体"/>
        <charset val="134"/>
      </rPr>
      <t>止水带外露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</si>
  <si>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，止水带外露，面积为</t>
    </r>
    <r>
      <rPr>
        <sz val="10.5"/>
        <color theme="1"/>
        <rFont val="Times New Roman"/>
        <charset val="134"/>
      </rPr>
      <t>0.1×0.4m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</si>
  <si>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</si>
  <si>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0.5"/>
        <color rgb="FFFF0000"/>
        <rFont val="Times New Roman"/>
        <charset val="134"/>
      </rPr>
      <t>38~42</t>
    </r>
    <r>
      <rPr>
        <sz val="10.5"/>
        <color rgb="FFFF0000"/>
        <rFont val="宋体"/>
        <charset val="134"/>
      </rPr>
      <t>板衬砌，距</t>
    </r>
    <r>
      <rPr>
        <sz val="10.5"/>
        <color rgb="FFFF0000"/>
        <rFont val="Times New Roman"/>
        <charset val="134"/>
      </rPr>
      <t>38</t>
    </r>
    <r>
      <rPr>
        <sz val="10.5"/>
        <color rgb="FFFF0000"/>
        <rFont val="宋体"/>
        <charset val="134"/>
      </rPr>
      <t>板板端</t>
    </r>
    <r>
      <rPr>
        <sz val="10.5"/>
        <color rgb="FFFF0000"/>
        <rFont val="Times New Roman"/>
        <charset val="134"/>
      </rPr>
      <t>0m</t>
    </r>
    <r>
      <rPr>
        <sz val="10.5"/>
        <color rgb="FFFF0000"/>
        <rFont val="宋体"/>
        <charset val="134"/>
      </rPr>
      <t>，距拱顶中心线</t>
    </r>
    <r>
      <rPr>
        <sz val="10.5"/>
        <color rgb="FFFF0000"/>
        <rFont val="Times New Roman"/>
        <charset val="134"/>
      </rPr>
      <t>2m</t>
    </r>
    <r>
      <rPr>
        <sz val="10.5"/>
        <color rgb="FFFF0000"/>
        <rFont val="宋体"/>
        <charset val="134"/>
      </rPr>
      <t>，纵向裂缝，长度为</t>
    </r>
    <r>
      <rPr>
        <sz val="10.5"/>
        <color rgb="FFFF0000"/>
        <rFont val="Times New Roman"/>
        <charset val="134"/>
      </rPr>
      <t>32m</t>
    </r>
    <r>
      <rPr>
        <sz val="10.5"/>
        <color rgb="FFFF0000"/>
        <rFont val="宋体"/>
        <charset val="134"/>
      </rPr>
      <t>，封缝料起皮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</si>
  <si>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0.5m</t>
    </r>
    <r>
      <rPr>
        <sz val="11"/>
        <color theme="1"/>
        <rFont val="宋体"/>
        <charset val="134"/>
      </rPr>
      <t>，右侧检修道盖板陷落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</si>
  <si>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3m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</si>
  <si>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8m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</si>
  <si>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3.5m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3mm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</si>
  <si>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，拱顶涂层脱落，面积为</t>
    </r>
    <r>
      <rPr>
        <sz val="11"/>
        <color theme="1"/>
        <rFont val="Times New Roman"/>
        <charset val="134"/>
      </rPr>
      <t>1×0.05m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</si>
  <si>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2.5m</t>
    </r>
    <r>
      <rPr>
        <sz val="11"/>
        <color theme="1"/>
        <rFont val="宋体"/>
        <charset val="134"/>
      </rPr>
      <t>，超车道路面横向裂缝，长度为</t>
    </r>
    <r>
      <rPr>
        <sz val="11"/>
        <color theme="1"/>
        <rFont val="Times New Roman"/>
        <charset val="134"/>
      </rPr>
      <t>3.75m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</si>
  <si>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1"/>
        <color theme="1"/>
        <rFont val="宋体"/>
        <charset val="134"/>
      </rPr>
      <t>盖板未归位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</si>
  <si>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，左侧检修道盖板未归位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</si>
  <si>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4m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</si>
  <si>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5m</t>
    </r>
    <r>
      <rPr>
        <sz val="11"/>
        <color theme="1"/>
        <rFont val="宋体"/>
        <charset val="134"/>
      </rPr>
      <t>，左侧检修道盖板缺角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</si>
  <si>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</si>
  <si>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7.9m</t>
    </r>
    <r>
      <rPr>
        <sz val="10.5"/>
        <color theme="1"/>
        <rFont val="宋体"/>
        <charset val="134"/>
      </rPr>
      <t>，封缝料起皮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</si>
  <si>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，涂层脱落，面积为</t>
    </r>
    <r>
      <rPr>
        <sz val="11"/>
        <color theme="1"/>
        <rFont val="Times New Roman"/>
        <charset val="134"/>
      </rPr>
      <t>0.2×0.3m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</si>
  <si>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8.1m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</si>
  <si>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，止水带外露，面积为</t>
    </r>
    <r>
      <rPr>
        <sz val="10.5"/>
        <color theme="1"/>
        <rFont val="Times New Roman"/>
        <charset val="134"/>
      </rPr>
      <t>0.1×0.5m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</si>
  <si>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，涂层脱落，面积为</t>
    </r>
    <r>
      <rPr>
        <sz val="11"/>
        <color theme="1"/>
        <rFont val="Times New Roman"/>
        <charset val="134"/>
      </rPr>
      <t>1.2×1m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</si>
  <si>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7m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</si>
  <si>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，左拱腰混凝土破损，面积为</t>
    </r>
    <r>
      <rPr>
        <sz val="11"/>
        <color theme="1"/>
        <rFont val="Times New Roman"/>
        <charset val="134"/>
      </rPr>
      <t>0.1×0.2m</t>
    </r>
    <r>
      <rPr>
        <vertAlign val="superscript"/>
        <sz val="11"/>
        <color theme="1"/>
        <rFont val="Times New Roman"/>
        <charset val="134"/>
      </rPr>
      <t>2</t>
    </r>
  </si>
  <si>
    <t>侧壁镶面破损</t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</si>
  <si>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2m</t>
    </r>
    <r>
      <rPr>
        <sz val="11"/>
        <color theme="1"/>
        <rFont val="宋体"/>
        <charset val="134"/>
      </rPr>
      <t>，右侧检修道侧壁镶面破损，长度为</t>
    </r>
    <r>
      <rPr>
        <sz val="11"/>
        <color theme="1"/>
        <rFont val="Times New Roman"/>
        <charset val="134"/>
      </rPr>
      <t>0.5m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</si>
  <si>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7.9m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</si>
  <si>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1mm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</si>
  <si>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，左拱腰涂层脱落，面积为</t>
    </r>
    <r>
      <rPr>
        <sz val="11"/>
        <color theme="1"/>
        <rFont val="Times New Roman"/>
        <charset val="134"/>
      </rPr>
      <t>0.05×0.2m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</si>
  <si>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7m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3mm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</si>
  <si>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</si>
  <si>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3mm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</si>
  <si>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，涂层脱落，面积为</t>
    </r>
    <r>
      <rPr>
        <sz val="11"/>
        <color theme="1"/>
        <rFont val="Times New Roman"/>
        <charset val="134"/>
      </rPr>
      <t>0.1×0.2m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</si>
  <si>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，行车道路面混凝土破损，修补后仍局部轻微沉陷，面积为</t>
    </r>
    <r>
      <rPr>
        <sz val="11"/>
        <color theme="1"/>
        <rFont val="Times New Roman"/>
        <charset val="134"/>
      </rPr>
      <t xml:space="preserve"> 0.4×1m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</si>
  <si>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2.5m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3mm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</si>
  <si>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6m</t>
    </r>
    <r>
      <rPr>
        <sz val="11"/>
        <color theme="1"/>
        <rFont val="宋体"/>
        <charset val="134"/>
      </rPr>
      <t>，路面横向裂缝，长度为</t>
    </r>
    <r>
      <rPr>
        <sz val="11"/>
        <color theme="1"/>
        <rFont val="Times New Roman"/>
        <charset val="134"/>
      </rPr>
      <t>7.5m</t>
    </r>
    <r>
      <rPr>
        <sz val="11"/>
        <color theme="1"/>
        <rFont val="宋体"/>
        <charset val="134"/>
      </rPr>
      <t>，宽度为</t>
    </r>
    <r>
      <rPr>
        <sz val="11"/>
        <color theme="1"/>
        <rFont val="Times New Roman"/>
        <charset val="134"/>
      </rPr>
      <t>2mm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</si>
  <si>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0.15m</t>
    </r>
    <r>
      <rPr>
        <vertAlign val="superscript"/>
        <sz val="10.5"/>
        <color theme="1"/>
        <rFont val="Times New Roman"/>
        <charset val="134"/>
      </rPr>
      <t>2</t>
    </r>
  </si>
  <si>
    <t>81~93</t>
  </si>
  <si>
    <r>
      <rPr>
        <sz val="11"/>
        <color theme="1"/>
        <rFont val="宋体"/>
        <charset val="134"/>
      </rPr>
      <t>全隧道排水设施完好，排水功能正常</t>
    </r>
  </si>
  <si>
    <r>
      <rPr>
        <sz val="10.5"/>
        <color theme="1"/>
        <rFont val="宋体"/>
        <charset val="134"/>
      </rPr>
      <t>堵塞</t>
    </r>
  </si>
  <si>
    <r>
      <rPr>
        <sz val="11"/>
        <color rgb="FF000000"/>
        <rFont val="宋体"/>
        <charset val="134"/>
      </rPr>
      <t>入口洞顶截水沟局部完全堵塞</t>
    </r>
  </si>
  <si>
    <r>
      <rPr>
        <sz val="10.5"/>
        <color theme="1"/>
        <rFont val="宋体"/>
        <charset val="134"/>
      </rPr>
      <t>土石外露</t>
    </r>
  </si>
  <si>
    <r>
      <rPr>
        <sz val="11"/>
        <color rgb="FF000000"/>
        <rFont val="宋体"/>
        <charset val="134"/>
      </rPr>
      <t>入口洞顶仰坡土石外露，存在滑落风险</t>
    </r>
  </si>
  <si>
    <r>
      <rPr>
        <sz val="10.5"/>
        <color theme="1"/>
        <rFont val="宋体"/>
        <charset val="134"/>
      </rPr>
      <t>入洞口右侧排水沟堵塞，长度为</t>
    </r>
    <r>
      <rPr>
        <sz val="10.5"/>
        <color theme="1"/>
        <rFont val="Times New Roman"/>
        <charset val="134"/>
      </rPr>
      <t>3m</t>
    </r>
  </si>
  <si>
    <r>
      <rPr>
        <sz val="10.5"/>
        <color theme="1"/>
        <rFont val="宋体"/>
        <charset val="134"/>
      </rPr>
      <t>入洞口右侧山体滑坡初步迹象，面积约</t>
    </r>
    <r>
      <rPr>
        <sz val="10.5"/>
        <color theme="1"/>
        <rFont val="Times New Roman"/>
        <charset val="134"/>
      </rPr>
      <t>150m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</si>
  <si>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出洞口仰坡土石滑落，面积约</t>
    </r>
    <r>
      <rPr>
        <sz val="10.5"/>
        <color theme="1"/>
        <rFont val="Times New Roman"/>
        <charset val="134"/>
      </rPr>
      <t>20m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，仰坡挡土墙泄水孔堵塞</t>
    </r>
  </si>
  <si>
    <r>
      <rPr>
        <sz val="10.5"/>
        <color theme="1"/>
        <rFont val="宋体"/>
        <charset val="134"/>
      </rPr>
      <t>入洞口洞门端墙渗水印迹，面积为</t>
    </r>
    <r>
      <rPr>
        <sz val="10.5"/>
        <color theme="1"/>
        <rFont val="Times New Roman"/>
        <charset val="134"/>
      </rPr>
      <t>20m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</si>
  <si>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，有</t>
    </r>
    <r>
      <rPr>
        <sz val="10.5"/>
        <color theme="1"/>
        <rFont val="Times New Roman"/>
        <charset val="134"/>
      </rPr>
      <t>3</t>
    </r>
    <r>
      <rPr>
        <sz val="10.5"/>
        <color theme="1"/>
        <rFont val="宋体"/>
        <charset val="134"/>
      </rPr>
      <t>处渗水印迹，累计面积约</t>
    </r>
    <r>
      <rPr>
        <sz val="10.5"/>
        <color theme="1"/>
        <rFont val="Times New Roman"/>
        <charset val="134"/>
      </rPr>
      <t>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</si>
  <si>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，渗水印迹，面积约</t>
    </r>
    <r>
      <rPr>
        <sz val="10.5"/>
        <color theme="1"/>
        <rFont val="Times New Roman"/>
        <charset val="134"/>
      </rPr>
      <t>1m</t>
    </r>
    <r>
      <rPr>
        <vertAlign val="superscript"/>
        <sz val="10.5"/>
        <color theme="1"/>
        <rFont val="Times New Roman"/>
        <charset val="134"/>
      </rPr>
      <t>2</t>
    </r>
  </si>
  <si>
    <t>距板端0m，右侧沉砂井淤堵，滤水篦子缺失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</si>
  <si>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，右拱腰环向裂缝，长度为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</si>
  <si>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，施工缝渗水印迹，面积约</t>
    </r>
    <r>
      <rPr>
        <sz val="10.5"/>
        <color theme="1"/>
        <rFont val="Times New Roman"/>
        <charset val="134"/>
      </rPr>
      <t>4m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</si>
  <si>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8.9m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</si>
  <si>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3</t>
    </r>
    <r>
      <rPr>
        <sz val="10.5"/>
        <color theme="1"/>
        <rFont val="宋体"/>
        <charset val="134"/>
      </rPr>
      <t>处渗水印迹，累计面积约</t>
    </r>
    <r>
      <rPr>
        <sz val="10.5"/>
        <color theme="1"/>
        <rFont val="Times New Roman"/>
        <charset val="134"/>
      </rPr>
      <t>1.5m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</si>
  <si>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左侧墙左拱腰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</si>
  <si>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，施工缝渗水印迹，面积约</t>
    </r>
    <r>
      <rPr>
        <sz val="10.5"/>
        <color theme="1"/>
        <rFont val="Times New Roman"/>
        <charset val="134"/>
      </rPr>
      <t>0.3×2m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</si>
  <si>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0.03m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</si>
  <si>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0.1m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</si>
  <si>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0.05×1.4m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</si>
  <si>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标志松动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</si>
  <si>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，右侧边墙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个轮廓标松动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</si>
  <si>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</si>
  <si>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</si>
  <si>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0.8mm</t>
    </r>
    <r>
      <rPr>
        <sz val="10.5"/>
        <color theme="1"/>
        <rFont val="宋体"/>
        <charset val="134"/>
      </rPr>
      <t>，已修补</t>
    </r>
  </si>
  <si>
    <t>距板端5m，左侧边墙环向裂缝，长度为1.5m，宽度为0.04mm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</si>
  <si>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3.0m</t>
    </r>
    <r>
      <rPr>
        <sz val="10.5"/>
        <color theme="1"/>
        <rFont val="宋体"/>
        <charset val="134"/>
      </rPr>
      <t>，右侧边墙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个轮廓标脱落</t>
    </r>
  </si>
  <si>
    <t>距板端3m，右侧侧墙轮廓标缺失1个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</si>
  <si>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0.05m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</si>
  <si>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</si>
  <si>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1.0m</t>
    </r>
    <r>
      <rPr>
        <sz val="10.5"/>
        <color theme="1"/>
        <rFont val="宋体"/>
        <charset val="134"/>
      </rPr>
      <t>，右侧边墙轮廓标脱落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个</t>
    </r>
  </si>
  <si>
    <t>距板端7m，右侧检修道侧壁破损，长度为2m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</si>
  <si>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</si>
  <si>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，瓷砖脱落，面积为</t>
    </r>
    <r>
      <rPr>
        <sz val="10.5"/>
        <color theme="1"/>
        <rFont val="Times New Roman"/>
        <charset val="134"/>
      </rPr>
      <t>0.015m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</si>
  <si>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</si>
  <si>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，左侧边墙瓷砖脱落</t>
    </r>
    <r>
      <rPr>
        <sz val="10.5"/>
        <color theme="1"/>
        <rFont val="Times New Roman"/>
        <charset val="134"/>
      </rPr>
      <t>3</t>
    </r>
    <r>
      <rPr>
        <sz val="10.5"/>
        <color theme="1"/>
        <rFont val="宋体"/>
        <charset val="134"/>
      </rPr>
      <t>块，面积为</t>
    </r>
    <r>
      <rPr>
        <sz val="10.5"/>
        <color theme="1"/>
        <rFont val="Times New Roman"/>
        <charset val="134"/>
      </rPr>
      <t>0.15×0.10m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Times New Roman"/>
        <charset val="134"/>
      </rPr>
      <t>×3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</si>
  <si>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031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</si>
  <si>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，瓷砖脱落，面积为</t>
    </r>
    <r>
      <rPr>
        <sz val="10.5"/>
        <color theme="1"/>
        <rFont val="Times New Roman"/>
        <charset val="134"/>
      </rPr>
      <t>0.09m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，修补不良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</si>
  <si>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</si>
  <si>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距端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，渗水印迹，面积为</t>
    </r>
    <r>
      <rPr>
        <sz val="10.5"/>
        <color theme="1"/>
        <rFont val="Times New Roman"/>
        <charset val="134"/>
      </rPr>
      <t>0.06m</t>
    </r>
    <r>
      <rPr>
        <sz val="10.5"/>
        <color theme="1"/>
        <rFont val="宋体"/>
        <charset val="134"/>
      </rPr>
      <t>，已修补</t>
    </r>
  </si>
  <si>
    <r>
      <rPr>
        <sz val="10.5"/>
        <color rgb="FFFF0000"/>
        <rFont val="宋体"/>
        <charset val="134"/>
      </rPr>
      <t>瓷砖剥落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</si>
  <si>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</t>
    </r>
    <r>
      <rPr>
        <sz val="10.5"/>
        <color rgb="FFFF0000"/>
        <rFont val="宋体"/>
        <charset val="134"/>
      </rPr>
      <t>瓷砖剥落</t>
    </r>
    <r>
      <rPr>
        <sz val="10.5"/>
        <color theme="1"/>
        <rFont val="宋体"/>
        <charset val="134"/>
      </rPr>
      <t>，面积为</t>
    </r>
    <r>
      <rPr>
        <sz val="10.5"/>
        <color theme="1"/>
        <rFont val="Times New Roman"/>
        <charset val="134"/>
      </rPr>
      <t>0.25m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</si>
  <si>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，右侧边墙瓷砖脱落</t>
    </r>
    <r>
      <rPr>
        <sz val="10.5"/>
        <color theme="1"/>
        <rFont val="Times New Roman"/>
        <charset val="134"/>
      </rPr>
      <t>6</t>
    </r>
    <r>
      <rPr>
        <sz val="10.5"/>
        <color theme="1"/>
        <rFont val="宋体"/>
        <charset val="134"/>
      </rPr>
      <t>块，面积为</t>
    </r>
    <r>
      <rPr>
        <sz val="10.5"/>
        <color theme="1"/>
        <rFont val="Times New Roman"/>
        <charset val="134"/>
      </rPr>
      <t>1×0.10m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</si>
  <si>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，斜向裂缝，长度为</t>
    </r>
    <r>
      <rPr>
        <sz val="10.5"/>
        <color rgb="FFFF0000"/>
        <rFont val="Times New Roman"/>
        <charset val="134"/>
      </rPr>
      <t>10m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0.50mm</t>
    </r>
    <r>
      <rPr>
        <sz val="10.5"/>
        <color theme="1"/>
        <rFont val="宋体"/>
        <charset val="134"/>
      </rPr>
      <t>，伴渗水印迹，面积为</t>
    </r>
    <r>
      <rPr>
        <sz val="10.5"/>
        <color theme="1"/>
        <rFont val="Times New Roman"/>
        <charset val="134"/>
      </rPr>
      <t>0.1×1m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，</t>
    </r>
    <r>
      <rPr>
        <sz val="10.5"/>
        <color rgb="FFFF0000"/>
        <rFont val="宋体"/>
        <charset val="134"/>
      </rPr>
      <t>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</si>
  <si>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，右侧边墙瓷砖脱落</t>
    </r>
    <r>
      <rPr>
        <sz val="10.5"/>
        <color theme="1"/>
        <rFont val="Times New Roman"/>
        <charset val="134"/>
      </rPr>
      <t>3</t>
    </r>
    <r>
      <rPr>
        <sz val="10.5"/>
        <color theme="1"/>
        <rFont val="宋体"/>
        <charset val="134"/>
      </rPr>
      <t>块，面积为</t>
    </r>
    <r>
      <rPr>
        <sz val="10.5"/>
        <color theme="1"/>
        <rFont val="Times New Roman"/>
        <charset val="134"/>
      </rPr>
      <t>0.15×0.10m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Times New Roman"/>
        <charset val="134"/>
      </rPr>
      <t>×5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</si>
  <si>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，左侧边墙瓷砖脱落</t>
    </r>
    <r>
      <rPr>
        <sz val="10.5"/>
        <color theme="1"/>
        <rFont val="Times New Roman"/>
        <charset val="134"/>
      </rPr>
      <t>9</t>
    </r>
    <r>
      <rPr>
        <sz val="10.5"/>
        <color theme="1"/>
        <rFont val="宋体"/>
        <charset val="134"/>
      </rPr>
      <t>块，面积为</t>
    </r>
    <r>
      <rPr>
        <sz val="10.5"/>
        <color theme="1"/>
        <rFont val="Times New Roman"/>
        <charset val="134"/>
      </rPr>
      <t>0.15×0.10m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Times New Roman"/>
        <charset val="134"/>
      </rPr>
      <t>×9</t>
    </r>
  </si>
  <si>
    <r>
      <rPr>
        <sz val="10.5"/>
        <color theme="1"/>
        <rFont val="宋体"/>
        <charset val="134"/>
      </rPr>
      <t>距端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，渗水印迹，面积约</t>
    </r>
    <r>
      <rPr>
        <sz val="10.5"/>
        <color theme="1"/>
        <rFont val="Times New Roman"/>
        <charset val="134"/>
      </rPr>
      <t>0.08m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</si>
  <si>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，瓷砖脱落，面积为</t>
    </r>
    <r>
      <rPr>
        <sz val="10.5"/>
        <color theme="1"/>
        <rFont val="Times New Roman"/>
        <charset val="134"/>
      </rPr>
      <t>0.1×0.2m</t>
    </r>
    <r>
      <rPr>
        <vertAlign val="superscript"/>
        <sz val="10.5"/>
        <color theme="1"/>
        <rFont val="Times New Roman"/>
        <charset val="134"/>
      </rPr>
      <t>2</t>
    </r>
  </si>
  <si>
    <t>距板端7m，左侧检修道盖板陷落1块</t>
  </si>
  <si>
    <t>风机结构及预埋件锈蚀，氧化皮已因为锈蚀而剥落，但在正常视力观察下仅见到少量点蚀，尚未影响行车安全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</si>
  <si>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，瓷砖脱落，面积为</t>
    </r>
    <r>
      <rPr>
        <sz val="10.5"/>
        <color theme="1"/>
        <rFont val="Times New Roman"/>
        <charset val="134"/>
      </rPr>
      <t>0.03m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</si>
  <si>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3.5m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  <r>
      <rPr>
        <sz val="10.5"/>
        <color theme="1"/>
        <rFont val="宋体"/>
        <charset val="134"/>
      </rPr>
      <t>，</t>
    </r>
    <r>
      <rPr>
        <sz val="10.5"/>
        <color rgb="FFFF0000"/>
        <rFont val="宋体"/>
        <charset val="134"/>
      </rPr>
      <t>月牙状</t>
    </r>
  </si>
  <si>
    <r>
      <rPr>
        <sz val="10.5"/>
        <color theme="1"/>
        <rFont val="宋体"/>
        <charset val="134"/>
      </rPr>
      <t>距端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，施工缝渗水印迹，面积约</t>
    </r>
    <r>
      <rPr>
        <sz val="10.5"/>
        <color theme="1"/>
        <rFont val="Times New Roman"/>
        <charset val="134"/>
      </rPr>
      <t>0.2m</t>
    </r>
    <r>
      <rPr>
        <vertAlign val="superscript"/>
        <sz val="10.5"/>
        <color theme="1"/>
        <rFont val="Times New Roman"/>
        <charset val="134"/>
      </rPr>
      <t>2</t>
    </r>
  </si>
  <si>
    <t>距板端6m，左侧边墙轮廓标脱落1个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</si>
  <si>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8.1m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0.4mm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</si>
  <si>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左右拱腰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</si>
  <si>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，有</t>
    </r>
    <r>
      <rPr>
        <sz val="10.5"/>
        <color theme="1"/>
        <rFont val="Times New Roman"/>
        <charset val="134"/>
      </rPr>
      <t>3</t>
    </r>
    <r>
      <rPr>
        <sz val="10.5"/>
        <color theme="1"/>
        <rFont val="宋体"/>
        <charset val="134"/>
      </rPr>
      <t>处露筋，累计长度约</t>
    </r>
    <r>
      <rPr>
        <sz val="10.5"/>
        <color theme="1"/>
        <rFont val="Times New Roman"/>
        <charset val="134"/>
      </rPr>
      <t>2m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</si>
  <si>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0.10×0.30m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</si>
  <si>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，瓷砖脱落，面积为</t>
    </r>
    <r>
      <rPr>
        <sz val="10.5"/>
        <color theme="1"/>
        <rFont val="Times New Roman"/>
        <charset val="134"/>
      </rPr>
      <t>0.15×0.3m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</si>
  <si>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1.0m</t>
    </r>
    <r>
      <rPr>
        <sz val="10.5"/>
        <color theme="1"/>
        <rFont val="宋体"/>
        <charset val="134"/>
      </rPr>
      <t>，右侧边墙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个轮廓标损坏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</si>
  <si>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0.15m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</si>
  <si>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4.8m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</si>
  <si>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7.3m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0.8mm</t>
    </r>
    <r>
      <rPr>
        <sz val="10.5"/>
        <color theme="1"/>
        <rFont val="宋体"/>
        <charset val="134"/>
      </rPr>
      <t>，已修补</t>
    </r>
  </si>
  <si>
    <t>距板端4m，左侧检修道盖板陷落1块</t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</si>
  <si>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077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17m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0.6mm</t>
    </r>
    <r>
      <rPr>
        <sz val="10.5"/>
        <color theme="1"/>
        <rFont val="宋体"/>
        <charset val="134"/>
      </rPr>
      <t>，封缝料起皮</t>
    </r>
  </si>
  <si>
    <t>距板端3m，右侧沉砂井滤水篦子缺失</t>
  </si>
  <si>
    <r>
      <rPr>
        <sz val="10.5"/>
        <color theme="1"/>
        <rFont val="宋体"/>
        <charset val="134"/>
      </rPr>
      <t>距端</t>
    </r>
    <r>
      <rPr>
        <sz val="10.5"/>
        <color theme="1"/>
        <rFont val="Times New Roman"/>
        <charset val="134"/>
      </rPr>
      <t>5.5m</t>
    </r>
    <r>
      <rPr>
        <sz val="10.5"/>
        <color theme="1"/>
        <rFont val="宋体"/>
        <charset val="134"/>
      </rPr>
      <t>，渗水印迹，面积约</t>
    </r>
    <r>
      <rPr>
        <sz val="10.5"/>
        <color theme="1"/>
        <rFont val="Times New Roman"/>
        <charset val="134"/>
      </rPr>
      <t>1.2m</t>
    </r>
    <r>
      <rPr>
        <vertAlign val="superscript"/>
        <sz val="10.5"/>
        <color theme="1"/>
        <rFont val="Times New Roman"/>
        <charset val="134"/>
      </rPr>
      <t>2</t>
    </r>
  </si>
  <si>
    <t>距板端6m，左侧检修道侧壁轮廓标脱落1个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</si>
  <si>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0.2m</t>
    </r>
    <r>
      <rPr>
        <vertAlign val="superscript"/>
        <sz val="10.5"/>
        <color theme="1"/>
        <rFont val="Times New Roman"/>
        <charset val="134"/>
      </rPr>
      <t>2</t>
    </r>
  </si>
  <si>
    <t>距板端0.5m，右侧侧墙轮廓标缺失1个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</si>
  <si>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0.3m</t>
    </r>
    <r>
      <rPr>
        <vertAlign val="superscript"/>
        <sz val="10.5"/>
        <color theme="1"/>
        <rFont val="Times New Roman"/>
        <charset val="134"/>
      </rPr>
      <t>2</t>
    </r>
  </si>
  <si>
    <t>距板端8m，右侧检修道侧壁轮廓标缺失1个</t>
  </si>
  <si>
    <t>距板端1.5m，右侧检修道盖板破损1块</t>
  </si>
  <si>
    <t>距板端3m，右侧检修道侧壁轮廓标缺失1个</t>
  </si>
  <si>
    <r>
      <rPr>
        <sz val="10.5"/>
        <color theme="1"/>
        <rFont val="宋体"/>
        <charset val="134"/>
      </rPr>
      <t>左拱腰</t>
    </r>
    <r>
      <rPr>
        <sz val="10.5"/>
        <color theme="1"/>
        <rFont val="Times New Roman"/>
        <charset val="134"/>
      </rPr>
      <t>/</t>
    </r>
    <r>
      <rPr>
        <sz val="10.5"/>
        <color theme="1"/>
        <rFont val="宋体"/>
        <charset val="134"/>
      </rPr>
      <t>右拱腰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</si>
  <si>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1.5m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</si>
  <si>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1m</t>
    </r>
    <r>
      <rPr>
        <sz val="11"/>
        <color theme="1"/>
        <rFont val="宋体"/>
        <charset val="134"/>
      </rPr>
      <t>，左侧边墙渗水印迹，面积约</t>
    </r>
    <r>
      <rPr>
        <sz val="11"/>
        <color theme="1"/>
        <rFont val="Times New Roman"/>
        <charset val="134"/>
      </rPr>
      <t>3m</t>
    </r>
    <r>
      <rPr>
        <vertAlign val="superscript"/>
        <sz val="11"/>
        <color theme="1"/>
        <rFont val="Times New Roman"/>
        <charset val="134"/>
      </rPr>
      <t>2</t>
    </r>
  </si>
  <si>
    <t>麻面露筋</t>
  </si>
  <si>
    <r>
      <rPr>
        <sz val="10.5"/>
        <color indexed="8"/>
        <rFont val="宋体"/>
        <charset val="134"/>
      </rPr>
      <t>出洞口洞门左侧存在麻面露筋现象，面积为</t>
    </r>
    <r>
      <rPr>
        <sz val="10.5"/>
        <color indexed="8"/>
        <rFont val="Times New Roman"/>
        <charset val="134"/>
      </rPr>
      <t>4m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</si>
  <si>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1"/>
        <color indexed="8"/>
        <rFont val="宋体"/>
        <charset val="134"/>
      </rPr>
      <t>入口侧洞顶截水沟局部砌石损坏，长度约</t>
    </r>
    <r>
      <rPr>
        <sz val="11"/>
        <color indexed="8"/>
        <rFont val="Times New Roman"/>
        <charset val="134"/>
      </rPr>
      <t>1m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</si>
  <si>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，右侧墙斜向裂缝，长度为</t>
    </r>
    <r>
      <rPr>
        <sz val="10.5"/>
        <color indexed="8"/>
        <rFont val="Times New Roman"/>
        <charset val="134"/>
      </rPr>
      <t>1.5m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0.20mm</t>
    </r>
  </si>
  <si>
    <r>
      <rPr>
        <sz val="10.5"/>
        <color indexed="8"/>
        <rFont val="Times New Roman"/>
        <charset val="134"/>
      </rPr>
      <t>1-2</t>
    </r>
    <r>
      <rPr>
        <sz val="10.5"/>
        <color indexed="8"/>
        <rFont val="宋体"/>
        <charset val="134"/>
      </rPr>
      <t>号板，距板端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，路面中央标线局部磨损，长度约</t>
    </r>
    <r>
      <rPr>
        <sz val="10.5"/>
        <color indexed="8"/>
        <rFont val="Times New Roman"/>
        <charset val="134"/>
      </rPr>
      <t>15m</t>
    </r>
  </si>
  <si>
    <r>
      <rPr>
        <sz val="11"/>
        <color indexed="8"/>
        <rFont val="Times New Roman"/>
        <charset val="134"/>
      </rPr>
      <t>1-6</t>
    </r>
    <r>
      <rPr>
        <sz val="11"/>
        <color indexed="8"/>
        <rFont val="宋体"/>
        <charset val="134"/>
      </rPr>
      <t>号板范围内，距板端</t>
    </r>
    <r>
      <rPr>
        <sz val="11"/>
        <color indexed="8"/>
        <rFont val="Times New Roman"/>
        <charset val="134"/>
      </rPr>
      <t xml:space="preserve"> 0m</t>
    </r>
    <r>
      <rPr>
        <sz val="11"/>
        <color indexed="8"/>
        <rFont val="宋体"/>
        <charset val="134"/>
      </rPr>
      <t>，行车道路面剥蚀露骨，局部坑槽，面积约</t>
    </r>
    <r>
      <rPr>
        <sz val="11"/>
        <color indexed="8"/>
        <rFont val="Times New Roman"/>
        <charset val="134"/>
      </rPr>
      <t>3×50m</t>
    </r>
    <r>
      <rPr>
        <vertAlign val="superscript"/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，深度为</t>
    </r>
    <r>
      <rPr>
        <sz val="11"/>
        <color indexed="8"/>
        <rFont val="Times New Roman"/>
        <charset val="134"/>
      </rPr>
      <t>15mm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</si>
  <si>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3m</t>
    </r>
    <r>
      <rPr>
        <sz val="10.5"/>
        <rFont val="宋体"/>
        <charset val="134"/>
      </rPr>
      <t>，左侧墙一条斜向裂缝，长度为</t>
    </r>
    <r>
      <rPr>
        <sz val="10.5"/>
        <rFont val="Times New Roman"/>
        <charset val="134"/>
      </rPr>
      <t>2m</t>
    </r>
    <r>
      <rPr>
        <sz val="10.5"/>
        <rFont val="宋体"/>
        <charset val="134"/>
      </rPr>
      <t>，宽度为</t>
    </r>
    <r>
      <rPr>
        <sz val="10.5"/>
        <rFont val="Times New Roman"/>
        <charset val="134"/>
      </rPr>
      <t>0.20mm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</si>
  <si>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，渗水印迹</t>
    </r>
    <r>
      <rPr>
        <sz val="10.5"/>
        <color indexed="8"/>
        <rFont val="Times New Roman"/>
        <charset val="134"/>
      </rPr>
      <t>11</t>
    </r>
    <r>
      <rPr>
        <sz val="10.5"/>
        <color indexed="8"/>
        <rFont val="宋体"/>
        <charset val="134"/>
      </rPr>
      <t>处，累计面积为</t>
    </r>
    <r>
      <rPr>
        <sz val="10.5"/>
        <color indexed="8"/>
        <rFont val="Times New Roman"/>
        <charset val="134"/>
      </rPr>
      <t>0.1m</t>
    </r>
    <r>
      <rPr>
        <vertAlign val="superscript"/>
        <sz val="10.5"/>
        <color indexed="8"/>
        <rFont val="Times New Roman"/>
        <charset val="134"/>
      </rPr>
      <t>2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</si>
  <si>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>0.3×0.4m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</si>
  <si>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3m</t>
    </r>
    <r>
      <rPr>
        <sz val="10.5"/>
        <rFont val="宋体"/>
        <charset val="134"/>
      </rPr>
      <t>，左侧墙一条环向裂缝，长度为</t>
    </r>
    <r>
      <rPr>
        <sz val="10.5"/>
        <rFont val="Times New Roman"/>
        <charset val="134"/>
      </rPr>
      <t>2.5m</t>
    </r>
    <r>
      <rPr>
        <sz val="10.5"/>
        <rFont val="宋体"/>
        <charset val="134"/>
      </rPr>
      <t>，宽度为</t>
    </r>
    <r>
      <rPr>
        <sz val="10.5"/>
        <rFont val="Times New Roman"/>
        <charset val="134"/>
      </rPr>
      <t>0.06mm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</si>
  <si>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2.5m</t>
    </r>
    <r>
      <rPr>
        <sz val="11"/>
        <color indexed="8"/>
        <rFont val="宋体"/>
        <charset val="134"/>
      </rPr>
      <t>，行车道路面凹陷，面积约</t>
    </r>
    <r>
      <rPr>
        <sz val="11"/>
        <color indexed="8"/>
        <rFont val="Times New Roman"/>
        <charset val="134"/>
      </rPr>
      <t>0.6×0.3m</t>
    </r>
    <r>
      <rPr>
        <vertAlign val="superscript"/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，深度为</t>
    </r>
    <r>
      <rPr>
        <sz val="11"/>
        <color indexed="8"/>
        <rFont val="Times New Roman"/>
        <charset val="134"/>
      </rPr>
      <t>15mm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</si>
  <si>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0m</t>
    </r>
    <r>
      <rPr>
        <sz val="11"/>
        <color indexed="8"/>
        <rFont val="宋体"/>
        <charset val="134"/>
      </rPr>
      <t>，右侧排水边沟与路面接缝处破损，长度约</t>
    </r>
    <r>
      <rPr>
        <sz val="11"/>
        <color indexed="8"/>
        <rFont val="Times New Roman"/>
        <charset val="134"/>
      </rPr>
      <t>10m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</si>
  <si>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2.5m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2.5m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0.24mm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</si>
  <si>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5m</t>
    </r>
    <r>
      <rPr>
        <sz val="11"/>
        <color indexed="8"/>
        <rFont val="宋体"/>
        <charset val="134"/>
      </rPr>
      <t>，右侧检修道盖板陷落</t>
    </r>
    <r>
      <rPr>
        <sz val="11"/>
        <color indexed="8"/>
        <rFont val="Times New Roman"/>
        <charset val="134"/>
      </rPr>
      <t>1</t>
    </r>
    <r>
      <rPr>
        <sz val="11"/>
        <color indexed="8"/>
        <rFont val="宋体"/>
        <charset val="134"/>
      </rPr>
      <t>块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</si>
  <si>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6m</t>
    </r>
    <r>
      <rPr>
        <sz val="11"/>
        <color indexed="8"/>
        <rFont val="宋体"/>
        <charset val="134"/>
      </rPr>
      <t>，路缘排水沟轻微淤积，长度为</t>
    </r>
    <r>
      <rPr>
        <sz val="11"/>
        <color indexed="8"/>
        <rFont val="Times New Roman"/>
        <charset val="134"/>
      </rPr>
      <t>5m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</si>
  <si>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10m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4m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0.80mm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</si>
  <si>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 xml:space="preserve"> 0m</t>
    </r>
    <r>
      <rPr>
        <sz val="10.5"/>
        <rFont val="宋体"/>
        <charset val="134"/>
      </rPr>
      <t>，涂层脱落，面积为</t>
    </r>
    <r>
      <rPr>
        <sz val="10.5"/>
        <color indexed="10"/>
        <rFont val="Times New Roman"/>
        <charset val="134"/>
      </rPr>
      <t xml:space="preserve"> 0.04m</t>
    </r>
    <r>
      <rPr>
        <vertAlign val="superscript"/>
        <sz val="10.5"/>
        <color indexed="10"/>
        <rFont val="Times New Roman"/>
        <charset val="134"/>
      </rPr>
      <t>2</t>
    </r>
  </si>
  <si>
    <t>距板端5m，左侧检修道盖板陷落2块</t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</si>
  <si>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 xml:space="preserve"> 0m</t>
    </r>
    <r>
      <rPr>
        <sz val="10.5"/>
        <rFont val="宋体"/>
        <charset val="134"/>
      </rPr>
      <t>，涂层脱落，面积为</t>
    </r>
    <r>
      <rPr>
        <sz val="10.5"/>
        <rFont val="Times New Roman"/>
        <charset val="134"/>
      </rPr>
      <t xml:space="preserve"> 0.2 m</t>
    </r>
    <r>
      <rPr>
        <vertAlign val="superscript"/>
        <sz val="10.5"/>
        <rFont val="Times New Roman"/>
        <charset val="134"/>
      </rPr>
      <t>2</t>
    </r>
  </si>
  <si>
    <r>
      <rPr>
        <sz val="11"/>
        <color indexed="8"/>
        <rFont val="Times New Roman"/>
        <charset val="134"/>
      </rPr>
      <t>8-11</t>
    </r>
    <r>
      <rPr>
        <sz val="11"/>
        <color indexed="8"/>
        <rFont val="宋体"/>
        <charset val="134"/>
      </rPr>
      <t>号板，右侧排水边沟结构破损，长度约</t>
    </r>
    <r>
      <rPr>
        <sz val="11"/>
        <color indexed="8"/>
        <rFont val="Times New Roman"/>
        <charset val="134"/>
      </rPr>
      <t>30m</t>
    </r>
  </si>
  <si>
    <r>
      <rPr>
        <sz val="11"/>
        <color indexed="8"/>
        <rFont val="Times New Roman"/>
        <charset val="134"/>
      </rPr>
      <t>8-13</t>
    </r>
    <r>
      <rPr>
        <sz val="11"/>
        <color indexed="8"/>
        <rFont val="宋体"/>
        <charset val="134"/>
      </rPr>
      <t>号板范围内，路缘排水沟局部堵塞，累计长度约</t>
    </r>
    <r>
      <rPr>
        <sz val="11"/>
        <color indexed="8"/>
        <rFont val="Times New Roman"/>
        <charset val="134"/>
      </rPr>
      <t>30m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</si>
  <si>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 xml:space="preserve"> 0m</t>
    </r>
    <r>
      <rPr>
        <sz val="10.5"/>
        <rFont val="宋体"/>
        <charset val="134"/>
      </rPr>
      <t>，涂层脱落，面积为</t>
    </r>
    <r>
      <rPr>
        <sz val="10.5"/>
        <rFont val="Times New Roman"/>
        <charset val="134"/>
      </rPr>
      <t xml:space="preserve"> 0.3 m</t>
    </r>
    <r>
      <rPr>
        <vertAlign val="superscript"/>
        <sz val="10.5"/>
        <rFont val="Times New Roman"/>
        <charset val="134"/>
      </rPr>
      <t>2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</si>
  <si>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0m</t>
    </r>
    <r>
      <rPr>
        <sz val="11"/>
        <color indexed="8"/>
        <rFont val="宋体"/>
        <charset val="134"/>
      </rPr>
      <t>，右侧检修道盖板陷落</t>
    </r>
    <r>
      <rPr>
        <sz val="11"/>
        <color indexed="8"/>
        <rFont val="Times New Roman"/>
        <charset val="134"/>
      </rPr>
      <t>1</t>
    </r>
    <r>
      <rPr>
        <sz val="11"/>
        <color indexed="8"/>
        <rFont val="宋体"/>
        <charset val="134"/>
      </rPr>
      <t>块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</si>
  <si>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0m</t>
    </r>
    <r>
      <rPr>
        <sz val="10.5"/>
        <rFont val="宋体"/>
        <charset val="134"/>
      </rPr>
      <t>，左侧拱腰至拱顶，防火涂料脱落，面积为</t>
    </r>
    <r>
      <rPr>
        <sz val="10.5"/>
        <rFont val="Times New Roman"/>
        <charset val="134"/>
      </rPr>
      <t>0.1×1m</t>
    </r>
    <r>
      <rPr>
        <vertAlign val="superscript"/>
        <sz val="10.5"/>
        <rFont val="Times New Roman"/>
        <charset val="134"/>
      </rPr>
      <t>2</t>
    </r>
  </si>
  <si>
    <r>
      <rPr>
        <sz val="11"/>
        <color indexed="10"/>
        <rFont val="等线"/>
        <charset val="134"/>
      </rPr>
      <t>距板端</t>
    </r>
    <r>
      <rPr>
        <sz val="11"/>
        <color indexed="10"/>
        <rFont val="Times New Roman"/>
        <charset val="134"/>
      </rPr>
      <t xml:space="preserve"> 1m</t>
    </r>
    <r>
      <rPr>
        <sz val="11"/>
        <color indexed="10"/>
        <rFont val="等线"/>
        <charset val="134"/>
      </rPr>
      <t>，拱顶锈胀露筋，面积</t>
    </r>
    <r>
      <rPr>
        <sz val="11"/>
        <color indexed="10"/>
        <rFont val="Times New Roman"/>
        <charset val="134"/>
      </rPr>
      <t>1*2m</t>
    </r>
    <r>
      <rPr>
        <vertAlign val="superscript"/>
        <sz val="11"/>
        <color indexed="10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</si>
  <si>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1.0m</t>
    </r>
    <r>
      <rPr>
        <sz val="10.5"/>
        <color indexed="8"/>
        <rFont val="宋体"/>
        <charset val="134"/>
      </rPr>
      <t>，拱顶露筋，长度为</t>
    </r>
    <r>
      <rPr>
        <sz val="10.5"/>
        <color indexed="10"/>
        <rFont val="Times New Roman"/>
        <charset val="134"/>
      </rPr>
      <t>0.3m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</si>
  <si>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9.8m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12m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5mm</t>
    </r>
    <r>
      <rPr>
        <sz val="10.5"/>
        <color indexed="8"/>
        <rFont val="宋体"/>
        <charset val="134"/>
      </rPr>
      <t>，修复后破损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</si>
  <si>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0m</t>
    </r>
    <r>
      <rPr>
        <sz val="10.5"/>
        <rFont val="宋体"/>
        <charset val="134"/>
      </rPr>
      <t>，左右侧拱腰，防火涂料脱落，面积为</t>
    </r>
    <r>
      <rPr>
        <sz val="10.5"/>
        <rFont val="Times New Roman"/>
        <charset val="134"/>
      </rPr>
      <t>0.05×2m</t>
    </r>
    <r>
      <rPr>
        <vertAlign val="superscript"/>
        <sz val="10.5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</si>
  <si>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3m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7.8m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0.60mm</t>
    </r>
    <r>
      <rPr>
        <sz val="10.5"/>
        <color indexed="8"/>
        <rFont val="宋体"/>
        <charset val="134"/>
      </rPr>
      <t>，已修补</t>
    </r>
  </si>
  <si>
    <t>距板端5m，左侧检修道盖板陷落1块</t>
  </si>
  <si>
    <r>
      <rPr>
        <sz val="11"/>
        <color indexed="10"/>
        <rFont val="等线"/>
        <charset val="134"/>
      </rPr>
      <t>距板端</t>
    </r>
    <r>
      <rPr>
        <sz val="11"/>
        <color indexed="10"/>
        <rFont val="Times New Roman"/>
        <charset val="134"/>
      </rPr>
      <t>0m</t>
    </r>
    <r>
      <rPr>
        <sz val="11"/>
        <color indexed="10"/>
        <rFont val="等线"/>
        <charset val="134"/>
      </rPr>
      <t>，拱顶涂层脱落，长度</t>
    </r>
    <r>
      <rPr>
        <sz val="11"/>
        <color indexed="10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</si>
  <si>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0.2m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0.80mm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</si>
  <si>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 xml:space="preserve"> 0m</t>
    </r>
    <r>
      <rPr>
        <sz val="10.5"/>
        <rFont val="宋体"/>
        <charset val="134"/>
      </rPr>
      <t>，涂层脱落，面积为</t>
    </r>
    <r>
      <rPr>
        <sz val="10.5"/>
        <rFont val="Times New Roman"/>
        <charset val="134"/>
      </rPr>
      <t xml:space="preserve"> 0.2m</t>
    </r>
    <r>
      <rPr>
        <vertAlign val="superscript"/>
        <sz val="10.5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</si>
  <si>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9.8m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1.00mm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</si>
  <si>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0.1m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0.60mm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</si>
  <si>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 xml:space="preserve"> 0m</t>
    </r>
    <r>
      <rPr>
        <sz val="10.5"/>
        <rFont val="宋体"/>
        <charset val="134"/>
      </rPr>
      <t>，涂层脱落，面积为</t>
    </r>
    <r>
      <rPr>
        <sz val="10.5"/>
        <rFont val="Times New Roman"/>
        <charset val="134"/>
      </rPr>
      <t xml:space="preserve"> 0.1m</t>
    </r>
    <r>
      <rPr>
        <vertAlign val="superscript"/>
        <sz val="10.5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</si>
  <si>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9.8m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1.00mm</t>
    </r>
    <r>
      <rPr>
        <sz val="10.5"/>
        <color indexed="8"/>
        <rFont val="宋体"/>
        <charset val="134"/>
      </rPr>
      <t>，已修补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</si>
  <si>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9m</t>
    </r>
    <r>
      <rPr>
        <sz val="11"/>
        <rFont val="宋体"/>
        <charset val="134"/>
      </rPr>
      <t>，左侧检修道盖板掉角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</si>
  <si>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29.5m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1.00mm</t>
    </r>
    <r>
      <rPr>
        <sz val="10.5"/>
        <color indexed="8"/>
        <rFont val="宋体"/>
        <charset val="134"/>
      </rPr>
      <t>，已修补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</si>
  <si>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1m</t>
    </r>
    <r>
      <rPr>
        <sz val="11"/>
        <color indexed="8"/>
        <rFont val="宋体"/>
        <charset val="134"/>
      </rPr>
      <t>，右侧排水边沟结构破损，长度为</t>
    </r>
    <r>
      <rPr>
        <sz val="11"/>
        <color indexed="8"/>
        <rFont val="Times New Roman"/>
        <charset val="134"/>
      </rPr>
      <t>3m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</si>
  <si>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9.8m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0.80mm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</si>
  <si>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9.9m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1.00mm</t>
    </r>
    <r>
      <rPr>
        <sz val="10.5"/>
        <color indexed="8"/>
        <rFont val="宋体"/>
        <charset val="134"/>
      </rPr>
      <t>，已修补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</si>
  <si>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5m</t>
    </r>
    <r>
      <rPr>
        <sz val="10.5"/>
        <rFont val="宋体"/>
        <charset val="134"/>
      </rPr>
      <t>，左侧墙一条斜向裂缝，长度为</t>
    </r>
    <r>
      <rPr>
        <sz val="10.5"/>
        <rFont val="Times New Roman"/>
        <charset val="134"/>
      </rPr>
      <t>2m</t>
    </r>
    <r>
      <rPr>
        <sz val="10.5"/>
        <rFont val="宋体"/>
        <charset val="134"/>
      </rPr>
      <t>，宽度为</t>
    </r>
    <r>
      <rPr>
        <sz val="10.5"/>
        <rFont val="Times New Roman"/>
        <charset val="134"/>
      </rPr>
      <t>0.06mm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</si>
  <si>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39.5m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1.00mm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</si>
  <si>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0.1m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4m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0.60mm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</si>
  <si>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0.1m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1.5m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1.00mm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</si>
  <si>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7m</t>
    </r>
    <r>
      <rPr>
        <sz val="11"/>
        <rFont val="宋体"/>
        <charset val="134"/>
      </rPr>
      <t>，左侧检修道盖板掉角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</si>
  <si>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 xml:space="preserve"> 0m</t>
    </r>
    <r>
      <rPr>
        <sz val="10.5"/>
        <rFont val="宋体"/>
        <charset val="134"/>
      </rPr>
      <t>，涂层脱落，面积为</t>
    </r>
    <r>
      <rPr>
        <sz val="10.5"/>
        <rFont val="Times New Roman"/>
        <charset val="134"/>
      </rPr>
      <t xml:space="preserve"> 0.1× 0.6m</t>
    </r>
    <r>
      <rPr>
        <vertAlign val="superscript"/>
        <sz val="10.5"/>
        <rFont val="Times New Roman"/>
        <charset val="134"/>
      </rPr>
      <t>2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</si>
  <si>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0m</t>
    </r>
    <r>
      <rPr>
        <sz val="10.5"/>
        <rFont val="宋体"/>
        <charset val="134"/>
      </rPr>
      <t>，左侧拱腰，防火涂料脱落，面积为</t>
    </r>
    <r>
      <rPr>
        <sz val="10.5"/>
        <rFont val="Times New Roman"/>
        <charset val="134"/>
      </rPr>
      <t>0.1×5m</t>
    </r>
    <r>
      <rPr>
        <vertAlign val="superscript"/>
        <sz val="10.5"/>
        <rFont val="Times New Roman"/>
        <charset val="134"/>
      </rPr>
      <t>2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</si>
  <si>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0m</t>
    </r>
    <r>
      <rPr>
        <sz val="10.5"/>
        <rFont val="宋体"/>
        <charset val="134"/>
      </rPr>
      <t>，左侧墙瓷砖掉落</t>
    </r>
    <r>
      <rPr>
        <sz val="10.5"/>
        <rFont val="Times New Roman"/>
        <charset val="134"/>
      </rPr>
      <t>1</t>
    </r>
    <r>
      <rPr>
        <sz val="10.5"/>
        <rFont val="宋体"/>
        <charset val="134"/>
      </rPr>
      <t>块，面积为</t>
    </r>
    <r>
      <rPr>
        <sz val="10.5"/>
        <rFont val="Times New Roman"/>
        <charset val="134"/>
      </rPr>
      <t>0.15×0.1m</t>
    </r>
    <r>
      <rPr>
        <vertAlign val="superscript"/>
        <sz val="10.5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</si>
  <si>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9.9m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1.00mm</t>
    </r>
    <r>
      <rPr>
        <sz val="10.5"/>
        <color indexed="8"/>
        <rFont val="宋体"/>
        <charset val="134"/>
      </rPr>
      <t>，已修补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</si>
  <si>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 xml:space="preserve"> 1.5m</t>
    </r>
    <r>
      <rPr>
        <sz val="10.5"/>
        <rFont val="宋体"/>
        <charset val="134"/>
      </rPr>
      <t>，瓷砖破损，面积为</t>
    </r>
    <r>
      <rPr>
        <sz val="10.5"/>
        <rFont val="Times New Roman"/>
        <charset val="134"/>
      </rPr>
      <t xml:space="preserve"> 0.1×0.2m</t>
    </r>
    <r>
      <rPr>
        <vertAlign val="superscript"/>
        <sz val="10.5"/>
        <rFont val="Times New Roman"/>
        <charset val="134"/>
      </rPr>
      <t>2</t>
    </r>
    <r>
      <rPr>
        <sz val="10.5"/>
        <rFont val="Times New Roman"/>
        <charset val="134"/>
      </rPr>
      <t>×18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</si>
  <si>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9.8m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1.00mm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</si>
  <si>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0.2m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1.5m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0.60mm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</si>
  <si>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 xml:space="preserve"> 0m</t>
    </r>
    <r>
      <rPr>
        <sz val="10.5"/>
        <rFont val="宋体"/>
        <charset val="134"/>
      </rPr>
      <t>，涂层脱落，面积为</t>
    </r>
    <r>
      <rPr>
        <sz val="10.5"/>
        <rFont val="Times New Roman"/>
        <charset val="134"/>
      </rPr>
      <t xml:space="preserve"> 0.1m</t>
    </r>
    <r>
      <rPr>
        <vertAlign val="superscript"/>
        <sz val="6.5"/>
        <rFont val="Times New Roman"/>
        <charset val="134"/>
      </rPr>
      <t>2</t>
    </r>
  </si>
  <si>
    <t>距板端6m，左侧检修道盖板陷落1块</t>
  </si>
  <si>
    <t>距板端8m，左侧检修道盖板陷落1块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</si>
  <si>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19.7m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1.00mm</t>
    </r>
    <r>
      <rPr>
        <sz val="10.5"/>
        <color indexed="8"/>
        <rFont val="宋体"/>
        <charset val="134"/>
      </rPr>
      <t>，已修补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</si>
  <si>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 xml:space="preserve"> 0m</t>
    </r>
    <r>
      <rPr>
        <sz val="10.5"/>
        <rFont val="宋体"/>
        <charset val="134"/>
      </rPr>
      <t>，涂层脱落，面积为</t>
    </r>
    <r>
      <rPr>
        <sz val="10.5"/>
        <rFont val="Times New Roman"/>
        <charset val="134"/>
      </rPr>
      <t xml:space="preserve"> 0.1×1m</t>
    </r>
    <r>
      <rPr>
        <vertAlign val="superscript"/>
        <sz val="10.5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</si>
  <si>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5m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7m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0.35mm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</si>
  <si>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5.5m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6m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0.70mm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</si>
  <si>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9m</t>
    </r>
    <r>
      <rPr>
        <sz val="11"/>
        <rFont val="宋体"/>
        <charset val="134"/>
      </rPr>
      <t>，左侧检修道盖板陷落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块</t>
    </r>
  </si>
  <si>
    <r>
      <rPr>
        <sz val="11"/>
        <color indexed="8"/>
        <rFont val="Times New Roman"/>
        <charset val="134"/>
      </rPr>
      <t>33-35</t>
    </r>
    <r>
      <rPr>
        <sz val="11"/>
        <color indexed="8"/>
        <rFont val="宋体"/>
        <charset val="134"/>
      </rPr>
      <t>号板范围内，右侧排水边沟与路面接缝处破损，长度约</t>
    </r>
    <r>
      <rPr>
        <sz val="11"/>
        <color indexed="8"/>
        <rFont val="Times New Roman"/>
        <charset val="134"/>
      </rPr>
      <t>10m</t>
    </r>
  </si>
  <si>
    <r>
      <rPr>
        <sz val="11"/>
        <rFont val="宋体"/>
        <charset val="134"/>
      </rPr>
      <t>距板端</t>
    </r>
    <r>
      <rPr>
        <sz val="11"/>
        <rFont val="Times New Roman"/>
        <charset val="134"/>
      </rPr>
      <t>0m</t>
    </r>
    <r>
      <rPr>
        <sz val="11"/>
        <rFont val="宋体"/>
        <charset val="134"/>
      </rPr>
      <t>，右拱腰混凝土破损，面积约</t>
    </r>
    <r>
      <rPr>
        <sz val="11"/>
        <rFont val="Times New Roman"/>
        <charset val="134"/>
      </rPr>
      <t>0.5m</t>
    </r>
    <r>
      <rPr>
        <vertAlign val="superscript"/>
        <sz val="11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</si>
  <si>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2.5m</t>
    </r>
    <r>
      <rPr>
        <sz val="10.5"/>
        <color indexed="8"/>
        <rFont val="宋体"/>
        <charset val="134"/>
      </rPr>
      <t>，环向裂缝，长度为</t>
    </r>
    <r>
      <rPr>
        <sz val="10.5"/>
        <color indexed="8"/>
        <rFont val="Times New Roman"/>
        <charset val="134"/>
      </rPr>
      <t>3m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0.35mm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</si>
  <si>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6m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0.50mm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</si>
  <si>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6m</t>
    </r>
    <r>
      <rPr>
        <sz val="10.5"/>
        <color indexed="8"/>
        <rFont val="宋体"/>
        <charset val="134"/>
      </rPr>
      <t>，渗水印迹，面积为</t>
    </r>
    <r>
      <rPr>
        <sz val="10.5"/>
        <color indexed="8"/>
        <rFont val="Times New Roman"/>
        <charset val="134"/>
      </rPr>
      <t>0.1×1.5m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</si>
  <si>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1"/>
        <color indexed="10"/>
        <rFont val="等线"/>
        <charset val="134"/>
      </rPr>
      <t>距板端</t>
    </r>
    <r>
      <rPr>
        <sz val="11"/>
        <color indexed="10"/>
        <rFont val="Times New Roman"/>
        <charset val="134"/>
      </rPr>
      <t>7m</t>
    </r>
    <r>
      <rPr>
        <sz val="11"/>
        <color indexed="10"/>
        <rFont val="等线"/>
        <charset val="134"/>
      </rPr>
      <t>，右拱腰环向裂缝，长度</t>
    </r>
    <r>
      <rPr>
        <sz val="11"/>
        <color indexed="10"/>
        <rFont val="Times New Roman"/>
        <charset val="134"/>
      </rPr>
      <t>6m</t>
    </r>
    <r>
      <rPr>
        <sz val="11"/>
        <color indexed="10"/>
        <rFont val="等线"/>
        <charset val="134"/>
      </rPr>
      <t>，已修补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</si>
  <si>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0m</t>
    </r>
    <r>
      <rPr>
        <sz val="10.5"/>
        <rFont val="宋体"/>
        <charset val="134"/>
      </rPr>
      <t>，左右侧拱腰，防火涂料脱落，面积为</t>
    </r>
    <r>
      <rPr>
        <sz val="10.5"/>
        <rFont val="Times New Roman"/>
        <charset val="134"/>
      </rPr>
      <t>0.5×1m</t>
    </r>
    <r>
      <rPr>
        <vertAlign val="superscript"/>
        <sz val="10.5"/>
        <rFont val="Times New Roman"/>
        <charset val="134"/>
      </rPr>
      <t>2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</si>
  <si>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5m</t>
    </r>
    <r>
      <rPr>
        <sz val="10.5"/>
        <rFont val="宋体"/>
        <charset val="134"/>
      </rPr>
      <t>，左侧墙瓷砖掉落</t>
    </r>
    <r>
      <rPr>
        <sz val="10.5"/>
        <rFont val="Times New Roman"/>
        <charset val="134"/>
      </rPr>
      <t>4</t>
    </r>
    <r>
      <rPr>
        <sz val="10.5"/>
        <rFont val="宋体"/>
        <charset val="134"/>
      </rPr>
      <t>块，面积为</t>
    </r>
    <r>
      <rPr>
        <sz val="10.5"/>
        <rFont val="Times New Roman"/>
        <charset val="134"/>
      </rPr>
      <t>0.15×0.1m</t>
    </r>
    <r>
      <rPr>
        <vertAlign val="superscript"/>
        <sz val="10.5"/>
        <rFont val="Times New Roman"/>
        <charset val="134"/>
      </rPr>
      <t>2</t>
    </r>
    <r>
      <rPr>
        <sz val="10.5"/>
        <rFont val="Times New Roman"/>
        <charset val="134"/>
      </rPr>
      <t>×4</t>
    </r>
  </si>
  <si>
    <t>31~36</t>
  </si>
  <si>
    <r>
      <rPr>
        <sz val="10.5"/>
        <color theme="1"/>
        <rFont val="宋体"/>
        <charset val="134"/>
      </rPr>
      <t>入洞口左侧山体滑坡初步迹象，面积为</t>
    </r>
    <r>
      <rPr>
        <sz val="10.5"/>
        <color theme="1"/>
        <rFont val="Times New Roman"/>
        <charset val="134"/>
      </rPr>
      <t>120</t>
    </r>
    <r>
      <rPr>
        <sz val="11"/>
        <color theme="1"/>
        <rFont val="Times New Roman"/>
        <charset val="134"/>
      </rPr>
      <t>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，已修挡墙防护</t>
    </r>
  </si>
  <si>
    <r>
      <rPr>
        <sz val="10.5"/>
        <color theme="1"/>
        <rFont val="宋体"/>
        <charset val="134"/>
      </rPr>
      <t>杂草</t>
    </r>
  </si>
  <si>
    <t>出洞口左侧排水沟内有杂草</t>
  </si>
  <si>
    <r>
      <rPr>
        <sz val="11"/>
        <rFont val="宋体"/>
        <charset val="134"/>
      </rPr>
      <t>入洞门左侧露筋锈蚀，长度约</t>
    </r>
    <r>
      <rPr>
        <sz val="11"/>
        <rFont val="Times New Roman"/>
        <charset val="134"/>
      </rPr>
      <t>2m</t>
    </r>
  </si>
  <si>
    <r>
      <rPr>
        <sz val="11"/>
        <rFont val="宋体"/>
        <charset val="134"/>
      </rPr>
      <t>入洞门右侧露筋锈蚀，长度约</t>
    </r>
    <r>
      <rPr>
        <sz val="11"/>
        <rFont val="Times New Roman"/>
        <charset val="134"/>
      </rPr>
      <t>2m</t>
    </r>
  </si>
  <si>
    <t>结构破损</t>
  </si>
  <si>
    <r>
      <rPr>
        <sz val="11"/>
        <color theme="1"/>
        <rFont val="Times New Roman"/>
        <charset val="134"/>
      </rPr>
      <t>1-2</t>
    </r>
    <r>
      <rPr>
        <sz val="11"/>
        <color theme="1"/>
        <rFont val="宋体"/>
        <charset val="134"/>
      </rPr>
      <t>号板，距板端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，左侧排水边沟结构破损，长度约</t>
    </r>
    <r>
      <rPr>
        <sz val="11"/>
        <color theme="1"/>
        <rFont val="Times New Roman"/>
        <charset val="134"/>
      </rPr>
      <t>20m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</si>
  <si>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3.0m</t>
    </r>
    <r>
      <rPr>
        <sz val="10.5"/>
        <color theme="1"/>
        <rFont val="宋体"/>
        <charset val="134"/>
      </rPr>
      <t>，右拱腰渗水印迹，面积约</t>
    </r>
    <r>
      <rPr>
        <sz val="10.5"/>
        <color theme="1"/>
        <rFont val="Times New Roman"/>
        <charset val="134"/>
      </rPr>
      <t>0.04m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</si>
  <si>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rFont val="宋体"/>
        <charset val="134"/>
      </rPr>
      <t>右拱腰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</si>
  <si>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0m</t>
    </r>
    <r>
      <rPr>
        <sz val="10.5"/>
        <rFont val="宋体"/>
        <charset val="134"/>
      </rPr>
      <t>，右侧拱腰，防火涂料脱落，面积为</t>
    </r>
    <r>
      <rPr>
        <sz val="10.5"/>
        <rFont val="Times New Roman"/>
        <charset val="134"/>
      </rPr>
      <t>0.05×1m</t>
    </r>
    <r>
      <rPr>
        <vertAlign val="superscript"/>
        <sz val="10.5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</si>
  <si>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0.2m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0.5m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</si>
  <si>
    <r>
      <rPr>
        <sz val="10.5"/>
        <color theme="1"/>
        <rFont val="宋体"/>
        <charset val="134"/>
      </rPr>
      <t>左右拱腰、拱顶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</si>
  <si>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0.1 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</si>
  <si>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rFont val="宋体"/>
        <charset val="134"/>
      </rPr>
      <t>左侧墙</t>
    </r>
  </si>
  <si>
    <r>
      <rPr>
        <sz val="10.5"/>
        <rFont val="宋体"/>
        <charset val="134"/>
      </rPr>
      <t>环向裂缝</t>
    </r>
  </si>
  <si>
    <r>
      <rPr>
        <sz val="10.5"/>
        <rFont val="宋体"/>
        <charset val="134"/>
      </rPr>
      <t>距板端</t>
    </r>
    <r>
      <rPr>
        <sz val="10.5"/>
        <rFont val="Times New Roman"/>
        <charset val="134"/>
      </rPr>
      <t>2m</t>
    </r>
    <r>
      <rPr>
        <sz val="10.5"/>
        <rFont val="宋体"/>
        <charset val="134"/>
      </rPr>
      <t>，左侧墙一条环向裂缝，长度为</t>
    </r>
    <r>
      <rPr>
        <sz val="10.5"/>
        <rFont val="Times New Roman"/>
        <charset val="134"/>
      </rPr>
      <t>2.5m</t>
    </r>
    <r>
      <rPr>
        <sz val="10.5"/>
        <rFont val="宋体"/>
        <charset val="134"/>
      </rPr>
      <t>，宽度为</t>
    </r>
    <r>
      <rPr>
        <sz val="10.5"/>
        <rFont val="Times New Roman"/>
        <charset val="134"/>
      </rPr>
      <t>0.04mm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</si>
  <si>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0.70mm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</si>
  <si>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0.2m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0.5m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</si>
  <si>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</si>
  <si>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0.3m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0.5m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</si>
  <si>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0.1m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0.5m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</si>
  <si>
    <r>
      <rPr>
        <sz val="10.5"/>
        <rFont val="宋体"/>
        <charset val="134"/>
      </rPr>
      <t>左侧</t>
    </r>
  </si>
  <si>
    <t>距板端 2m，左侧检修道盖板缺角</t>
  </si>
  <si>
    <t>距板端 1.5m，左侧检修道盖板缺角</t>
  </si>
  <si>
    <t>距板端 4m，左侧检修道盖板缺角</t>
  </si>
  <si>
    <t>距板端 0m，左侧检修道盖板缺角</t>
  </si>
  <si>
    <t>距板端 9m，左侧检修道盖板缺角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</si>
  <si>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0.2m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</si>
  <si>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，防火涂层脱落面积为</t>
    </r>
    <r>
      <rPr>
        <sz val="10.5"/>
        <color theme="1"/>
        <rFont val="Times New Roman"/>
        <charset val="134"/>
      </rPr>
      <t>0.05m</t>
    </r>
    <r>
      <rPr>
        <vertAlign val="superscript"/>
        <sz val="6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</si>
  <si>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021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20.1m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</si>
  <si>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  <r>
      <rPr>
        <sz val="10.5"/>
        <color theme="1"/>
        <rFont val="宋体"/>
        <charset val="134"/>
      </rPr>
      <t>，已修补</t>
    </r>
  </si>
  <si>
    <t>距板端 7m，左侧检修道盖板陷落</t>
  </si>
  <si>
    <t>距板端 7m，左侧检修道盖板缺角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</si>
  <si>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0m</t>
    </r>
    <r>
      <rPr>
        <sz val="10.5"/>
        <color theme="1"/>
        <rFont val="宋体"/>
        <charset val="134"/>
      </rPr>
      <t>，防火涂层脱落面积为</t>
    </r>
    <r>
      <rPr>
        <sz val="10.5"/>
        <color theme="1"/>
        <rFont val="Times New Roman"/>
        <charset val="134"/>
      </rPr>
      <t>0.1m</t>
    </r>
    <r>
      <rPr>
        <vertAlign val="superscript"/>
        <sz val="6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</si>
  <si>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4m</t>
    </r>
    <r>
      <rPr>
        <sz val="11"/>
        <color theme="1"/>
        <rFont val="宋体"/>
        <charset val="134"/>
      </rPr>
      <t>，左侧排水边沟结构破损，长度为</t>
    </r>
    <r>
      <rPr>
        <sz val="11"/>
        <color theme="1"/>
        <rFont val="Times New Roman"/>
        <charset val="134"/>
      </rPr>
      <t>2m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</si>
  <si>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1m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3m</t>
    </r>
    <r>
      <rPr>
        <vertAlign val="superscript"/>
        <sz val="6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</si>
  <si>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 xml:space="preserve"> 1m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4m</t>
    </r>
    <r>
      <rPr>
        <vertAlign val="superscript"/>
        <sz val="6.5"/>
        <color theme="1"/>
        <rFont val="Times New Roman"/>
        <charset val="134"/>
      </rPr>
      <t>2</t>
    </r>
  </si>
  <si>
    <t>31~34</t>
  </si>
  <si>
    <t>缺失</t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</si>
  <si>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2m</t>
    </r>
    <r>
      <rPr>
        <sz val="11"/>
        <color indexed="8"/>
        <rFont val="宋体"/>
        <charset val="134"/>
      </rPr>
      <t>，右侧沉砂井滤水篦子缺失</t>
    </r>
  </si>
  <si>
    <r>
      <rPr>
        <sz val="10.5"/>
        <color indexed="8"/>
        <rFont val="宋体"/>
        <charset val="134"/>
      </rPr>
      <t>距板</t>
    </r>
    <r>
      <rPr>
        <sz val="10.5"/>
        <color indexed="8"/>
        <rFont val="Times New Roman"/>
        <charset val="134"/>
      </rPr>
      <t xml:space="preserve"> 3m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 xml:space="preserve"> 2m²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</si>
  <si>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0.1m</t>
    </r>
    <r>
      <rPr>
        <sz val="10.5"/>
        <color indexed="8"/>
        <rFont val="宋体"/>
        <charset val="134"/>
      </rPr>
      <t>，左拱腰环向裂缝，长度为</t>
    </r>
    <r>
      <rPr>
        <sz val="10.5"/>
        <color indexed="8"/>
        <rFont val="Times New Roman"/>
        <charset val="134"/>
      </rPr>
      <t>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1.00mm</t>
    </r>
  </si>
  <si>
    <t>开裂凹陷</t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</si>
  <si>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0m</t>
    </r>
    <r>
      <rPr>
        <sz val="11"/>
        <color indexed="8"/>
        <rFont val="宋体"/>
        <charset val="134"/>
      </rPr>
      <t>，行车道路面修补后开裂凹陷，面积为</t>
    </r>
    <r>
      <rPr>
        <sz val="11"/>
        <color indexed="8"/>
        <rFont val="Times New Roman"/>
        <charset val="134"/>
      </rPr>
      <t>1×0.5m</t>
    </r>
    <r>
      <rPr>
        <vertAlign val="superscript"/>
        <sz val="11"/>
        <color indexed="8"/>
        <rFont val="Times New Roman"/>
        <charset val="134"/>
      </rPr>
      <t>2</t>
    </r>
  </si>
  <si>
    <t>网裂</t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</si>
  <si>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0m</t>
    </r>
    <r>
      <rPr>
        <sz val="11"/>
        <color indexed="8"/>
        <rFont val="宋体"/>
        <charset val="134"/>
      </rPr>
      <t>，行车道路面网裂，面积为</t>
    </r>
    <r>
      <rPr>
        <sz val="11"/>
        <color indexed="8"/>
        <rFont val="Times New Roman"/>
        <charset val="134"/>
      </rPr>
      <t>2×0.5m</t>
    </r>
    <r>
      <rPr>
        <vertAlign val="superscript"/>
        <sz val="11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</si>
  <si>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，左拱腰涂层脱落，面积为</t>
    </r>
    <r>
      <rPr>
        <sz val="10.5"/>
        <color indexed="8"/>
        <rFont val="Times New Roman"/>
        <charset val="134"/>
      </rPr>
      <t>1×0.05m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</si>
  <si>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>3m</t>
    </r>
    <r>
      <rPr>
        <sz val="11"/>
        <color indexed="8"/>
        <rFont val="宋体"/>
        <charset val="134"/>
      </rPr>
      <t>，右侧沉砂井滤水篦子缺失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</si>
  <si>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6.0m</t>
    </r>
    <r>
      <rPr>
        <sz val="10.5"/>
        <color indexed="8"/>
        <rFont val="宋体"/>
        <charset val="134"/>
      </rPr>
      <t>，右侧墙斜向裂缝，长度为</t>
    </r>
    <r>
      <rPr>
        <sz val="10.5"/>
        <color indexed="8"/>
        <rFont val="Times New Roman"/>
        <charset val="134"/>
      </rPr>
      <t>2.0m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0.20mm</t>
    </r>
  </si>
  <si>
    <r>
      <rPr>
        <sz val="10.5"/>
        <color indexed="8"/>
        <rFont val="宋体"/>
        <charset val="134"/>
      </rPr>
      <t>距</t>
    </r>
    <r>
      <rPr>
        <sz val="10.5"/>
        <color indexed="8"/>
        <rFont val="Times New Roman"/>
        <charset val="134"/>
      </rPr>
      <t>008</t>
    </r>
    <r>
      <rPr>
        <sz val="10.5"/>
        <color indexed="8"/>
        <rFont val="宋体"/>
        <charset val="134"/>
      </rPr>
      <t>板板端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</t>
    </r>
    <r>
      <rPr>
        <sz val="10.5"/>
        <color indexed="8"/>
        <rFont val="Times New Roman"/>
        <charset val="134"/>
      </rPr>
      <t>20.4m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</si>
  <si>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，左拱腰涂层脱落，面积为</t>
    </r>
    <r>
      <rPr>
        <sz val="10.5"/>
        <color indexed="8"/>
        <rFont val="Times New Roman"/>
        <charset val="134"/>
      </rPr>
      <t>2×0.05m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</si>
  <si>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</t>
    </r>
    <r>
      <rPr>
        <sz val="10.5"/>
        <color indexed="8"/>
        <rFont val="Times New Roman"/>
        <charset val="134"/>
      </rPr>
      <t>10</t>
    </r>
    <r>
      <rPr>
        <sz val="10.5"/>
        <color indexed="8"/>
        <rFont val="宋体"/>
        <charset val="134"/>
      </rPr>
      <t>板板端</t>
    </r>
    <r>
      <rPr>
        <sz val="10.5"/>
        <color indexed="10"/>
        <rFont val="Times New Roman"/>
        <charset val="134"/>
      </rPr>
      <t>5m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0.5m</t>
    </r>
    <r>
      <rPr>
        <sz val="10.5"/>
        <color indexed="8"/>
        <rFont val="宋体"/>
        <charset val="134"/>
      </rPr>
      <t>，纵向裂缝，长度</t>
    </r>
    <r>
      <rPr>
        <sz val="10.5"/>
        <color indexed="8"/>
        <rFont val="Times New Roman"/>
        <charset val="134"/>
      </rPr>
      <t>30.6m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0.6mm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</si>
  <si>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0.1×1m²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</si>
  <si>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5m</t>
    </r>
    <r>
      <rPr>
        <sz val="11"/>
        <color indexed="8"/>
        <rFont val="宋体"/>
        <charset val="134"/>
      </rPr>
      <t>，行车道路面横向裂缝，长度为</t>
    </r>
    <r>
      <rPr>
        <sz val="11"/>
        <color indexed="8"/>
        <rFont val="Times New Roman"/>
        <charset val="134"/>
      </rPr>
      <t>3.75m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2mm</t>
    </r>
  </si>
  <si>
    <r>
      <rPr>
        <sz val="10.5"/>
        <color indexed="8"/>
        <rFont val="宋体"/>
        <charset val="134"/>
      </rPr>
      <t>距</t>
    </r>
    <r>
      <rPr>
        <sz val="10.5"/>
        <color indexed="8"/>
        <rFont val="Times New Roman"/>
        <charset val="134"/>
      </rPr>
      <t>13</t>
    </r>
    <r>
      <rPr>
        <sz val="10.5"/>
        <color indexed="8"/>
        <rFont val="宋体"/>
        <charset val="134"/>
      </rPr>
      <t>板板端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20.2m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0.6mm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</si>
  <si>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0.3m</t>
    </r>
    <r>
      <rPr>
        <sz val="10.5"/>
        <color indexed="8"/>
        <rFont val="宋体"/>
        <charset val="134"/>
      </rPr>
      <t>，左拱腰环向裂缝，长度为</t>
    </r>
    <r>
      <rPr>
        <sz val="10.5"/>
        <color indexed="10"/>
        <rFont val="Times New Roman"/>
        <charset val="134"/>
      </rPr>
      <t>2m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0.60mm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</si>
  <si>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</t>
    </r>
    <r>
      <rPr>
        <sz val="10.5"/>
        <color indexed="8"/>
        <rFont val="Times New Roman"/>
        <charset val="134"/>
      </rPr>
      <t>10m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</si>
  <si>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1.2m</t>
    </r>
    <r>
      <rPr>
        <sz val="10.5"/>
        <color indexed="8"/>
        <rFont val="宋体"/>
        <charset val="134"/>
      </rPr>
      <t>，纵向裂缝，长度</t>
    </r>
    <r>
      <rPr>
        <sz val="10.5"/>
        <color indexed="8"/>
        <rFont val="Times New Roman"/>
        <charset val="134"/>
      </rPr>
      <t>10m</t>
    </r>
    <r>
      <rPr>
        <sz val="10.5"/>
        <color indexed="8"/>
        <rFont val="宋体"/>
        <charset val="134"/>
      </rPr>
      <t>，宽度</t>
    </r>
    <r>
      <rPr>
        <sz val="10.5"/>
        <color indexed="8"/>
        <rFont val="Times New Roman"/>
        <charset val="134"/>
      </rPr>
      <t>0.55mm</t>
    </r>
    <r>
      <rPr>
        <sz val="10.5"/>
        <color indexed="8"/>
        <rFont val="宋体"/>
        <charset val="134"/>
      </rPr>
      <t>，已修补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</si>
  <si>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0m</t>
    </r>
    <r>
      <rPr>
        <sz val="11"/>
        <color indexed="8"/>
        <rFont val="宋体"/>
        <charset val="134"/>
      </rPr>
      <t>，行车道路面横向裂缝，长度为</t>
    </r>
    <r>
      <rPr>
        <sz val="11"/>
        <color indexed="8"/>
        <rFont val="Times New Roman"/>
        <charset val="134"/>
      </rPr>
      <t>3.75m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1mm</t>
    </r>
  </si>
  <si>
    <r>
      <rPr>
        <sz val="10.5"/>
        <color indexed="8"/>
        <rFont val="宋体"/>
        <charset val="134"/>
      </rPr>
      <t>距板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0.05×2m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</si>
  <si>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8m</t>
    </r>
    <r>
      <rPr>
        <sz val="10.5"/>
        <color indexed="8"/>
        <rFont val="宋体"/>
        <charset val="134"/>
      </rPr>
      <t>，左侧检修道盖板缺角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</si>
  <si>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</t>
    </r>
    <r>
      <rPr>
        <sz val="10.5"/>
        <color indexed="8"/>
        <rFont val="Times New Roman"/>
        <charset val="134"/>
      </rPr>
      <t>17</t>
    </r>
    <r>
      <rPr>
        <sz val="10.5"/>
        <color indexed="8"/>
        <rFont val="宋体"/>
        <charset val="134"/>
      </rPr>
      <t>板板端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20.3m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0.8m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</si>
  <si>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，左拱腰涂层脱落，面积为</t>
    </r>
    <r>
      <rPr>
        <sz val="10.5"/>
        <color indexed="8"/>
        <rFont val="Times New Roman"/>
        <charset val="134"/>
      </rPr>
      <t>1×0.1m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</si>
  <si>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，左侧墙瓷砖脱落</t>
    </r>
    <r>
      <rPr>
        <sz val="10.5"/>
        <color indexed="8"/>
        <rFont val="Times New Roman"/>
        <charset val="134"/>
      </rPr>
      <t>3</t>
    </r>
    <r>
      <rPr>
        <sz val="10.5"/>
        <color indexed="8"/>
        <rFont val="宋体"/>
        <charset val="134"/>
      </rPr>
      <t>块，面积为</t>
    </r>
    <r>
      <rPr>
        <sz val="10.5"/>
        <color indexed="8"/>
        <rFont val="Times New Roman"/>
        <charset val="134"/>
      </rPr>
      <t>0.15×0.1m</t>
    </r>
    <r>
      <rPr>
        <vertAlign val="superscript"/>
        <sz val="10.5"/>
        <color indexed="8"/>
        <rFont val="Times New Roman"/>
        <charset val="134"/>
      </rPr>
      <t>2</t>
    </r>
    <r>
      <rPr>
        <sz val="10.5"/>
        <color indexed="8"/>
        <rFont val="Times New Roman"/>
        <charset val="134"/>
      </rPr>
      <t>×3</t>
    </r>
  </si>
  <si>
    <r>
      <rPr>
        <sz val="10.5"/>
        <color indexed="8"/>
        <rFont val="宋体"/>
        <charset val="134"/>
      </rPr>
      <t>距</t>
    </r>
    <r>
      <rPr>
        <sz val="10.5"/>
        <color indexed="8"/>
        <rFont val="Times New Roman"/>
        <charset val="134"/>
      </rPr>
      <t>19</t>
    </r>
    <r>
      <rPr>
        <sz val="10.5"/>
        <color indexed="8"/>
        <rFont val="宋体"/>
        <charset val="134"/>
      </rPr>
      <t>板板端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</t>
    </r>
    <r>
      <rPr>
        <sz val="10.5"/>
        <color indexed="8"/>
        <rFont val="Times New Roman"/>
        <charset val="134"/>
      </rPr>
      <t>20.2m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0.80mm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</si>
  <si>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1.5m</t>
    </r>
    <r>
      <rPr>
        <sz val="10.5"/>
        <color indexed="8"/>
        <rFont val="宋体"/>
        <charset val="134"/>
      </rPr>
      <t>，纵向裂缝，长度</t>
    </r>
    <r>
      <rPr>
        <sz val="10.5"/>
        <color indexed="8"/>
        <rFont val="Times New Roman"/>
        <charset val="134"/>
      </rPr>
      <t>10m</t>
    </r>
    <r>
      <rPr>
        <sz val="10.5"/>
        <color indexed="8"/>
        <rFont val="宋体"/>
        <charset val="134"/>
      </rPr>
      <t>，已修补</t>
    </r>
  </si>
  <si>
    <t>右边墙</t>
  </si>
  <si>
    <t>瓷砖空鼓</t>
  </si>
  <si>
    <r>
      <rPr>
        <sz val="11"/>
        <color indexed="10"/>
        <rFont val="等线"/>
        <charset val="134"/>
      </rPr>
      <t>距板端</t>
    </r>
    <r>
      <rPr>
        <sz val="11"/>
        <color indexed="10"/>
        <rFont val="Times New Roman"/>
        <charset val="134"/>
      </rPr>
      <t>0m</t>
    </r>
    <r>
      <rPr>
        <sz val="11"/>
        <color indexed="10"/>
        <rFont val="等线"/>
        <charset val="134"/>
      </rPr>
      <t>，右边墙瓷砖空鼓，面积</t>
    </r>
    <r>
      <rPr>
        <sz val="11"/>
        <color indexed="10"/>
        <rFont val="Times New Roman"/>
        <charset val="134"/>
      </rPr>
      <t>2*0.5m</t>
    </r>
    <r>
      <rPr>
        <vertAlign val="superscript"/>
        <sz val="11"/>
        <color indexed="10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</si>
  <si>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</t>
    </r>
    <r>
      <rPr>
        <sz val="10.5"/>
        <color indexed="8"/>
        <rFont val="Times New Roman"/>
        <charset val="134"/>
      </rPr>
      <t>23</t>
    </r>
    <r>
      <rPr>
        <sz val="10.5"/>
        <color indexed="8"/>
        <rFont val="宋体"/>
        <charset val="134"/>
      </rPr>
      <t>板板端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</t>
    </r>
    <r>
      <rPr>
        <sz val="10.5"/>
        <color indexed="8"/>
        <rFont val="Times New Roman"/>
        <charset val="134"/>
      </rPr>
      <t>20.1m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0.60mm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</si>
  <si>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，右拱腰涂层脱落，面积为</t>
    </r>
    <r>
      <rPr>
        <sz val="10.5"/>
        <color indexed="8"/>
        <rFont val="Times New Roman"/>
        <charset val="134"/>
      </rPr>
      <t>1.5×0.05m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</si>
  <si>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7.5m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0.60mm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</si>
  <si>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10m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0.60mm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</si>
  <si>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1m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0.6×0.7m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</si>
  <si>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10.2m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0.80mm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</si>
  <si>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0.2×1m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</si>
  <si>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8m</t>
    </r>
    <r>
      <rPr>
        <sz val="10.5"/>
        <color indexed="8"/>
        <rFont val="宋体"/>
        <charset val="134"/>
      </rPr>
      <t>，左侧检修道盖板陷落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</si>
  <si>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</t>
    </r>
    <r>
      <rPr>
        <sz val="10.5"/>
        <color indexed="8"/>
        <rFont val="Times New Roman"/>
        <charset val="134"/>
      </rPr>
      <t>28</t>
    </r>
    <r>
      <rPr>
        <sz val="10.5"/>
        <color indexed="8"/>
        <rFont val="宋体"/>
        <charset val="134"/>
      </rPr>
      <t>板板端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21.3m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0.60mm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</si>
  <si>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10.1m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0.80mm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</si>
  <si>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10.4m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</si>
  <si>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10.2m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0.60mm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</si>
  <si>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瓷砖</t>
    </r>
    <r>
      <rPr>
        <sz val="10.5"/>
        <color indexed="10"/>
        <rFont val="宋体"/>
        <charset val="134"/>
      </rPr>
      <t>空鼓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</si>
  <si>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，右侧墙瓷砖脱落</t>
    </r>
    <r>
      <rPr>
        <sz val="10.5"/>
        <color indexed="10"/>
        <rFont val="Times New Roman"/>
        <charset val="134"/>
      </rPr>
      <t>4</t>
    </r>
    <r>
      <rPr>
        <sz val="10.5"/>
        <color indexed="10"/>
        <rFont val="宋体"/>
        <charset val="134"/>
      </rPr>
      <t>块</t>
    </r>
    <r>
      <rPr>
        <sz val="10.5"/>
        <color indexed="8"/>
        <rFont val="宋体"/>
        <charset val="134"/>
      </rPr>
      <t>，面积为</t>
    </r>
    <r>
      <rPr>
        <sz val="10.5"/>
        <color indexed="8"/>
        <rFont val="Times New Roman"/>
        <charset val="134"/>
      </rPr>
      <t>1×1m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</si>
  <si>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，左侧墙瓷砖脱落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块，面积为</t>
    </r>
    <r>
      <rPr>
        <sz val="10.5"/>
        <color indexed="8"/>
        <rFont val="Times New Roman"/>
        <charset val="134"/>
      </rPr>
      <t>0.15×0.1m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</si>
  <si>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</t>
    </r>
    <r>
      <rPr>
        <sz val="10.5"/>
        <color indexed="8"/>
        <rFont val="Times New Roman"/>
        <charset val="134"/>
      </rPr>
      <t>35</t>
    </r>
    <r>
      <rPr>
        <sz val="10.5"/>
        <color indexed="8"/>
        <rFont val="宋体"/>
        <charset val="134"/>
      </rPr>
      <t>板板端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10"/>
        <rFont val="Times New Roman"/>
        <charset val="134"/>
      </rPr>
      <t>8m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0.80mm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</si>
  <si>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</t>
    </r>
    <r>
      <rPr>
        <sz val="10.5"/>
        <color indexed="10"/>
        <rFont val="Times New Roman"/>
        <charset val="134"/>
      </rPr>
      <t>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10"/>
        <rFont val="Times New Roman"/>
        <charset val="134"/>
      </rPr>
      <t>2×0.5m</t>
    </r>
    <r>
      <rPr>
        <vertAlign val="superscript"/>
        <sz val="10.5"/>
        <color indexed="10"/>
        <rFont val="Times New Roman"/>
        <charset val="134"/>
      </rPr>
      <t>2</t>
    </r>
    <r>
      <rPr>
        <sz val="10.5"/>
        <color indexed="10"/>
        <rFont val="宋体"/>
        <charset val="134"/>
      </rPr>
      <t>，</t>
    </r>
    <r>
      <rPr>
        <sz val="10.5"/>
        <color indexed="8"/>
        <rFont val="宋体"/>
        <charset val="134"/>
      </rPr>
      <t>修复后破损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</si>
  <si>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5m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0.5×0.8m</t>
    </r>
    <r>
      <rPr>
        <vertAlign val="superscript"/>
        <sz val="10.5"/>
        <color indexed="8"/>
        <rFont val="Times New Roman"/>
        <charset val="134"/>
      </rPr>
      <t>2</t>
    </r>
    <r>
      <rPr>
        <sz val="10.5"/>
        <color indexed="8"/>
        <rFont val="宋体"/>
        <charset val="134"/>
      </rPr>
      <t>修复后破损</t>
    </r>
  </si>
  <si>
    <r>
      <rPr>
        <sz val="11"/>
        <color indexed="10"/>
        <rFont val="等线"/>
        <charset val="134"/>
      </rPr>
      <t>距板端</t>
    </r>
    <r>
      <rPr>
        <sz val="11"/>
        <color indexed="10"/>
        <rFont val="Times New Roman"/>
        <charset val="134"/>
      </rPr>
      <t>0m</t>
    </r>
    <r>
      <rPr>
        <sz val="11"/>
        <color indexed="10"/>
        <rFont val="等线"/>
        <charset val="134"/>
      </rPr>
      <t>，拱顶纵向裂缝，长度</t>
    </r>
    <r>
      <rPr>
        <sz val="11"/>
        <color indexed="10"/>
        <rFont val="Times New Roman"/>
        <charset val="134"/>
      </rPr>
      <t>8m</t>
    </r>
    <r>
      <rPr>
        <sz val="11"/>
        <color indexed="10"/>
        <rFont val="等线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</si>
  <si>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6m</t>
    </r>
    <r>
      <rPr>
        <sz val="10.5"/>
        <color indexed="8"/>
        <rFont val="宋体"/>
        <charset val="134"/>
      </rPr>
      <t>，左侧边墙渗水印迹，面积为</t>
    </r>
    <r>
      <rPr>
        <sz val="10.5"/>
        <color indexed="8"/>
        <rFont val="Times New Roman"/>
        <charset val="134"/>
      </rPr>
      <t>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</si>
  <si>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</t>
    </r>
    <r>
      <rPr>
        <sz val="10.5"/>
        <color indexed="8"/>
        <rFont val="Times New Roman"/>
        <charset val="134"/>
      </rPr>
      <t>38</t>
    </r>
    <r>
      <rPr>
        <sz val="10.5"/>
        <color indexed="8"/>
        <rFont val="宋体"/>
        <charset val="134"/>
      </rPr>
      <t>板板端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20.4m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0.80mm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</si>
  <si>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5m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0.5×4m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</si>
  <si>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4m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0.5×1 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</si>
  <si>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10.2m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0.9mm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</si>
  <si>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2.5m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10.1m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0.75mm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</si>
  <si>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10.2m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0.70mm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</si>
  <si>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，渗水印迹，面积为</t>
    </r>
    <r>
      <rPr>
        <sz val="10.5"/>
        <color indexed="8"/>
        <rFont val="Times New Roman"/>
        <charset val="134"/>
      </rPr>
      <t>1.5×7m²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</si>
  <si>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，左侧墙瓷砖脱落</t>
    </r>
    <r>
      <rPr>
        <sz val="10.5"/>
        <color indexed="8"/>
        <rFont val="Times New Roman"/>
        <charset val="134"/>
      </rPr>
      <t>2</t>
    </r>
    <r>
      <rPr>
        <sz val="10.5"/>
        <color indexed="8"/>
        <rFont val="宋体"/>
        <charset val="134"/>
      </rPr>
      <t>块，面积为</t>
    </r>
    <r>
      <rPr>
        <sz val="10.5"/>
        <color indexed="8"/>
        <rFont val="Times New Roman"/>
        <charset val="134"/>
      </rPr>
      <t>0.15×0.1m</t>
    </r>
    <r>
      <rPr>
        <vertAlign val="superscript"/>
        <sz val="10.5"/>
        <color indexed="8"/>
        <rFont val="Times New Roman"/>
        <charset val="134"/>
      </rPr>
      <t>2</t>
    </r>
    <r>
      <rPr>
        <sz val="10.5"/>
        <color indexed="8"/>
        <rFont val="Times New Roman"/>
        <charset val="134"/>
      </rPr>
      <t>×2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</si>
  <si>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10.2m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0.60mm</t>
    </r>
    <r>
      <rPr>
        <sz val="10.5"/>
        <color indexed="8"/>
        <rFont val="宋体"/>
        <charset val="134"/>
      </rPr>
      <t>，已修补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</si>
  <si>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0m</t>
    </r>
    <r>
      <rPr>
        <sz val="11"/>
        <color indexed="8"/>
        <rFont val="宋体"/>
        <charset val="134"/>
      </rPr>
      <t>，右侧沉砂井滤水篦子失效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</si>
  <si>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，右侧检修道盖板陷落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</si>
  <si>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t>露筋锈蚀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</si>
  <si>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8m</t>
    </r>
    <r>
      <rPr>
        <sz val="10.5"/>
        <color indexed="8"/>
        <rFont val="宋体"/>
        <charset val="134"/>
      </rPr>
      <t>，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处露筋，长度为</t>
    </r>
    <r>
      <rPr>
        <sz val="10.5"/>
        <color indexed="8"/>
        <rFont val="Times New Roman"/>
        <charset val="134"/>
      </rPr>
      <t>0.5m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</si>
  <si>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>0.3×1m²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</si>
  <si>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6.4m</t>
    </r>
    <r>
      <rPr>
        <sz val="10.5"/>
        <color indexed="8"/>
        <rFont val="宋体"/>
        <charset val="134"/>
      </rPr>
      <t>，渗水印迹，面积为</t>
    </r>
    <r>
      <rPr>
        <sz val="10.5"/>
        <color indexed="8"/>
        <rFont val="Times New Roman"/>
        <charset val="134"/>
      </rPr>
      <t>6m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</si>
  <si>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8m</t>
    </r>
    <r>
      <rPr>
        <sz val="10.5"/>
        <color indexed="8"/>
        <rFont val="宋体"/>
        <charset val="134"/>
      </rPr>
      <t>，左侧边墙环向裂缝，长度为</t>
    </r>
    <r>
      <rPr>
        <sz val="10.5"/>
        <color indexed="10"/>
        <rFont val="Times New Roman"/>
        <charset val="134"/>
      </rPr>
      <t>10m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0.20mm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</si>
  <si>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>0.1×4m²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</si>
  <si>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0.1×0.3m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</si>
  <si>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4m</t>
    </r>
    <r>
      <rPr>
        <sz val="10.5"/>
        <color indexed="8"/>
        <rFont val="宋体"/>
        <charset val="134"/>
      </rPr>
      <t>，左侧边墙渗水印迹，面积为</t>
    </r>
    <r>
      <rPr>
        <sz val="10.5"/>
        <color indexed="8"/>
        <rFont val="Times New Roman"/>
        <charset val="134"/>
      </rPr>
      <t>3m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</si>
  <si>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1"/>
        <color indexed="10"/>
        <rFont val="等线"/>
        <charset val="134"/>
      </rPr>
      <t>距板端</t>
    </r>
    <r>
      <rPr>
        <sz val="11"/>
        <color indexed="10"/>
        <rFont val="Times New Roman"/>
        <charset val="134"/>
      </rPr>
      <t>0m</t>
    </r>
    <r>
      <rPr>
        <sz val="11"/>
        <color indexed="10"/>
        <rFont val="等线"/>
        <charset val="134"/>
      </rPr>
      <t>，右拱腰涂层脱落，面积</t>
    </r>
    <r>
      <rPr>
        <sz val="11"/>
        <color indexed="10"/>
        <rFont val="Times New Roman"/>
        <charset val="134"/>
      </rPr>
      <t>0.2*0.5m</t>
    </r>
    <r>
      <rPr>
        <vertAlign val="superscript"/>
        <sz val="11"/>
        <color indexed="10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</si>
  <si>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0.2×0.4m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</si>
  <si>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 xml:space="preserve"> 0.05×1m²</t>
    </r>
  </si>
  <si>
    <r>
      <rPr>
        <sz val="11"/>
        <color indexed="10"/>
        <rFont val="等线"/>
        <charset val="134"/>
      </rPr>
      <t>距中心</t>
    </r>
    <r>
      <rPr>
        <sz val="11"/>
        <color indexed="10"/>
        <rFont val="Times New Roman"/>
        <charset val="134"/>
      </rPr>
      <t>2.5m</t>
    </r>
    <r>
      <rPr>
        <sz val="11"/>
        <color indexed="10"/>
        <rFont val="等线"/>
        <charset val="134"/>
      </rPr>
      <t>，拱顶纵向裂缝，距板端</t>
    </r>
    <r>
      <rPr>
        <sz val="11"/>
        <color indexed="10"/>
        <rFont val="Times New Roman"/>
        <charset val="134"/>
      </rPr>
      <t>1m</t>
    </r>
    <r>
      <rPr>
        <sz val="11"/>
        <color indexed="10"/>
        <rFont val="等线"/>
        <charset val="134"/>
      </rPr>
      <t>，长度</t>
    </r>
    <r>
      <rPr>
        <sz val="11"/>
        <color indexed="10"/>
        <rFont val="Times New Roman"/>
        <charset val="134"/>
      </rPr>
      <t>7m</t>
    </r>
    <r>
      <rPr>
        <sz val="11"/>
        <color indexed="10"/>
        <rFont val="等线"/>
        <charset val="134"/>
      </rPr>
      <t>，已修补</t>
    </r>
  </si>
  <si>
    <r>
      <rPr>
        <sz val="11"/>
        <color indexed="8"/>
        <rFont val="宋体"/>
        <charset val="134"/>
      </rPr>
      <t>风机结构及预埋件锈蚀，氧化皮已因为锈蚀而剥落，但在正常视力观察下仅见到少量点蚀，</t>
    </r>
    <r>
      <rPr>
        <sz val="11"/>
        <color indexed="8"/>
        <rFont val="Times New Roman"/>
        <charset val="134"/>
      </rPr>
      <t xml:space="preserve"> </t>
    </r>
    <r>
      <rPr>
        <sz val="11"/>
        <color indexed="8"/>
        <rFont val="宋体"/>
        <charset val="134"/>
      </rPr>
      <t>尚未影响行车安全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</si>
  <si>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7m</t>
    </r>
    <r>
      <rPr>
        <sz val="10.5"/>
        <color indexed="8"/>
        <rFont val="宋体"/>
        <charset val="134"/>
      </rPr>
      <t>，左侧边墙渗水印迹，面积为</t>
    </r>
    <r>
      <rPr>
        <sz val="10.5"/>
        <color indexed="8"/>
        <rFont val="Times New Roman"/>
        <charset val="134"/>
      </rPr>
      <t>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</si>
  <si>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1"/>
        <color indexed="10"/>
        <rFont val="等线"/>
        <charset val="134"/>
      </rPr>
      <t>距板端</t>
    </r>
    <r>
      <rPr>
        <sz val="11"/>
        <color indexed="10"/>
        <rFont val="Times New Roman"/>
        <charset val="134"/>
      </rPr>
      <t xml:space="preserve"> 0m</t>
    </r>
    <r>
      <rPr>
        <sz val="11"/>
        <color indexed="10"/>
        <rFont val="等线"/>
        <charset val="134"/>
      </rPr>
      <t>，距拱顶中心线</t>
    </r>
    <r>
      <rPr>
        <sz val="11"/>
        <color indexed="10"/>
        <rFont val="Times New Roman"/>
        <charset val="134"/>
      </rPr>
      <t>2m</t>
    </r>
    <r>
      <rPr>
        <sz val="11"/>
        <color indexed="10"/>
        <rFont val="等线"/>
        <charset val="134"/>
      </rPr>
      <t>，纵向裂缝，长度</t>
    </r>
    <r>
      <rPr>
        <sz val="11"/>
        <color indexed="10"/>
        <rFont val="Times New Roman"/>
        <charset val="134"/>
      </rPr>
      <t>7m</t>
    </r>
    <r>
      <rPr>
        <sz val="11"/>
        <color indexed="10"/>
        <rFont val="等线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</si>
  <si>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，纵向裂缝，长度</t>
    </r>
    <r>
      <rPr>
        <sz val="10.5"/>
        <color indexed="8"/>
        <rFont val="Times New Roman"/>
        <charset val="134"/>
      </rPr>
      <t>9m</t>
    </r>
    <r>
      <rPr>
        <sz val="10.5"/>
        <color indexed="8"/>
        <rFont val="宋体"/>
        <charset val="134"/>
      </rPr>
      <t>，封缝料起皮</t>
    </r>
  </si>
  <si>
    <r>
      <rPr>
        <sz val="11"/>
        <color indexed="10"/>
        <rFont val="等线"/>
        <charset val="134"/>
      </rPr>
      <t>距板端</t>
    </r>
    <r>
      <rPr>
        <sz val="11"/>
        <color indexed="10"/>
        <rFont val="Times New Roman"/>
        <charset val="134"/>
      </rPr>
      <t>0m</t>
    </r>
    <r>
      <rPr>
        <sz val="11"/>
        <color indexed="10"/>
        <rFont val="等线"/>
        <charset val="134"/>
      </rPr>
      <t>，右拱腰涂层脱落，面积</t>
    </r>
    <r>
      <rPr>
        <sz val="11"/>
        <color indexed="10"/>
        <rFont val="Times New Roman"/>
        <charset val="134"/>
      </rPr>
      <t>0.5*0.3m</t>
    </r>
    <r>
      <rPr>
        <vertAlign val="superscript"/>
        <sz val="11"/>
        <color indexed="10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</si>
  <si>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 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0.5×0.5m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</si>
  <si>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，拱顶涂层脱落，面积为</t>
    </r>
    <r>
      <rPr>
        <sz val="10.5"/>
        <color indexed="10"/>
        <rFont val="Times New Roman"/>
        <charset val="134"/>
      </rPr>
      <t>5×0.5m</t>
    </r>
    <r>
      <rPr>
        <vertAlign val="superscript"/>
        <sz val="10.5"/>
        <color indexed="10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</si>
  <si>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，左拱腰涂层脱落，面积为</t>
    </r>
    <r>
      <rPr>
        <sz val="10.5"/>
        <color indexed="8"/>
        <rFont val="Times New Roman"/>
        <charset val="134"/>
      </rPr>
      <t>1×0.2m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</si>
  <si>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，左侧边墙渗水印迹，面积为</t>
    </r>
    <r>
      <rPr>
        <sz val="10.5"/>
        <color indexed="8"/>
        <rFont val="Times New Roman"/>
        <charset val="134"/>
      </rPr>
      <t>3m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</si>
  <si>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>10m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</si>
  <si>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5.5m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0.70mm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</si>
  <si>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4m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 xml:space="preserve"> 0.5m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</si>
  <si>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1×1m²</t>
    </r>
  </si>
  <si>
    <r>
      <rPr>
        <sz val="10.5"/>
        <color indexed="8"/>
        <rFont val="宋体"/>
        <charset val="134"/>
      </rPr>
      <t>距板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 xml:space="preserve"> 1.5×0.5m²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</si>
  <si>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5.5m</t>
    </r>
    <r>
      <rPr>
        <sz val="10.5"/>
        <color indexed="8"/>
        <rFont val="宋体"/>
        <charset val="134"/>
      </rPr>
      <t>，右侧墙环向裂缝，长度为</t>
    </r>
    <r>
      <rPr>
        <sz val="10.5"/>
        <color indexed="8"/>
        <rFont val="Times New Roman"/>
        <charset val="134"/>
      </rPr>
      <t>2.5m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0.10mm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</si>
  <si>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4m</t>
    </r>
    <r>
      <rPr>
        <sz val="10.5"/>
        <color indexed="8"/>
        <rFont val="宋体"/>
        <charset val="134"/>
      </rPr>
      <t>，纵向裂缝，长度</t>
    </r>
    <r>
      <rPr>
        <sz val="10.5"/>
        <color indexed="8"/>
        <rFont val="Times New Roman"/>
        <charset val="134"/>
      </rPr>
      <t>6m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</si>
  <si>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，左拱腰涂层脱落，面积为</t>
    </r>
    <r>
      <rPr>
        <sz val="10.5"/>
        <color indexed="8"/>
        <rFont val="Times New Roman"/>
        <charset val="134"/>
      </rPr>
      <t>1×0.5m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</si>
  <si>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0.5×0.5m²</t>
    </r>
  </si>
  <si>
    <r>
      <rPr>
        <sz val="10.5"/>
        <color indexed="8"/>
        <rFont val="宋体"/>
        <charset val="134"/>
      </rPr>
      <t>距板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0.7×0.4m²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</si>
  <si>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1.7m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10.1m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0.70mm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</si>
  <si>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10.2m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0.60mm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</si>
  <si>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，右拱腰涂层脱落，面积为</t>
    </r>
    <r>
      <rPr>
        <sz val="10.5"/>
        <color indexed="8"/>
        <rFont val="Times New Roman"/>
        <charset val="134"/>
      </rPr>
      <t>1×0.2m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</si>
  <si>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</t>
    </r>
    <r>
      <rPr>
        <sz val="10.5"/>
        <color indexed="8"/>
        <rFont val="Times New Roman"/>
        <charset val="134"/>
      </rPr>
      <t>8m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</si>
  <si>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3m</t>
    </r>
    <r>
      <rPr>
        <sz val="10.5"/>
        <color indexed="8"/>
        <rFont val="宋体"/>
        <charset val="134"/>
      </rPr>
      <t>，左侧检修道盖板陷落</t>
    </r>
    <r>
      <rPr>
        <sz val="10.5"/>
        <color indexed="8"/>
        <rFont val="Times New Roman"/>
        <charset val="134"/>
      </rPr>
      <t>2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</si>
  <si>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2m</t>
    </r>
    <r>
      <rPr>
        <sz val="10.5"/>
        <color indexed="8"/>
        <rFont val="宋体"/>
        <charset val="134"/>
      </rPr>
      <t>，左侧墙瓷砖脱落</t>
    </r>
    <r>
      <rPr>
        <sz val="10.5"/>
        <color indexed="10"/>
        <rFont val="Times New Roman"/>
        <charset val="134"/>
      </rPr>
      <t>4</t>
    </r>
    <r>
      <rPr>
        <sz val="10.5"/>
        <color indexed="10"/>
        <rFont val="宋体"/>
        <charset val="134"/>
      </rPr>
      <t>块</t>
    </r>
    <r>
      <rPr>
        <sz val="10.5"/>
        <color indexed="8"/>
        <rFont val="宋体"/>
        <charset val="134"/>
      </rPr>
      <t>，面积为</t>
    </r>
    <r>
      <rPr>
        <sz val="10.5"/>
        <color indexed="8"/>
        <rFont val="Times New Roman"/>
        <charset val="134"/>
      </rPr>
      <t>0.3×0.3m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</si>
  <si>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10m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</si>
  <si>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0.3m</t>
    </r>
    <r>
      <rPr>
        <sz val="10.5"/>
        <color indexed="8"/>
        <rFont val="宋体"/>
        <charset val="134"/>
      </rPr>
      <t>，拱顶环向裂缝，长度为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0.60mm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</si>
  <si>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，左侧检修道盖板陷落</t>
    </r>
    <r>
      <rPr>
        <sz val="10.5"/>
        <color indexed="8"/>
        <rFont val="Times New Roman"/>
        <charset val="134"/>
      </rPr>
      <t>2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</si>
  <si>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7m</t>
    </r>
    <r>
      <rPr>
        <sz val="10.5"/>
        <color indexed="8"/>
        <rFont val="宋体"/>
        <charset val="134"/>
      </rPr>
      <t>，左侧检修道盖板陷落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</si>
  <si>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</t>
    </r>
    <r>
      <rPr>
        <sz val="10.5"/>
        <color indexed="8"/>
        <rFont val="Times New Roman"/>
        <charset val="134"/>
      </rPr>
      <t>5m</t>
    </r>
    <r>
      <rPr>
        <sz val="10.5"/>
        <color indexed="8"/>
        <rFont val="宋体"/>
        <charset val="134"/>
      </rPr>
      <t>，渗水印迹，面积为</t>
    </r>
    <r>
      <rPr>
        <sz val="10.5"/>
        <color indexed="8"/>
        <rFont val="Times New Roman"/>
        <charset val="134"/>
      </rPr>
      <t>0.5×5m²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</si>
  <si>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，距拱顶中心线</t>
    </r>
    <r>
      <rPr>
        <sz val="10.5"/>
        <color indexed="8"/>
        <rFont val="Times New Roman"/>
        <charset val="134"/>
      </rPr>
      <t>1m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10.2m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</si>
  <si>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2m</t>
    </r>
    <r>
      <rPr>
        <sz val="10.5"/>
        <color indexed="8"/>
        <rFont val="宋体"/>
        <charset val="134"/>
      </rPr>
      <t>，左侧检修道盖板陷落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</si>
  <si>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8m</t>
    </r>
    <r>
      <rPr>
        <sz val="10.5"/>
        <color indexed="8"/>
        <rFont val="宋体"/>
        <charset val="134"/>
      </rPr>
      <t>，拱顶涂层脱落，面积为</t>
    </r>
    <r>
      <rPr>
        <sz val="10.5"/>
        <color indexed="8"/>
        <rFont val="Times New Roman"/>
        <charset val="134"/>
      </rPr>
      <t>0.3×0.5m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</si>
  <si>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0.2m</t>
    </r>
    <r>
      <rPr>
        <sz val="10.5"/>
        <color indexed="8"/>
        <rFont val="宋体"/>
        <charset val="134"/>
      </rPr>
      <t>，左拱腰环向裂缝，长度为</t>
    </r>
    <r>
      <rPr>
        <sz val="10.5"/>
        <color indexed="8"/>
        <rFont val="Times New Roman"/>
        <charset val="134"/>
      </rPr>
      <t>1.5m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0.80mm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</si>
  <si>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，右拱腰涂层脱落，面积为</t>
    </r>
    <r>
      <rPr>
        <sz val="10.5"/>
        <color indexed="8"/>
        <rFont val="Times New Roman"/>
        <charset val="134"/>
      </rPr>
      <t>0.2×0.5m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</si>
  <si>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瓷砖</t>
    </r>
    <r>
      <rPr>
        <sz val="10.5"/>
        <color indexed="10"/>
        <rFont val="宋体"/>
        <charset val="134"/>
      </rPr>
      <t>脱落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</si>
  <si>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，左侧墙瓷砖脱落</t>
    </r>
    <r>
      <rPr>
        <sz val="10.5"/>
        <color indexed="10"/>
        <rFont val="Times New Roman"/>
        <charset val="134"/>
      </rPr>
      <t>10</t>
    </r>
    <r>
      <rPr>
        <sz val="10.5"/>
        <color indexed="10"/>
        <rFont val="宋体"/>
        <charset val="134"/>
      </rPr>
      <t>块</t>
    </r>
    <r>
      <rPr>
        <sz val="10.5"/>
        <color indexed="8"/>
        <rFont val="宋体"/>
        <charset val="134"/>
      </rPr>
      <t>，面积为</t>
    </r>
    <r>
      <rPr>
        <sz val="10.5"/>
        <color indexed="8"/>
        <rFont val="Times New Roman"/>
        <charset val="134"/>
      </rPr>
      <t>0.5×0.7m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</si>
  <si>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0.1×3m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</si>
  <si>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1"/>
        <color indexed="10"/>
        <rFont val="等线"/>
        <charset val="134"/>
      </rPr>
      <t>距板端</t>
    </r>
    <r>
      <rPr>
        <sz val="11"/>
        <color indexed="10"/>
        <rFont val="Times New Roman"/>
        <charset val="134"/>
      </rPr>
      <t xml:space="preserve"> 0m</t>
    </r>
    <r>
      <rPr>
        <sz val="11"/>
        <color indexed="10"/>
        <rFont val="等线"/>
        <charset val="134"/>
      </rPr>
      <t>，右侧墙斜向裂缝，长度</t>
    </r>
    <r>
      <rPr>
        <sz val="11"/>
        <color indexed="10"/>
        <rFont val="Times New Roman"/>
        <charset val="134"/>
      </rPr>
      <t>3m</t>
    </r>
    <r>
      <rPr>
        <sz val="11"/>
        <color indexed="10"/>
        <rFont val="等线"/>
        <charset val="134"/>
      </rPr>
      <t>，宽度</t>
    </r>
    <r>
      <rPr>
        <sz val="11"/>
        <color indexed="10"/>
        <rFont val="Times New Roman"/>
        <charset val="134"/>
      </rPr>
      <t>0.20mm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</si>
  <si>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0.4×0.2m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</si>
  <si>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10m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</si>
  <si>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5m</t>
    </r>
    <r>
      <rPr>
        <sz val="10.5"/>
        <color indexed="8"/>
        <rFont val="宋体"/>
        <charset val="134"/>
      </rPr>
      <t>，左侧检修道盖板陷落</t>
    </r>
    <r>
      <rPr>
        <sz val="10.5"/>
        <color indexed="8"/>
        <rFont val="Times New Roman"/>
        <charset val="134"/>
      </rPr>
      <t>2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</si>
  <si>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，左拱腰涂层脱落，面积为</t>
    </r>
    <r>
      <rPr>
        <sz val="10.5"/>
        <color indexed="8"/>
        <rFont val="Times New Roman"/>
        <charset val="134"/>
      </rPr>
      <t>0.1×1m</t>
    </r>
    <r>
      <rPr>
        <vertAlign val="superscript"/>
        <sz val="10.5"/>
        <color indexed="8"/>
        <rFont val="Times New Roman"/>
        <charset val="134"/>
      </rPr>
      <t>2</t>
    </r>
  </si>
  <si>
    <t>距板端6m，右侧检修道盖板陷落1块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</si>
  <si>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0.6×0.2m</t>
    </r>
    <r>
      <rPr>
        <vertAlign val="superscript"/>
        <sz val="10.5"/>
        <color indexed="8"/>
        <rFont val="Times New Roman"/>
        <charset val="134"/>
      </rPr>
      <t>2</t>
    </r>
  </si>
  <si>
    <t>距板端8m，右侧检修道盖板陷落1块</t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</si>
  <si>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7m</t>
    </r>
    <r>
      <rPr>
        <sz val="10.5"/>
        <color indexed="8"/>
        <rFont val="宋体"/>
        <charset val="134"/>
      </rPr>
      <t>，封缝料起皮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</si>
  <si>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5m</t>
    </r>
    <r>
      <rPr>
        <sz val="10.5"/>
        <color indexed="8"/>
        <rFont val="宋体"/>
        <charset val="134"/>
      </rPr>
      <t>，左侧检修道盖板陷落</t>
    </r>
    <r>
      <rPr>
        <sz val="10.5"/>
        <color indexed="8"/>
        <rFont val="Times New Roman"/>
        <charset val="134"/>
      </rPr>
      <t>1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</si>
  <si>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3m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7m</t>
    </r>
    <r>
      <rPr>
        <sz val="10.5"/>
        <color indexed="8"/>
        <rFont val="宋体"/>
        <charset val="134"/>
      </rPr>
      <t>，封缝料起皮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</si>
  <si>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，施工缝渗水印迹，面积为</t>
    </r>
    <r>
      <rPr>
        <sz val="10.5"/>
        <color indexed="8"/>
        <rFont val="Times New Roman"/>
        <charset val="134"/>
      </rPr>
      <t>7m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</si>
  <si>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0.3×1m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</si>
  <si>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1"/>
        <color indexed="10"/>
        <rFont val="等线"/>
        <charset val="134"/>
      </rPr>
      <t>距板端</t>
    </r>
    <r>
      <rPr>
        <sz val="11"/>
        <color indexed="10"/>
        <rFont val="Times New Roman"/>
        <charset val="134"/>
      </rPr>
      <t>0m</t>
    </r>
    <r>
      <rPr>
        <sz val="11"/>
        <color indexed="10"/>
        <rFont val="等线"/>
        <charset val="134"/>
      </rPr>
      <t>，右侧墙瓷砖空鼓，面积</t>
    </r>
    <r>
      <rPr>
        <sz val="11"/>
        <color indexed="10"/>
        <rFont val="Times New Roman"/>
        <charset val="134"/>
      </rPr>
      <t>1*1.5m</t>
    </r>
    <r>
      <rPr>
        <vertAlign val="superscript"/>
        <sz val="11"/>
        <color indexed="10"/>
        <rFont val="Times New Roman"/>
        <charset val="134"/>
      </rPr>
      <t>2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</si>
  <si>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10.1m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1.00mm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</si>
  <si>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，纵向裂缝，长度为</t>
    </r>
    <r>
      <rPr>
        <sz val="10.5"/>
        <color indexed="8"/>
        <rFont val="Times New Roman"/>
        <charset val="134"/>
      </rPr>
      <t>10.1m</t>
    </r>
    <r>
      <rPr>
        <sz val="10.5"/>
        <color indexed="8"/>
        <rFont val="宋体"/>
        <charset val="134"/>
      </rPr>
      <t>，宽度为</t>
    </r>
    <r>
      <rPr>
        <sz val="10.5"/>
        <color indexed="8"/>
        <rFont val="Times New Roman"/>
        <charset val="134"/>
      </rPr>
      <t>0.60mm</t>
    </r>
    <r>
      <rPr>
        <sz val="10.5"/>
        <color indexed="8"/>
        <rFont val="宋体"/>
        <charset val="134"/>
      </rPr>
      <t>，已修补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</si>
  <si>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0.1×0.5m</t>
    </r>
    <r>
      <rPr>
        <vertAlign val="superscript"/>
        <sz val="10.5"/>
        <color indexed="8"/>
        <rFont val="Times New Roman"/>
        <charset val="134"/>
      </rPr>
      <t>2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</si>
  <si>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8m</t>
    </r>
    <r>
      <rPr>
        <sz val="11"/>
        <color indexed="8"/>
        <rFont val="宋体"/>
        <charset val="134"/>
      </rPr>
      <t>，行车道路面横向裂缝，长度为</t>
    </r>
    <r>
      <rPr>
        <sz val="11"/>
        <color indexed="8"/>
        <rFont val="Times New Roman"/>
        <charset val="134"/>
      </rPr>
      <t>2.0m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2mm</t>
    </r>
  </si>
  <si>
    <r>
      <rPr>
        <sz val="11"/>
        <color indexed="8"/>
        <rFont val="宋体"/>
        <charset val="134"/>
      </rPr>
      <t>距板端</t>
    </r>
    <r>
      <rPr>
        <sz val="11"/>
        <color indexed="8"/>
        <rFont val="Times New Roman"/>
        <charset val="134"/>
      </rPr>
      <t xml:space="preserve"> 8m</t>
    </r>
    <r>
      <rPr>
        <sz val="11"/>
        <color indexed="8"/>
        <rFont val="宋体"/>
        <charset val="134"/>
      </rPr>
      <t>，行车道路面横向裂缝，长度为</t>
    </r>
    <r>
      <rPr>
        <sz val="11"/>
        <color indexed="8"/>
        <rFont val="Times New Roman"/>
        <charset val="134"/>
      </rPr>
      <t>3.75m</t>
    </r>
    <r>
      <rPr>
        <sz val="11"/>
        <color indexed="8"/>
        <rFont val="宋体"/>
        <charset val="134"/>
      </rPr>
      <t>，宽度为</t>
    </r>
    <r>
      <rPr>
        <sz val="11"/>
        <color indexed="8"/>
        <rFont val="Times New Roman"/>
        <charset val="134"/>
      </rPr>
      <t>2mm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</si>
  <si>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 xml:space="preserve"> 0m</t>
    </r>
    <r>
      <rPr>
        <sz val="10.5"/>
        <color indexed="8"/>
        <rFont val="宋体"/>
        <charset val="134"/>
      </rPr>
      <t>，涂层脱落，面积为</t>
    </r>
    <r>
      <rPr>
        <sz val="10.5"/>
        <color indexed="8"/>
        <rFont val="Times New Roman"/>
        <charset val="134"/>
      </rPr>
      <t>0.1×</t>
    </r>
    <r>
      <rPr>
        <sz val="10.5"/>
        <color indexed="10"/>
        <rFont val="Times New Roman"/>
        <charset val="134"/>
      </rPr>
      <t>3m²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</si>
  <si>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3m</t>
    </r>
    <r>
      <rPr>
        <sz val="10.5"/>
        <color indexed="8"/>
        <rFont val="宋体"/>
        <charset val="134"/>
      </rPr>
      <t>，露筋锈蚀，</t>
    </r>
    <r>
      <rPr>
        <sz val="10.5"/>
        <color indexed="10"/>
        <rFont val="宋体"/>
        <charset val="134"/>
      </rPr>
      <t>面积为</t>
    </r>
    <r>
      <rPr>
        <sz val="10.5"/>
        <color indexed="10"/>
        <rFont val="Times New Roman"/>
        <charset val="134"/>
      </rPr>
      <t>0.1×3m²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</si>
  <si>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4m</t>
    </r>
    <r>
      <rPr>
        <sz val="10.5"/>
        <color indexed="8"/>
        <rFont val="宋体"/>
        <charset val="134"/>
      </rPr>
      <t>，左侧检修道盖板陷落</t>
    </r>
    <r>
      <rPr>
        <sz val="10.5"/>
        <color indexed="8"/>
        <rFont val="Times New Roman"/>
        <charset val="134"/>
      </rPr>
      <t>5</t>
    </r>
    <r>
      <rPr>
        <sz val="10.5"/>
        <color indexed="8"/>
        <rFont val="宋体"/>
        <charset val="134"/>
      </rPr>
      <t>块</t>
    </r>
  </si>
  <si>
    <r>
      <rPr>
        <sz val="10.5"/>
        <color indexed="8"/>
        <rFont val="宋体"/>
        <charset val="134"/>
      </rPr>
      <t>距板端</t>
    </r>
    <r>
      <rPr>
        <sz val="10.5"/>
        <color indexed="8"/>
        <rFont val="Times New Roman"/>
        <charset val="134"/>
      </rPr>
      <t>0m</t>
    </r>
    <r>
      <rPr>
        <sz val="10.5"/>
        <color indexed="8"/>
        <rFont val="宋体"/>
        <charset val="134"/>
      </rPr>
      <t>，拱顶环向裂缝，长度为</t>
    </r>
    <r>
      <rPr>
        <sz val="10.5"/>
        <color indexed="10"/>
        <rFont val="Times New Roman"/>
        <charset val="134"/>
      </rPr>
      <t>2m</t>
    </r>
    <r>
      <rPr>
        <sz val="10.5"/>
        <color indexed="8"/>
        <rFont val="宋体"/>
        <charset val="134"/>
      </rPr>
      <t>，已修补</t>
    </r>
  </si>
  <si>
    <r>
      <rPr>
        <sz val="11"/>
        <color theme="1"/>
        <rFont val="宋体"/>
        <charset val="134"/>
      </rPr>
      <t>出口洞门受雨水侵蚀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</si>
  <si>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0.1m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</si>
  <si>
    <r>
      <rPr>
        <sz val="10.5"/>
        <color theme="1"/>
        <rFont val="宋体"/>
        <charset val="134"/>
      </rPr>
      <t>内装饰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</si>
  <si>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0.05×0.6m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</si>
  <si>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，瓷砖脱落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块，面积为</t>
    </r>
    <r>
      <rPr>
        <sz val="10.5"/>
        <color theme="1"/>
        <rFont val="Times New Roman"/>
        <charset val="134"/>
      </rPr>
      <t>0.015m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</si>
  <si>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0.2m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</si>
  <si>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</si>
  <si>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10m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</si>
  <si>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，涂层脱落面积为</t>
    </r>
    <r>
      <rPr>
        <sz val="10.5"/>
        <color theme="1"/>
        <rFont val="Times New Roman"/>
        <charset val="134"/>
      </rPr>
      <t>8m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</si>
  <si>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10.1m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</si>
  <si>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0m</t>
    </r>
    <r>
      <rPr>
        <sz val="11"/>
        <color theme="1"/>
        <rFont val="宋体"/>
        <charset val="134"/>
      </rPr>
      <t>，右侧墙局部脱空，面积约</t>
    </r>
    <r>
      <rPr>
        <sz val="11"/>
        <color theme="1"/>
        <rFont val="Times New Roman"/>
        <charset val="134"/>
      </rPr>
      <t>1.5×1.5m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</si>
  <si>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，涂层脱落面积为</t>
    </r>
    <r>
      <rPr>
        <sz val="10.5"/>
        <color theme="1"/>
        <rFont val="Times New Roman"/>
        <charset val="134"/>
      </rPr>
      <t>4m2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</si>
  <si>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，斜向裂缝，长度为</t>
    </r>
    <r>
      <rPr>
        <sz val="10.5"/>
        <color theme="1"/>
        <rFont val="Times New Roman"/>
        <charset val="134"/>
      </rPr>
      <t>10m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，已修补</t>
    </r>
  </si>
  <si>
    <t>距板端7m，左侧检修道盖板缺角3块</t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</si>
  <si>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10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29.7m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</si>
  <si>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0.2×0.3m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</si>
  <si>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左拱腰右拱腰拱顶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</si>
  <si>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3</t>
    </r>
    <r>
      <rPr>
        <sz val="10.5"/>
        <color theme="1"/>
        <rFont val="宋体"/>
        <charset val="134"/>
      </rPr>
      <t>处，防火涂层脱落，面积为</t>
    </r>
    <r>
      <rPr>
        <sz val="10.5"/>
        <color theme="1"/>
        <rFont val="Times New Roman"/>
        <charset val="134"/>
      </rPr>
      <t>0.1×3m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</si>
  <si>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14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30.2m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</si>
  <si>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0.1×1.5m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</si>
  <si>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，左侧检修道盖板缺角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</si>
  <si>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0.2×0.5m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</si>
  <si>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，长度为</t>
    </r>
    <r>
      <rPr>
        <sz val="10.5"/>
        <color theme="1"/>
        <rFont val="Times New Roman"/>
        <charset val="134"/>
      </rPr>
      <t>10m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</si>
  <si>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，左侧检修道盖板陷落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</si>
  <si>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019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，斜向裂缝，长度为</t>
    </r>
    <r>
      <rPr>
        <sz val="10.5"/>
        <color theme="1"/>
        <rFont val="Times New Roman"/>
        <charset val="134"/>
      </rPr>
      <t>30.1m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</si>
  <si>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，左侧墙瓷砖脱落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块，面积为</t>
    </r>
    <r>
      <rPr>
        <sz val="11"/>
        <color theme="1"/>
        <rFont val="Times New Roman"/>
        <charset val="134"/>
      </rPr>
      <t>0.15×0.3m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</si>
  <si>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，左侧墙瓷砖脱落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块，面积为</t>
    </r>
    <r>
      <rPr>
        <sz val="11"/>
        <color theme="1"/>
        <rFont val="Times New Roman"/>
        <charset val="134"/>
      </rPr>
      <t>0.15×0.3m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×3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</si>
  <si>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10.1m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0.70mm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</si>
  <si>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0.80mm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</si>
  <si>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，瓷砖刮痕，面积为</t>
    </r>
    <r>
      <rPr>
        <sz val="10.5"/>
        <color theme="1"/>
        <rFont val="Times New Roman"/>
        <charset val="134"/>
      </rPr>
      <t>8×0.1m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</si>
  <si>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</si>
  <si>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，右侧检修道盖板缺角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</si>
  <si>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4m</t>
    </r>
    <r>
      <rPr>
        <sz val="10.5"/>
        <color theme="1"/>
        <rFont val="宋体"/>
        <charset val="134"/>
      </rPr>
      <t>，瓷砖脱落</t>
    </r>
    <r>
      <rPr>
        <sz val="10.5"/>
        <color theme="1"/>
        <rFont val="Times New Roman"/>
        <charset val="134"/>
      </rPr>
      <t>6</t>
    </r>
    <r>
      <rPr>
        <sz val="10.5"/>
        <color theme="1"/>
        <rFont val="宋体"/>
        <charset val="134"/>
      </rPr>
      <t>块，面积为</t>
    </r>
    <r>
      <rPr>
        <sz val="10.5"/>
        <color theme="1"/>
        <rFont val="Times New Roman"/>
        <charset val="134"/>
      </rPr>
      <t>0.15×0.3m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Times New Roman"/>
        <charset val="134"/>
      </rPr>
      <t>×6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</si>
  <si>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，左侧墙瓷砖脱落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块，面积为</t>
    </r>
    <r>
      <rPr>
        <sz val="11"/>
        <color theme="1"/>
        <rFont val="Times New Roman"/>
        <charset val="134"/>
      </rPr>
      <t>0.15×0.3m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×2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</si>
  <si>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10.1m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</si>
  <si>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10.1m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</si>
  <si>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10.1m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1mm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</si>
  <si>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，左侧墙瓷砖空鼓，面积为</t>
    </r>
    <r>
      <rPr>
        <sz val="11"/>
        <color theme="1"/>
        <rFont val="Times New Roman"/>
        <charset val="134"/>
      </rPr>
      <t>0.5×0.5m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</si>
  <si>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0.1×0.5m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</si>
  <si>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1m</t>
    </r>
    <r>
      <rPr>
        <sz val="11"/>
        <color theme="1"/>
        <rFont val="宋体"/>
        <charset val="134"/>
      </rPr>
      <t>，右侧侧墙轮廓标缺失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个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</si>
  <si>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，左侧检修道盖板缺角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</si>
  <si>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10.1m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0.70mm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</si>
  <si>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，斜向裂缝，长度为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</si>
  <si>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6.5m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</si>
  <si>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13.3m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</si>
  <si>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0.4m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</si>
  <si>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，已修补</t>
    </r>
  </si>
  <si>
    <t>螺栓缺失</t>
  </si>
  <si>
    <t>左侧边墙里程桩指示牌螺栓缺失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</si>
  <si>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，不规则裂缝，长度为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，已修补</t>
    </r>
  </si>
  <si>
    <t>距板端1m，左侧检修道盖板陷落2块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</si>
  <si>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0.1×2m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</si>
  <si>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，纵向裂缝，距拱顶中心线</t>
    </r>
    <r>
      <rPr>
        <sz val="10.5"/>
        <color theme="1"/>
        <rFont val="Times New Roman"/>
        <charset val="134"/>
      </rPr>
      <t>1.2m</t>
    </r>
    <r>
      <rPr>
        <sz val="10.5"/>
        <color theme="1"/>
        <rFont val="宋体"/>
        <charset val="134"/>
      </rPr>
      <t>，长度为</t>
    </r>
    <r>
      <rPr>
        <sz val="10.5"/>
        <color theme="1"/>
        <rFont val="Times New Roman"/>
        <charset val="134"/>
      </rPr>
      <t>10m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0.30mm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</si>
  <si>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，瓷砖脱落，面积为</t>
    </r>
    <r>
      <rPr>
        <sz val="10.5"/>
        <color theme="1"/>
        <rFont val="Times New Roman"/>
        <charset val="134"/>
      </rPr>
      <t>0.15×0.3m2×34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</si>
  <si>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</si>
  <si>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，露筋，长度为</t>
    </r>
    <r>
      <rPr>
        <sz val="10.5"/>
        <color theme="1"/>
        <rFont val="Times New Roman"/>
        <charset val="134"/>
      </rPr>
      <t>1m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</si>
  <si>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，不规则裂缝，长度为</t>
    </r>
    <r>
      <rPr>
        <sz val="10.5"/>
        <color theme="1"/>
        <rFont val="Times New Roman"/>
        <charset val="134"/>
      </rPr>
      <t>6m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</si>
  <si>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，瓷砖脱落，面积为</t>
    </r>
    <r>
      <rPr>
        <sz val="10.5"/>
        <color theme="1"/>
        <rFont val="Times New Roman"/>
        <charset val="134"/>
      </rPr>
      <t>0.1×0.3m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</si>
  <si>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0.05×1m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</si>
  <si>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10.1m</t>
    </r>
    <r>
      <rPr>
        <sz val="10.5"/>
        <color theme="1"/>
        <rFont val="宋体"/>
        <charset val="134"/>
      </rPr>
      <t>，封缝料起皮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</si>
  <si>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，瓷砖破损，面积为</t>
    </r>
    <r>
      <rPr>
        <sz val="10.5"/>
        <color theme="1"/>
        <rFont val="Times New Roman"/>
        <charset val="134"/>
      </rPr>
      <t>0.1×0.2m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，修复后破损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</si>
  <si>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，左侧检修道盖板陷落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</si>
  <si>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，瓷砖脱落，面积为</t>
    </r>
    <r>
      <rPr>
        <sz val="10.5"/>
        <color theme="1"/>
        <rFont val="Times New Roman"/>
        <charset val="134"/>
      </rPr>
      <t>0.15×0.3m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，修复后破损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</si>
  <si>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071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20.1m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</si>
  <si>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8m</t>
    </r>
    <r>
      <rPr>
        <sz val="11"/>
        <color theme="1"/>
        <rFont val="宋体"/>
        <charset val="134"/>
      </rPr>
      <t>，右侧侧墙轮廓标缺失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个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</si>
  <si>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，纵向裂缝，距拱顶中心线</t>
    </r>
    <r>
      <rPr>
        <sz val="10.5"/>
        <color theme="1"/>
        <rFont val="Times New Roman"/>
        <charset val="134"/>
      </rPr>
      <t>2.5m</t>
    </r>
    <r>
      <rPr>
        <sz val="10.5"/>
        <color theme="1"/>
        <rFont val="宋体"/>
        <charset val="134"/>
      </rPr>
      <t>，长度为</t>
    </r>
    <r>
      <rPr>
        <sz val="10.5"/>
        <color theme="1"/>
        <rFont val="Times New Roman"/>
        <charset val="134"/>
      </rPr>
      <t>10m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</si>
  <si>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10m</t>
    </r>
    <r>
      <rPr>
        <sz val="10.5"/>
        <color theme="1"/>
        <rFont val="宋体"/>
        <charset val="134"/>
      </rPr>
      <t>，封缝料起皮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</si>
  <si>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9m</t>
    </r>
    <r>
      <rPr>
        <sz val="11"/>
        <color theme="1"/>
        <rFont val="宋体"/>
        <charset val="134"/>
      </rPr>
      <t>，右侧侧墙轮廓标缺失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个</t>
    </r>
  </si>
  <si>
    <t>盖板断裂</t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</si>
  <si>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，右侧检修道盖板断裂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</si>
  <si>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0.1×0.3m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</si>
  <si>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9.9m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0.70mm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</si>
  <si>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6.5m</t>
    </r>
    <r>
      <rPr>
        <sz val="10.5"/>
        <color theme="1"/>
        <rFont val="宋体"/>
        <charset val="134"/>
      </rPr>
      <t>，渗水印迹，面积</t>
    </r>
    <r>
      <rPr>
        <sz val="10.5"/>
        <color theme="1"/>
        <rFont val="Times New Roman"/>
        <charset val="134"/>
      </rPr>
      <t>4m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</si>
  <si>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，瓷砖破损，面积为</t>
    </r>
    <r>
      <rPr>
        <sz val="10.5"/>
        <color theme="1"/>
        <rFont val="Times New Roman"/>
        <charset val="134"/>
      </rPr>
      <t>0.15×0.3m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Times New Roman"/>
        <charset val="134"/>
      </rPr>
      <t>×2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</si>
  <si>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4m</t>
    </r>
    <r>
      <rPr>
        <sz val="11"/>
        <color theme="1"/>
        <rFont val="宋体"/>
        <charset val="134"/>
      </rPr>
      <t>，右侧检修道盖板陷落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</si>
  <si>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，瓷砖脱落，面积为</t>
    </r>
    <r>
      <rPr>
        <sz val="10.5"/>
        <color theme="1"/>
        <rFont val="Times New Roman"/>
        <charset val="134"/>
      </rPr>
      <t>0.5×0.3m2</t>
    </r>
    <r>
      <rPr>
        <sz val="10.5"/>
        <color theme="1"/>
        <rFont val="宋体"/>
        <charset val="134"/>
      </rPr>
      <t>，修复后空鼓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</si>
  <si>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084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29.8m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</si>
  <si>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1×0.5m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</si>
  <si>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6.5m</t>
    </r>
    <r>
      <rPr>
        <sz val="10.5"/>
        <color theme="1"/>
        <rFont val="宋体"/>
        <charset val="134"/>
      </rPr>
      <t>，瓷砖脱落，修复后破损</t>
    </r>
    <r>
      <rPr>
        <sz val="10.5"/>
        <color theme="1"/>
        <rFont val="Times New Roman"/>
        <charset val="134"/>
      </rPr>
      <t>3</t>
    </r>
    <r>
      <rPr>
        <sz val="10.5"/>
        <color theme="1"/>
        <rFont val="宋体"/>
        <charset val="134"/>
      </rPr>
      <t>块，面积为</t>
    </r>
    <r>
      <rPr>
        <sz val="10.5"/>
        <color theme="1"/>
        <rFont val="Times New Roman"/>
        <charset val="134"/>
      </rPr>
      <t>0.15×0.3m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Times New Roman"/>
        <charset val="134"/>
      </rPr>
      <t>×3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</si>
  <si>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3m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9.9m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0.70mm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</si>
  <si>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6.5m</t>
    </r>
    <r>
      <rPr>
        <sz val="11"/>
        <color theme="1"/>
        <rFont val="宋体"/>
        <charset val="134"/>
      </rPr>
      <t>，右侧检修道盖板陷落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</si>
  <si>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，瓷砖脱落，面积为</t>
    </r>
    <r>
      <rPr>
        <sz val="10.5"/>
        <color theme="1"/>
        <rFont val="Times New Roman"/>
        <charset val="134"/>
      </rPr>
      <t>0.1×0.2m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</si>
  <si>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</t>
    </r>
    <r>
      <rPr>
        <sz val="10.5"/>
        <color theme="1"/>
        <rFont val="Times New Roman"/>
        <charset val="134"/>
      </rPr>
      <t>088</t>
    </r>
    <r>
      <rPr>
        <sz val="10.5"/>
        <color theme="1"/>
        <rFont val="宋体"/>
        <charset val="134"/>
      </rPr>
      <t>号板板端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30.1m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</si>
  <si>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，瓷砖破损，面积为</t>
    </r>
    <r>
      <rPr>
        <sz val="10.5"/>
        <color theme="1"/>
        <rFont val="Times New Roman"/>
        <charset val="134"/>
      </rPr>
      <t>1.17m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</si>
  <si>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，距拱顶中心线</t>
    </r>
    <r>
      <rPr>
        <sz val="10.5"/>
        <color theme="1"/>
        <rFont val="Times New Roman"/>
        <charset val="134"/>
      </rPr>
      <t>1m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，修补处起皮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</si>
  <si>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7m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</si>
  <si>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10m</t>
    </r>
    <r>
      <rPr>
        <sz val="10.5"/>
        <color theme="1"/>
        <rFont val="宋体"/>
        <charset val="134"/>
      </rPr>
      <t>，瓷砖破损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块，面积为</t>
    </r>
    <r>
      <rPr>
        <sz val="10.5"/>
        <color theme="1"/>
        <rFont val="Times New Roman"/>
        <charset val="134"/>
      </rPr>
      <t>0.15×0.3m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</si>
  <si>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，瓷砖破损，面积为</t>
    </r>
    <r>
      <rPr>
        <sz val="10.5"/>
        <color theme="1"/>
        <rFont val="Times New Roman"/>
        <charset val="134"/>
      </rPr>
      <t>0.15×0.3m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</si>
  <si>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，左侧检修道盖板缺角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</si>
  <si>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9.5m</t>
    </r>
    <r>
      <rPr>
        <sz val="10.5"/>
        <color theme="1"/>
        <rFont val="宋体"/>
        <charset val="134"/>
      </rPr>
      <t>，瓷砖破损，面积为</t>
    </r>
    <r>
      <rPr>
        <sz val="10.5"/>
        <color theme="1"/>
        <rFont val="Times New Roman"/>
        <charset val="134"/>
      </rPr>
      <t>0.15×0.3m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，修复后破损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</si>
  <si>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，瓷砖空鼓，面积为</t>
    </r>
    <r>
      <rPr>
        <sz val="10.5"/>
        <color theme="1"/>
        <rFont val="Times New Roman"/>
        <charset val="134"/>
      </rPr>
      <t>1×1m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</si>
  <si>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2.5×0.1m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</si>
  <si>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10m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</si>
  <si>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，施工缝渗水印迹，面积</t>
    </r>
    <r>
      <rPr>
        <sz val="10.5"/>
        <color theme="1"/>
        <rFont val="Times New Roman"/>
        <charset val="134"/>
      </rPr>
      <t>0.3×3m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</si>
  <si>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2m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0.3×6m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</si>
  <si>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10m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0.60mm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</si>
  <si>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，纵向裂缝，长度为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1.00mm</t>
    </r>
    <r>
      <rPr>
        <sz val="10.5"/>
        <color theme="1"/>
        <rFont val="宋体"/>
        <charset val="134"/>
      </rPr>
      <t>，已修补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</si>
  <si>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，涂层脱落，面积为</t>
    </r>
    <r>
      <rPr>
        <sz val="10.5"/>
        <color theme="1"/>
        <rFont val="Times New Roman"/>
        <charset val="134"/>
      </rPr>
      <t>2m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</si>
  <si>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>0m</t>
    </r>
    <r>
      <rPr>
        <sz val="11"/>
        <color theme="1"/>
        <rFont val="宋体"/>
        <charset val="134"/>
      </rPr>
      <t>，左侧墙瓷砖脱落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块，面积为</t>
    </r>
    <r>
      <rPr>
        <sz val="11"/>
        <color theme="1"/>
        <rFont val="Times New Roman"/>
        <charset val="134"/>
      </rPr>
      <t>0.8×1m</t>
    </r>
    <r>
      <rPr>
        <vertAlign val="superscript"/>
        <sz val="11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</si>
  <si>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，左侧检修道盖板陷落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</si>
  <si>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0m</t>
    </r>
    <r>
      <rPr>
        <sz val="10.5"/>
        <color theme="1"/>
        <rFont val="宋体"/>
        <charset val="134"/>
      </rPr>
      <t>，环向裂缝，长度为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，宽度为</t>
    </r>
    <r>
      <rPr>
        <sz val="10.5"/>
        <color theme="1"/>
        <rFont val="Times New Roman"/>
        <charset val="134"/>
      </rPr>
      <t>2.00mm</t>
    </r>
    <r>
      <rPr>
        <sz val="10.5"/>
        <color theme="1"/>
        <rFont val="宋体"/>
        <charset val="134"/>
      </rPr>
      <t>，已修补</t>
    </r>
  </si>
  <si>
    <r>
      <rPr>
        <sz val="11"/>
        <color theme="1"/>
        <rFont val="宋体"/>
        <charset val="134"/>
      </rPr>
      <t>距板端</t>
    </r>
    <r>
      <rPr>
        <sz val="11"/>
        <color theme="1"/>
        <rFont val="Times New Roman"/>
        <charset val="134"/>
      </rPr>
      <t xml:space="preserve"> 2m</t>
    </r>
    <r>
      <rPr>
        <sz val="11"/>
        <color theme="1"/>
        <rFont val="宋体"/>
        <charset val="134"/>
      </rPr>
      <t>，右侧检修道盖板陷落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块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</si>
  <si>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8m</t>
    </r>
    <r>
      <rPr>
        <sz val="10.5"/>
        <color theme="1"/>
        <rFont val="宋体"/>
        <charset val="134"/>
      </rPr>
      <t>，右拱腰防火涂层脱落，面积为</t>
    </r>
    <r>
      <rPr>
        <sz val="10.5"/>
        <color theme="1"/>
        <rFont val="Times New Roman"/>
        <charset val="134"/>
      </rPr>
      <t>0.5×0.05m</t>
    </r>
    <r>
      <rPr>
        <vertAlign val="superscript"/>
        <sz val="10.5"/>
        <color theme="1"/>
        <rFont val="Times New Roman"/>
        <charset val="134"/>
      </rPr>
      <t>2</t>
    </r>
  </si>
  <si>
    <r>
      <rPr>
        <sz val="10.5"/>
        <color theme="1"/>
        <rFont val="宋体"/>
        <charset val="134"/>
      </rPr>
      <t>距板端</t>
    </r>
    <r>
      <rPr>
        <sz val="10.5"/>
        <color theme="1"/>
        <rFont val="Times New Roman"/>
        <charset val="134"/>
      </rPr>
      <t>5m</t>
    </r>
    <r>
      <rPr>
        <sz val="10.5"/>
        <color theme="1"/>
        <rFont val="宋体"/>
        <charset val="134"/>
      </rPr>
      <t>，防火涂层脱落，面积为</t>
    </r>
    <r>
      <rPr>
        <sz val="10.5"/>
        <color theme="1"/>
        <rFont val="Times New Roman"/>
        <charset val="134"/>
      </rPr>
      <t>0.7m</t>
    </r>
    <r>
      <rPr>
        <vertAlign val="superscript"/>
        <sz val="10.5"/>
        <color theme="1"/>
        <rFont val="Times New Roman"/>
        <charset val="134"/>
      </rPr>
      <t>2</t>
    </r>
  </si>
  <si>
    <t>101~112</t>
  </si>
  <si>
    <t>金州隧道</t>
  </si>
  <si>
    <t>革镇堡隧道上行</t>
  </si>
  <si>
    <t>革镇堡隧道下行</t>
  </si>
  <si>
    <t>夏家河隧道上行</t>
  </si>
  <si>
    <t>夏家河隧道下行</t>
  </si>
  <si>
    <t>毛沟隧道上行</t>
  </si>
  <si>
    <t>毛沟隧道下行</t>
  </si>
  <si>
    <t>松树岭隧道上行</t>
  </si>
  <si>
    <t>松树岭隧道下行</t>
  </si>
  <si>
    <r>
      <rPr>
        <sz val="11"/>
        <color theme="1"/>
        <rFont val="Times New Roman"/>
        <charset val="134"/>
      </rPr>
      <t>w</t>
    </r>
    <r>
      <rPr>
        <sz val="11"/>
        <color theme="1"/>
        <rFont val="等线"/>
        <charset val="134"/>
      </rPr>
      <t>≤</t>
    </r>
    <r>
      <rPr>
        <sz val="11"/>
        <color theme="1"/>
        <rFont val="Times New Roman"/>
        <charset val="134"/>
      </rPr>
      <t>0.2mm</t>
    </r>
  </si>
  <si>
    <r>
      <rPr>
        <sz val="11"/>
        <color theme="1"/>
        <rFont val="Times New Roman"/>
        <charset val="134"/>
      </rPr>
      <t>0.2mm</t>
    </r>
    <r>
      <rPr>
        <sz val="11"/>
        <color theme="1"/>
        <rFont val="等线"/>
        <charset val="134"/>
      </rPr>
      <t>＜</t>
    </r>
    <r>
      <rPr>
        <sz val="11"/>
        <color theme="1"/>
        <rFont val="Times New Roman"/>
        <charset val="134"/>
      </rPr>
      <t>w</t>
    </r>
    <r>
      <rPr>
        <sz val="11"/>
        <color theme="1"/>
        <rFont val="等线"/>
        <charset val="134"/>
      </rPr>
      <t>＜</t>
    </r>
    <r>
      <rPr>
        <sz val="11"/>
        <color theme="1"/>
        <rFont val="Times New Roman"/>
        <charset val="134"/>
      </rPr>
      <t>0.5mm</t>
    </r>
  </si>
  <si>
    <r>
      <rPr>
        <sz val="11"/>
        <color theme="1"/>
        <rFont val="Times New Roman"/>
        <charset val="134"/>
      </rPr>
      <t>w</t>
    </r>
    <r>
      <rPr>
        <sz val="11"/>
        <color theme="1"/>
        <rFont val="宋体"/>
        <charset val="134"/>
      </rPr>
      <t>≥</t>
    </r>
    <r>
      <rPr>
        <sz val="11"/>
        <color theme="1"/>
        <rFont val="Times New Roman"/>
        <charset val="134"/>
      </rPr>
      <t>0.5mm</t>
    </r>
  </si>
  <si>
    <t>标志标线</t>
  </si>
  <si>
    <r>
      <rPr>
        <sz val="11"/>
        <color theme="1"/>
        <rFont val="宋体"/>
        <charset val="134"/>
      </rPr>
      <t>新开岭隧道</t>
    </r>
  </si>
  <si>
    <r>
      <rPr>
        <sz val="10.5"/>
        <color theme="1"/>
        <rFont val="宋体"/>
        <charset val="134"/>
      </rPr>
      <t>上行</t>
    </r>
  </si>
  <si>
    <r>
      <rPr>
        <sz val="10.5"/>
        <color theme="1"/>
        <rFont val="宋体"/>
        <charset val="134"/>
      </rPr>
      <t>下行</t>
    </r>
  </si>
  <si>
    <t>标度</t>
  </si>
  <si>
    <t>数量</t>
  </si>
  <si>
    <t>占比</t>
  </si>
  <si>
    <r>
      <rPr>
        <sz val="11"/>
        <color theme="1"/>
        <rFont val="宋体"/>
        <charset val="134"/>
      </rPr>
      <t>双岭</t>
    </r>
    <r>
      <rPr>
        <sz val="11"/>
        <color theme="1"/>
        <rFont val="Times New Roman"/>
        <charset val="134"/>
      </rPr>
      <t xml:space="preserve"> 1 </t>
    </r>
    <r>
      <rPr>
        <sz val="11"/>
        <color theme="1"/>
        <rFont val="宋体"/>
        <charset val="134"/>
      </rPr>
      <t>号隧道</t>
    </r>
  </si>
  <si>
    <t>标度0</t>
  </si>
  <si>
    <t>标度1</t>
  </si>
  <si>
    <r>
      <rPr>
        <sz val="11"/>
        <color theme="1"/>
        <rFont val="宋体"/>
        <charset val="134"/>
      </rPr>
      <t>双岭</t>
    </r>
    <r>
      <rPr>
        <sz val="11"/>
        <color theme="1"/>
        <rFont val="Times New Roman"/>
        <charset val="134"/>
      </rPr>
      <t xml:space="preserve"> 2 </t>
    </r>
    <r>
      <rPr>
        <sz val="11"/>
        <color theme="1"/>
        <rFont val="宋体"/>
        <charset val="134"/>
      </rPr>
      <t>号隧道</t>
    </r>
  </si>
  <si>
    <t>标度2</t>
  </si>
  <si>
    <r>
      <rPr>
        <sz val="11"/>
        <color theme="1"/>
        <rFont val="宋体"/>
        <charset val="134"/>
      </rPr>
      <t>黑沟隧道</t>
    </r>
  </si>
  <si>
    <r>
      <rPr>
        <sz val="11"/>
        <color theme="1"/>
        <rFont val="宋体"/>
        <charset val="134"/>
      </rPr>
      <t>宋家沟隧道</t>
    </r>
  </si>
  <si>
    <r>
      <rPr>
        <sz val="11"/>
        <color theme="1"/>
        <rFont val="宋体"/>
        <charset val="134"/>
      </rPr>
      <t>上古城隧道</t>
    </r>
  </si>
  <si>
    <r>
      <rPr>
        <sz val="11"/>
        <color theme="1"/>
        <rFont val="宋体"/>
        <charset val="134"/>
      </rPr>
      <t>下古城隧道</t>
    </r>
  </si>
  <si>
    <r>
      <rPr>
        <sz val="10.5"/>
        <color rgb="FF000000"/>
        <rFont val="宋体"/>
        <charset val="134"/>
      </rPr>
      <t>上行</t>
    </r>
  </si>
  <si>
    <r>
      <rPr>
        <sz val="10.5"/>
        <color rgb="FF000000"/>
        <rFont val="宋体"/>
        <charset val="134"/>
      </rPr>
      <t>下行</t>
    </r>
  </si>
  <si>
    <r>
      <rPr>
        <sz val="11"/>
        <color theme="1"/>
        <rFont val="宋体"/>
        <charset val="134"/>
      </rPr>
      <t>挂牌岭隧道</t>
    </r>
  </si>
  <si>
    <r>
      <rPr>
        <sz val="11"/>
        <color theme="1"/>
        <rFont val="宋体"/>
        <charset val="134"/>
      </rPr>
      <t>石哈达</t>
    </r>
    <r>
      <rPr>
        <sz val="11"/>
        <color theme="1"/>
        <rFont val="Times New Roman"/>
        <charset val="134"/>
      </rPr>
      <t xml:space="preserve"> 1 </t>
    </r>
    <r>
      <rPr>
        <sz val="11"/>
        <color theme="1"/>
        <rFont val="宋体"/>
        <charset val="134"/>
      </rPr>
      <t>号隧道</t>
    </r>
  </si>
  <si>
    <r>
      <rPr>
        <sz val="11"/>
        <color theme="1"/>
        <rFont val="宋体"/>
        <charset val="134"/>
      </rPr>
      <t>石哈达</t>
    </r>
    <r>
      <rPr>
        <sz val="11"/>
        <color theme="1"/>
        <rFont val="Times New Roman"/>
        <charset val="134"/>
      </rPr>
      <t xml:space="preserve"> 2 </t>
    </r>
    <r>
      <rPr>
        <sz val="11"/>
        <color theme="1"/>
        <rFont val="宋体"/>
        <charset val="134"/>
      </rPr>
      <t>号隧道</t>
    </r>
  </si>
  <si>
    <r>
      <rPr>
        <sz val="11"/>
        <color theme="1"/>
        <rFont val="宋体"/>
        <charset val="134"/>
      </rPr>
      <t>雅河隧道</t>
    </r>
  </si>
  <si>
    <r>
      <rPr>
        <sz val="11"/>
        <color theme="1"/>
        <rFont val="宋体"/>
        <charset val="134"/>
      </rPr>
      <t>大泉眼隧道</t>
    </r>
  </si>
  <si>
    <r>
      <rPr>
        <sz val="11"/>
        <color theme="1"/>
        <rFont val="宋体"/>
        <charset val="134"/>
      </rPr>
      <t>马路沟隧道</t>
    </r>
  </si>
  <si>
    <r>
      <rPr>
        <sz val="11"/>
        <color theme="1"/>
        <rFont val="宋体"/>
        <charset val="134"/>
      </rPr>
      <t>鼻子沟隧道</t>
    </r>
  </si>
  <si>
    <r>
      <rPr>
        <sz val="11"/>
        <color theme="1"/>
        <rFont val="宋体"/>
        <charset val="134"/>
      </rPr>
      <t>砬门隧道</t>
    </r>
  </si>
  <si>
    <r>
      <rPr>
        <sz val="11"/>
        <color theme="1"/>
        <rFont val="宋体"/>
        <charset val="134"/>
      </rPr>
      <t>大荒沟隧道</t>
    </r>
  </si>
  <si>
    <r>
      <rPr>
        <sz val="11"/>
        <color theme="1"/>
        <rFont val="宋体"/>
        <charset val="134"/>
      </rPr>
      <t>弯沟隧道</t>
    </r>
  </si>
  <si>
    <r>
      <rPr>
        <sz val="11"/>
        <color theme="1"/>
        <rFont val="宋体"/>
        <charset val="134"/>
      </rPr>
      <t>西沟隧道</t>
    </r>
  </si>
  <si>
    <r>
      <rPr>
        <sz val="11"/>
        <color theme="1"/>
        <rFont val="宋体"/>
        <charset val="134"/>
      </rPr>
      <t>东岭隧道</t>
    </r>
  </si>
  <si>
    <r>
      <rPr>
        <sz val="11"/>
        <color theme="1"/>
        <rFont val="宋体"/>
        <charset val="134"/>
      </rPr>
      <t>焦家堡隧道</t>
    </r>
  </si>
  <si>
    <r>
      <rPr>
        <sz val="11"/>
        <color theme="1"/>
        <rFont val="宋体"/>
        <charset val="134"/>
      </rPr>
      <t>小城子隧道</t>
    </r>
  </si>
  <si>
    <r>
      <rPr>
        <sz val="11"/>
        <color theme="1"/>
        <rFont val="宋体"/>
        <charset val="134"/>
      </rPr>
      <t>青山沟</t>
    </r>
    <r>
      <rPr>
        <sz val="11"/>
        <color theme="1"/>
        <rFont val="Times New Roman"/>
        <charset val="134"/>
      </rPr>
      <t xml:space="preserve"> 1 </t>
    </r>
    <r>
      <rPr>
        <sz val="11"/>
        <color theme="1"/>
        <rFont val="宋体"/>
        <charset val="134"/>
      </rPr>
      <t>号隧道</t>
    </r>
  </si>
  <si>
    <r>
      <rPr>
        <sz val="11"/>
        <color theme="1"/>
        <rFont val="宋体"/>
        <charset val="134"/>
      </rPr>
      <t>青山沟</t>
    </r>
    <r>
      <rPr>
        <sz val="11"/>
        <color theme="1"/>
        <rFont val="Times New Roman"/>
        <charset val="134"/>
      </rPr>
      <t xml:space="preserve"> 2 </t>
    </r>
    <r>
      <rPr>
        <sz val="11"/>
        <color theme="1"/>
        <rFont val="宋体"/>
        <charset val="134"/>
      </rPr>
      <t>号隧道</t>
    </r>
  </si>
  <si>
    <r>
      <rPr>
        <sz val="11"/>
        <color theme="1"/>
        <rFont val="宋体"/>
        <charset val="134"/>
      </rPr>
      <t>青山沟</t>
    </r>
    <r>
      <rPr>
        <sz val="11"/>
        <color theme="1"/>
        <rFont val="Times New Roman"/>
        <charset val="134"/>
      </rPr>
      <t xml:space="preserve"> 2</t>
    </r>
    <r>
      <rPr>
        <sz val="11"/>
        <color theme="1"/>
        <rFont val="宋体"/>
        <charset val="134"/>
      </rPr>
      <t>号隧道</t>
    </r>
  </si>
  <si>
    <r>
      <rPr>
        <sz val="11"/>
        <color theme="1"/>
        <rFont val="宋体"/>
        <charset val="134"/>
      </rPr>
      <t>土门岭隧道</t>
    </r>
  </si>
  <si>
    <r>
      <rPr>
        <sz val="11"/>
        <color theme="1"/>
        <rFont val="宋体"/>
        <charset val="134"/>
      </rPr>
      <t>五道岭</t>
    </r>
    <r>
      <rPr>
        <sz val="11"/>
        <color theme="1"/>
        <rFont val="Times New Roman"/>
        <charset val="134"/>
      </rPr>
      <t xml:space="preserve"> 1 </t>
    </r>
    <r>
      <rPr>
        <sz val="11"/>
        <color theme="1"/>
        <rFont val="宋体"/>
        <charset val="134"/>
      </rPr>
      <t>号隧道</t>
    </r>
  </si>
  <si>
    <r>
      <rPr>
        <sz val="11"/>
        <color theme="1"/>
        <rFont val="宋体"/>
        <charset val="134"/>
      </rPr>
      <t>五道岭</t>
    </r>
    <r>
      <rPr>
        <sz val="11"/>
        <color theme="1"/>
        <rFont val="Times New Roman"/>
        <charset val="134"/>
      </rPr>
      <t xml:space="preserve"> 1</t>
    </r>
    <r>
      <rPr>
        <sz val="11"/>
        <color theme="1"/>
        <rFont val="宋体"/>
        <charset val="134"/>
      </rPr>
      <t>号隧道</t>
    </r>
  </si>
  <si>
    <r>
      <rPr>
        <sz val="11"/>
        <color theme="1"/>
        <rFont val="宋体"/>
        <charset val="134"/>
      </rPr>
      <t>五道岭</t>
    </r>
    <r>
      <rPr>
        <sz val="11"/>
        <color theme="1"/>
        <rFont val="Times New Roman"/>
        <charset val="134"/>
      </rPr>
      <t xml:space="preserve"> 2 </t>
    </r>
    <r>
      <rPr>
        <sz val="11"/>
        <color theme="1"/>
        <rFont val="宋体"/>
        <charset val="134"/>
      </rPr>
      <t>号隧道</t>
    </r>
  </si>
  <si>
    <r>
      <rPr>
        <sz val="11"/>
        <color theme="1"/>
        <rFont val="宋体"/>
        <charset val="134"/>
      </rPr>
      <t>五道岭</t>
    </r>
    <r>
      <rPr>
        <sz val="11"/>
        <color theme="1"/>
        <rFont val="Times New Roman"/>
        <charset val="134"/>
      </rPr>
      <t xml:space="preserve"> 2</t>
    </r>
    <r>
      <rPr>
        <sz val="11"/>
        <color theme="1"/>
        <rFont val="宋体"/>
        <charset val="134"/>
      </rPr>
      <t>号隧道</t>
    </r>
  </si>
  <si>
    <r>
      <rPr>
        <sz val="11"/>
        <color theme="1"/>
        <rFont val="宋体"/>
        <charset val="134"/>
      </rPr>
      <t>错草沟隧道</t>
    </r>
  </si>
  <si>
    <r>
      <rPr>
        <sz val="11"/>
        <color theme="1"/>
        <rFont val="宋体"/>
        <charset val="134"/>
      </rPr>
      <t>大鞍口隧道</t>
    </r>
  </si>
  <si>
    <r>
      <rPr>
        <sz val="11"/>
        <color theme="1"/>
        <rFont val="宋体"/>
        <charset val="134"/>
      </rPr>
      <t>肖家堡隧道</t>
    </r>
  </si>
  <si>
    <r>
      <rPr>
        <sz val="11"/>
        <color theme="1"/>
        <rFont val="宋体"/>
        <charset val="134"/>
      </rPr>
      <t>毛甸子隧道</t>
    </r>
  </si>
  <si>
    <r>
      <rPr>
        <sz val="11"/>
        <color theme="1"/>
        <rFont val="宋体"/>
        <charset val="134"/>
      </rPr>
      <t>车道岭</t>
    </r>
    <r>
      <rPr>
        <sz val="11"/>
        <color theme="1"/>
        <rFont val="Times New Roman"/>
        <charset val="134"/>
      </rPr>
      <t xml:space="preserve"> 1 </t>
    </r>
    <r>
      <rPr>
        <sz val="11"/>
        <color theme="1"/>
        <rFont val="宋体"/>
        <charset val="134"/>
      </rPr>
      <t>号隧道</t>
    </r>
  </si>
  <si>
    <r>
      <rPr>
        <sz val="11"/>
        <color theme="1"/>
        <rFont val="宋体"/>
        <charset val="134"/>
      </rPr>
      <t>车道岭</t>
    </r>
    <r>
      <rPr>
        <sz val="11"/>
        <color theme="1"/>
        <rFont val="Times New Roman"/>
        <charset val="134"/>
      </rPr>
      <t xml:space="preserve"> 1</t>
    </r>
    <r>
      <rPr>
        <sz val="11"/>
        <color theme="1"/>
        <rFont val="宋体"/>
        <charset val="134"/>
      </rPr>
      <t>号隧道</t>
    </r>
  </si>
  <si>
    <r>
      <rPr>
        <sz val="11"/>
        <color theme="1"/>
        <rFont val="宋体"/>
        <charset val="134"/>
      </rPr>
      <t>车道岭</t>
    </r>
    <r>
      <rPr>
        <sz val="11"/>
        <color theme="1"/>
        <rFont val="Times New Roman"/>
        <charset val="134"/>
      </rPr>
      <t xml:space="preserve"> 2 </t>
    </r>
    <r>
      <rPr>
        <sz val="11"/>
        <color theme="1"/>
        <rFont val="宋体"/>
        <charset val="134"/>
      </rPr>
      <t>号隧道</t>
    </r>
  </si>
  <si>
    <r>
      <rPr>
        <sz val="11"/>
        <color theme="1"/>
        <rFont val="宋体"/>
        <charset val="134"/>
      </rPr>
      <t>车道岭</t>
    </r>
    <r>
      <rPr>
        <sz val="11"/>
        <color theme="1"/>
        <rFont val="Times New Roman"/>
        <charset val="134"/>
      </rPr>
      <t xml:space="preserve"> 2</t>
    </r>
    <r>
      <rPr>
        <sz val="11"/>
        <color theme="1"/>
        <rFont val="宋体"/>
        <charset val="134"/>
      </rPr>
      <t>号隧道</t>
    </r>
  </si>
  <si>
    <r>
      <rPr>
        <sz val="11"/>
        <color theme="1"/>
        <rFont val="宋体"/>
        <charset val="134"/>
      </rPr>
      <t>车道岭</t>
    </r>
    <r>
      <rPr>
        <sz val="11"/>
        <color theme="1"/>
        <rFont val="Times New Roman"/>
        <charset val="134"/>
      </rPr>
      <t xml:space="preserve"> 3 </t>
    </r>
    <r>
      <rPr>
        <sz val="11"/>
        <color theme="1"/>
        <rFont val="宋体"/>
        <charset val="134"/>
      </rPr>
      <t>号隧道</t>
    </r>
  </si>
  <si>
    <r>
      <rPr>
        <sz val="11"/>
        <color theme="1"/>
        <rFont val="宋体"/>
        <charset val="134"/>
      </rPr>
      <t>车道岭</t>
    </r>
    <r>
      <rPr>
        <sz val="11"/>
        <color theme="1"/>
        <rFont val="Times New Roman"/>
        <charset val="134"/>
      </rPr>
      <t xml:space="preserve"> 3</t>
    </r>
    <r>
      <rPr>
        <sz val="11"/>
        <color theme="1"/>
        <rFont val="宋体"/>
        <charset val="134"/>
      </rPr>
      <t>号隧道</t>
    </r>
  </si>
  <si>
    <r>
      <rPr>
        <sz val="11"/>
        <color theme="1"/>
        <rFont val="宋体"/>
        <charset val="134"/>
      </rPr>
      <t>杨木川隧道</t>
    </r>
  </si>
  <si>
    <r>
      <rPr>
        <sz val="11"/>
        <color theme="1"/>
        <rFont val="宋体"/>
        <charset val="134"/>
      </rPr>
      <t>蚂蚁岭隧道</t>
    </r>
  </si>
  <si>
    <r>
      <rPr>
        <sz val="11"/>
        <color theme="1"/>
        <rFont val="宋体"/>
        <charset val="134"/>
      </rPr>
      <t>土城子隧道</t>
    </r>
  </si>
  <si>
    <r>
      <rPr>
        <sz val="11"/>
        <color theme="1"/>
        <rFont val="宋体"/>
        <charset val="134"/>
      </rPr>
      <t>梨树沟隧道</t>
    </r>
  </si>
  <si>
    <r>
      <rPr>
        <sz val="11"/>
        <color theme="1"/>
        <rFont val="宋体"/>
        <charset val="134"/>
      </rPr>
      <t>五龙山隧道</t>
    </r>
  </si>
  <si>
    <r>
      <rPr>
        <sz val="11"/>
        <color theme="1"/>
        <rFont val="宋体"/>
        <charset val="134"/>
      </rPr>
      <t>金山隧道</t>
    </r>
  </si>
  <si>
    <t>特长隧道</t>
  </si>
  <si>
    <t>[70-75)</t>
  </si>
  <si>
    <t>长隧道</t>
  </si>
  <si>
    <t>[75-80)</t>
  </si>
  <si>
    <t>中隧道</t>
  </si>
  <si>
    <t>[80-85)</t>
  </si>
  <si>
    <t>短隧道</t>
  </si>
  <si>
    <t>(70-80]</t>
  </si>
  <si>
    <t>(80-90]</t>
  </si>
  <si>
    <t>(90-95]</t>
  </si>
  <si>
    <t>(95-100]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</si>
</sst>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0_ "/>
    <numFmt numFmtId="178" formatCode="0.000_);[Red]\(0.000\)"/>
    <numFmt numFmtId="179" formatCode="0.0000_ "/>
  </numFmts>
  <fonts count="73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2"/>
      <color theme="1"/>
      <name val="宋体"/>
      <charset val="134"/>
    </font>
    <font>
      <sz val="10.5"/>
      <color theme="1"/>
      <name val="Times New Roman"/>
      <charset val="134"/>
    </font>
    <font>
      <sz val="10.5"/>
      <color rgb="FF000000"/>
      <name val="Times New Roman"/>
      <charset val="134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0.5"/>
      <color theme="1"/>
      <name val="宋体"/>
      <charset val="134"/>
    </font>
    <font>
      <sz val="11"/>
      <color rgb="FF000000"/>
      <name val="Times New Roman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0.5"/>
      <name val="Times New Roman"/>
      <charset val="134"/>
    </font>
    <font>
      <sz val="10.5"/>
      <color rgb="FF000000"/>
      <name val="宋体"/>
      <charset val="134"/>
    </font>
    <font>
      <sz val="11"/>
      <color indexed="8"/>
      <name val="Times New Roman"/>
      <charset val="134"/>
    </font>
    <font>
      <sz val="11"/>
      <color indexed="8"/>
      <name val="宋体"/>
      <charset val="134"/>
    </font>
    <font>
      <sz val="10.5"/>
      <color indexed="8"/>
      <name val="Times New Roman"/>
      <charset val="134"/>
    </font>
    <font>
      <sz val="10.5"/>
      <name val="宋体"/>
      <charset val="134"/>
    </font>
    <font>
      <sz val="10.5"/>
      <color indexed="8"/>
      <name val="宋体"/>
      <charset val="134"/>
    </font>
    <font>
      <sz val="11"/>
      <color indexed="10"/>
      <name val="Times New Roman"/>
      <charset val="134"/>
    </font>
    <font>
      <sz val="10.5"/>
      <color indexed="10"/>
      <name val="宋体"/>
      <charset val="134"/>
    </font>
    <font>
      <sz val="11"/>
      <color indexed="10"/>
      <name val="等线"/>
      <charset val="134"/>
    </font>
    <font>
      <sz val="11"/>
      <color indexed="10"/>
      <name val="宋体"/>
      <charset val="134"/>
    </font>
    <font>
      <sz val="11"/>
      <color indexed="8"/>
      <name val="等线"/>
      <charset val="134"/>
    </font>
    <font>
      <sz val="11"/>
      <name val="宋体"/>
      <charset val="134"/>
    </font>
    <font>
      <sz val="10.5"/>
      <color rgb="FFFF0000"/>
      <name val="Times New Roman"/>
      <charset val="134"/>
    </font>
    <font>
      <sz val="11"/>
      <color rgb="FFFF0000"/>
      <name val="Times New Roman"/>
      <charset val="134"/>
    </font>
    <font>
      <sz val="10.5"/>
      <color theme="1"/>
      <name val="Calibri"/>
      <charset val="134"/>
    </font>
    <font>
      <sz val="9"/>
      <color indexed="8"/>
      <name val="Times New Roman"/>
      <charset val="134"/>
    </font>
    <font>
      <sz val="11.5"/>
      <color indexed="8"/>
      <name val="Times New Roman"/>
      <charset val="134"/>
    </font>
    <font>
      <sz val="9.5"/>
      <color indexed="8"/>
      <name val="Times New Roman"/>
      <charset val="134"/>
    </font>
    <font>
      <sz val="10.5"/>
      <color rgb="FFFF0000"/>
      <name val="宋体"/>
      <charset val="134"/>
    </font>
    <font>
      <sz val="10.5"/>
      <color indexed="10"/>
      <name val="Times New Roman"/>
      <charset val="134"/>
    </font>
    <font>
      <sz val="11"/>
      <color rgb="FFC00000"/>
      <name val="宋体"/>
      <charset val="134"/>
    </font>
    <font>
      <sz val="11.5"/>
      <color theme="1"/>
      <name val="Times New Roman"/>
      <charset val="134"/>
    </font>
    <font>
      <sz val="11"/>
      <color rgb="FFFF0000"/>
      <name val="宋体"/>
      <charset val="134"/>
    </font>
    <font>
      <b/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perscript"/>
      <sz val="10.5"/>
      <color indexed="8"/>
      <name val="Times New Roman"/>
      <charset val="134"/>
    </font>
    <font>
      <vertAlign val="superscript"/>
      <sz val="10.5"/>
      <color theme="1"/>
      <name val="Times New Roman"/>
      <charset val="134"/>
    </font>
    <font>
      <vertAlign val="superscript"/>
      <sz val="11"/>
      <color theme="1"/>
      <name val="Times New Roman"/>
      <charset val="134"/>
    </font>
    <font>
      <vertAlign val="superscript"/>
      <sz val="6.5"/>
      <color theme="1"/>
      <name val="Times New Roman"/>
      <charset val="134"/>
    </font>
    <font>
      <vertAlign val="superscript"/>
      <sz val="10.5"/>
      <name val="Times New Roman"/>
      <charset val="134"/>
    </font>
    <font>
      <vertAlign val="superscript"/>
      <sz val="11"/>
      <name val="Times New Roman"/>
      <charset val="134"/>
    </font>
    <font>
      <vertAlign val="superscript"/>
      <sz val="11"/>
      <color rgb="FF000000"/>
      <name val="Times New Roman"/>
      <charset val="134"/>
    </font>
    <font>
      <vertAlign val="superscript"/>
      <sz val="11"/>
      <color indexed="8"/>
      <name val="Times New Roman"/>
      <charset val="134"/>
    </font>
    <font>
      <vertAlign val="superscript"/>
      <sz val="11"/>
      <color rgb="FFFF0000"/>
      <name val="Times New Roman"/>
      <charset val="134"/>
    </font>
    <font>
      <vertAlign val="superscript"/>
      <sz val="10.5"/>
      <color theme="1"/>
      <name val="宋体"/>
      <charset val="134"/>
    </font>
    <font>
      <vertAlign val="superscript"/>
      <sz val="10.5"/>
      <color indexed="10"/>
      <name val="Times New Roman"/>
      <charset val="134"/>
    </font>
    <font>
      <vertAlign val="superscript"/>
      <sz val="10.5"/>
      <color rgb="FFFF0000"/>
      <name val="Times New Roman"/>
      <charset val="134"/>
    </font>
    <font>
      <vertAlign val="superscript"/>
      <sz val="11"/>
      <color indexed="10"/>
      <name val="Times New Roman"/>
      <charset val="134"/>
    </font>
    <font>
      <sz val="11"/>
      <color theme="1"/>
      <name val="等线"/>
      <charset val="134"/>
    </font>
    <font>
      <vertAlign val="superscript"/>
      <sz val="11"/>
      <color theme="1"/>
      <name val="宋体"/>
      <charset val="134"/>
    </font>
    <font>
      <vertAlign val="superscript"/>
      <sz val="6.5"/>
      <name val="Times New Roman"/>
      <charset val="134"/>
    </font>
    <font>
      <vertAlign val="superscript"/>
      <sz val="10.5"/>
      <color rgb="FF000000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5" borderId="6" applyNumberFormat="0" applyAlignment="0" applyProtection="0">
      <alignment vertical="center"/>
    </xf>
    <xf numFmtId="0" fontId="46" fillId="6" borderId="7" applyNumberFormat="0" applyAlignment="0" applyProtection="0">
      <alignment vertical="center"/>
    </xf>
    <xf numFmtId="0" fontId="47" fillId="6" borderId="6" applyNumberFormat="0" applyAlignment="0" applyProtection="0">
      <alignment vertical="center"/>
    </xf>
    <xf numFmtId="0" fontId="48" fillId="7" borderId="8" applyNumberFormat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50" fillId="0" borderId="10" applyNumberFormat="0" applyFill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</cellStyleXfs>
  <cellXfs count="240">
    <xf numFmtId="0" fontId="0" fillId="0" borderId="0" xfId="0"/>
    <xf numFmtId="0" fontId="0" fillId="0" borderId="0" xfId="0" applyFont="1"/>
    <xf numFmtId="176" fontId="0" fillId="0" borderId="0" xfId="0" applyNumberFormat="1"/>
    <xf numFmtId="0" fontId="1" fillId="0" borderId="0" xfId="0" applyFont="1" applyBorder="1"/>
    <xf numFmtId="0" fontId="0" fillId="0" borderId="0" xfId="0" applyAlignment="1">
      <alignment horizontal="center"/>
    </xf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77" fontId="14" fillId="0" borderId="0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15" fillId="0" borderId="0" xfId="0" applyNumberFormat="1" applyFont="1" applyFill="1" applyBorder="1" applyAlignment="1" applyProtection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center" vertical="center" wrapText="1"/>
    </xf>
    <xf numFmtId="0" fontId="15" fillId="0" borderId="0" xfId="0" applyNumberFormat="1" applyFont="1" applyFill="1" applyBorder="1" applyAlignment="1" applyProtection="1">
      <alignment horizontal="center" vertical="center" wrapText="1"/>
    </xf>
    <xf numFmtId="0" fontId="15" fillId="0" borderId="0" xfId="0" applyNumberFormat="1" applyFont="1" applyFill="1" applyBorder="1" applyAlignment="1" applyProtection="1">
      <alignment horizontal="left" vertical="center" wrapText="1"/>
    </xf>
    <xf numFmtId="0" fontId="16" fillId="0" borderId="0" xfId="0" applyNumberFormat="1" applyFont="1" applyFill="1" applyBorder="1" applyAlignment="1" applyProtection="1">
      <alignment horizontal="center" vertical="center" wrapText="1"/>
    </xf>
    <xf numFmtId="0" fontId="17" fillId="0" borderId="0" xfId="0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Fill="1" applyBorder="1" applyAlignment="1" applyProtection="1">
      <alignment horizontal="center" vertical="center" wrapText="1"/>
    </xf>
    <xf numFmtId="0" fontId="18" fillId="0" borderId="0" xfId="0" applyNumberFormat="1" applyFont="1" applyFill="1" applyBorder="1" applyAlignment="1" applyProtection="1">
      <alignment horizontal="left" vertical="center" wrapText="1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17" fillId="0" borderId="0" xfId="0" applyNumberFormat="1" applyFont="1" applyFill="1" applyBorder="1" applyAlignment="1" applyProtection="1">
      <alignment horizontal="center" vertical="center" wrapText="1"/>
    </xf>
    <xf numFmtId="0" fontId="18" fillId="0" borderId="0" xfId="0" applyNumberFormat="1" applyFont="1" applyFill="1" applyBorder="1" applyAlignment="1" applyProtection="1">
      <alignment horizontal="center" vertical="center"/>
    </xf>
    <xf numFmtId="0" fontId="16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20" fillId="0" borderId="0" xfId="0" applyNumberFormat="1" applyFont="1" applyFill="1" applyBorder="1" applyAlignment="1" applyProtection="1">
      <alignment horizontal="center" vertical="center" wrapText="1"/>
    </xf>
    <xf numFmtId="0" fontId="21" fillId="0" borderId="0" xfId="0" applyNumberFormat="1" applyFont="1" applyFill="1" applyBorder="1" applyAlignment="1" applyProtection="1">
      <alignment horizontal="center" vertical="center"/>
    </xf>
    <xf numFmtId="0" fontId="21" fillId="0" borderId="0" xfId="0" applyNumberFormat="1" applyFont="1" applyFill="1" applyBorder="1" applyAlignment="1" applyProtection="1">
      <alignment horizontal="left" vertical="center"/>
    </xf>
    <xf numFmtId="0" fontId="22" fillId="0" borderId="0" xfId="0" applyNumberFormat="1" applyFont="1" applyFill="1" applyBorder="1" applyAlignment="1" applyProtection="1">
      <alignment horizontal="center" vertical="center"/>
    </xf>
    <xf numFmtId="0" fontId="23" fillId="0" borderId="0" xfId="0" applyNumberFormat="1" applyFont="1" applyFill="1" applyBorder="1" applyAlignment="1" applyProtection="1">
      <alignment horizontal="center" vertical="center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24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16" fillId="0" borderId="0" xfId="0" applyNumberFormat="1" applyFont="1" applyFill="1" applyBorder="1" applyAlignment="1" applyProtection="1">
      <alignment horizontal="left" vertical="center" wrapText="1"/>
    </xf>
    <xf numFmtId="0" fontId="24" fillId="0" borderId="0" xfId="0" applyNumberFormat="1" applyFont="1" applyFill="1" applyBorder="1" applyAlignment="1" applyProtection="1">
      <alignment horizontal="center" vertical="center"/>
    </xf>
    <xf numFmtId="0" fontId="17" fillId="0" borderId="0" xfId="0" applyNumberFormat="1" applyFont="1" applyFill="1" applyBorder="1" applyAlignment="1" applyProtection="1">
      <alignment horizontal="left" vertical="center" wrapText="1"/>
    </xf>
    <xf numFmtId="0" fontId="12" fillId="0" borderId="0" xfId="0" applyNumberFormat="1" applyFont="1" applyFill="1" applyBorder="1" applyAlignment="1" applyProtection="1">
      <alignment horizontal="center" vertical="center" wrapText="1"/>
    </xf>
    <xf numFmtId="0" fontId="24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Fill="1" applyBorder="1" applyAlignment="1" applyProtection="1">
      <alignment horizontal="left" vertical="center"/>
    </xf>
    <xf numFmtId="0" fontId="24" fillId="0" borderId="0" xfId="0" applyNumberFormat="1" applyFont="1" applyFill="1" applyBorder="1" applyAlignment="1" applyProtection="1">
      <alignment horizontal="left" vertical="center"/>
    </xf>
    <xf numFmtId="177" fontId="14" fillId="2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/>
    <xf numFmtId="178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vertical="center"/>
    </xf>
    <xf numFmtId="0" fontId="25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6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11" fillId="2" borderId="0" xfId="0" applyNumberFormat="1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wrapText="1"/>
    </xf>
    <xf numFmtId="0" fontId="11" fillId="0" borderId="0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7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/>
    </xf>
    <xf numFmtId="0" fontId="3" fillId="2" borderId="0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0" fontId="11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1" fillId="2" borderId="0" xfId="0" applyFont="1" applyFill="1" applyAlignment="1">
      <alignment horizontal="center" vertical="center"/>
    </xf>
    <xf numFmtId="177" fontId="2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8" fillId="0" borderId="0" xfId="0" applyNumberFormat="1" applyFont="1" applyFill="1" applyBorder="1" applyAlignment="1" applyProtection="1">
      <alignment horizontal="center" vertical="center" wrapText="1"/>
    </xf>
    <xf numFmtId="0" fontId="10" fillId="0" borderId="0" xfId="0" applyFont="1"/>
    <xf numFmtId="0" fontId="29" fillId="0" borderId="0" xfId="0" applyNumberFormat="1" applyFont="1" applyFill="1" applyBorder="1" applyAlignment="1" applyProtection="1">
      <alignment horizontal="center" vertical="center" wrapText="1"/>
    </xf>
    <xf numFmtId="177" fontId="14" fillId="3" borderId="0" xfId="0" applyNumberFormat="1" applyFont="1" applyFill="1" applyBorder="1" applyAlignment="1" applyProtection="1">
      <alignment horizontal="center" vertical="center"/>
    </xf>
    <xf numFmtId="0" fontId="30" fillId="0" borderId="0" xfId="0" applyNumberFormat="1" applyFont="1" applyFill="1" applyBorder="1" applyAlignment="1" applyProtection="1">
      <alignment horizontal="center" vertical="center" wrapText="1"/>
    </xf>
    <xf numFmtId="0" fontId="31" fillId="0" borderId="0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Alignment="1" applyProtection="1">
      <alignment horizontal="left" vertical="center"/>
    </xf>
    <xf numFmtId="0" fontId="32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13" fillId="0" borderId="0" xfId="0" applyNumberFormat="1" applyFont="1" applyFill="1" applyBorder="1" applyAlignment="1" applyProtection="1">
      <alignment horizontal="left" vertical="center" wrapText="1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0" fontId="1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78" fontId="2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/>
    </xf>
    <xf numFmtId="0" fontId="24" fillId="0" borderId="0" xfId="0" applyFont="1" applyBorder="1" applyAlignment="1">
      <alignment horizontal="left" vertical="center"/>
    </xf>
    <xf numFmtId="0" fontId="11" fillId="0" borderId="0" xfId="0" applyFont="1" applyFill="1" applyAlignment="1">
      <alignment horizontal="center" vertical="center"/>
    </xf>
    <xf numFmtId="0" fontId="33" fillId="0" borderId="0" xfId="0" applyFont="1" applyAlignment="1">
      <alignment horizontal="center"/>
    </xf>
    <xf numFmtId="0" fontId="11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 indent="1"/>
    </xf>
    <xf numFmtId="0" fontId="8" fillId="2" borderId="0" xfId="0" applyFont="1" applyFill="1" applyAlignment="1">
      <alignment horizontal="center" vertical="center" wrapText="1"/>
    </xf>
    <xf numFmtId="0" fontId="12" fillId="2" borderId="0" xfId="0" applyFont="1" applyFill="1" applyBorder="1" applyAlignment="1">
      <alignment horizontal="left" vertical="center" wrapText="1"/>
    </xf>
    <xf numFmtId="0" fontId="24" fillId="2" borderId="0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34" fillId="0" borderId="0" xfId="0" applyFont="1" applyBorder="1" applyAlignment="1">
      <alignment horizontal="center" vertical="center" wrapText="1"/>
    </xf>
    <xf numFmtId="0" fontId="34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26" fillId="0" borderId="0" xfId="0" applyFont="1" applyBorder="1" applyAlignment="1">
      <alignment horizontal="left" vertical="center" wrapText="1"/>
    </xf>
    <xf numFmtId="0" fontId="26" fillId="0" borderId="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vertical="center" wrapText="1"/>
    </xf>
    <xf numFmtId="0" fontId="9" fillId="0" borderId="0" xfId="0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35" fillId="0" borderId="0" xfId="0" applyFont="1" applyBorder="1" applyAlignment="1">
      <alignment horizontal="left" vertical="center" wrapText="1"/>
    </xf>
    <xf numFmtId="177" fontId="8" fillId="0" borderId="0" xfId="0" applyNumberFormat="1" applyFont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0" fontId="31" fillId="0" borderId="0" xfId="0" applyFont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35" fillId="0" borderId="0" xfId="0" applyFont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177" fontId="26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" fillId="0" borderId="0" xfId="0" applyFont="1" applyAlignment="1"/>
    <xf numFmtId="0" fontId="1" fillId="0" borderId="0" xfId="0" applyFont="1" applyBorder="1" applyAlignment="1">
      <alignment vertical="center" wrapText="1"/>
    </xf>
    <xf numFmtId="0" fontId="11" fillId="2" borderId="0" xfId="0" applyFont="1" applyFill="1" applyBorder="1" applyAlignment="1">
      <alignment horizontal="left" vertical="center"/>
    </xf>
    <xf numFmtId="0" fontId="26" fillId="0" borderId="0" xfId="0" applyFont="1" applyBorder="1" applyAlignment="1">
      <alignment vertical="center" wrapText="1"/>
    </xf>
    <xf numFmtId="0" fontId="26" fillId="0" borderId="0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36" fillId="0" borderId="0" xfId="0" applyFont="1" applyBorder="1" applyAlignment="1">
      <alignment horizontal="center" vertical="center" wrapText="1"/>
    </xf>
    <xf numFmtId="0" fontId="11" fillId="2" borderId="0" xfId="0" applyFont="1" applyFill="1" applyAlignment="1">
      <alignment horizontal="center"/>
    </xf>
    <xf numFmtId="0" fontId="11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vertical="center" wrapText="1"/>
    </xf>
    <xf numFmtId="0" fontId="26" fillId="0" borderId="0" xfId="0" applyFont="1" applyBorder="1" applyAlignment="1">
      <alignment horizontal="left" vertical="center"/>
    </xf>
    <xf numFmtId="0" fontId="26" fillId="0" borderId="0" xfId="0" applyFont="1" applyBorder="1" applyAlignment="1">
      <alignment horizontal="center" vertical="center"/>
    </xf>
    <xf numFmtId="0" fontId="24" fillId="2" borderId="0" xfId="0" applyFont="1" applyFill="1" applyBorder="1" applyAlignment="1">
      <alignment horizontal="left" vertical="center"/>
    </xf>
    <xf numFmtId="177" fontId="1" fillId="0" borderId="0" xfId="0" applyNumberFormat="1" applyFont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177" fontId="1" fillId="0" borderId="0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35" fillId="0" borderId="0" xfId="0" applyFont="1" applyBorder="1" applyAlignment="1">
      <alignment horizontal="justify" vertical="center" wrapText="1"/>
    </xf>
    <xf numFmtId="0" fontId="9" fillId="2" borderId="0" xfId="0" applyFont="1" applyFill="1" applyBorder="1" applyAlignment="1">
      <alignment horizontal="left" vertic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justify" wrapText="1"/>
    </xf>
    <xf numFmtId="177" fontId="8" fillId="0" borderId="0" xfId="0" applyNumberFormat="1" applyFont="1" applyFill="1" applyAlignment="1">
      <alignment horizontal="center" vertical="center" wrapText="1"/>
    </xf>
    <xf numFmtId="0" fontId="8" fillId="0" borderId="0" xfId="0" applyFont="1" applyBorder="1" applyAlignment="1">
      <alignment horizontal="justify" vertical="center" wrapText="1"/>
    </xf>
    <xf numFmtId="0" fontId="9" fillId="2" borderId="0" xfId="0" applyFont="1" applyFill="1" applyBorder="1" applyAlignment="1">
      <alignment horizontal="justify" vertical="center" wrapText="1"/>
    </xf>
    <xf numFmtId="177" fontId="8" fillId="0" borderId="0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justify" vertical="center" wrapText="1"/>
    </xf>
    <xf numFmtId="9" fontId="1" fillId="0" borderId="0" xfId="3" applyFont="1" applyAlignment="1"/>
    <xf numFmtId="0" fontId="8" fillId="0" borderId="0" xfId="0" applyFont="1" applyBorder="1" applyAlignment="1">
      <alignment horizontal="center" wrapText="1"/>
    </xf>
    <xf numFmtId="0" fontId="4" fillId="2" borderId="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wrapText="1"/>
    </xf>
    <xf numFmtId="0" fontId="9" fillId="2" borderId="0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horizontal="center" vertical="center"/>
    </xf>
    <xf numFmtId="0" fontId="1" fillId="0" borderId="0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'23年统计'!$B$3</c:f>
              <c:strCache>
                <c:ptCount val="1"/>
                <c:pt idx="0">
                  <c:v>环向裂缝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'23年统计'!$A$4:$A$12</c:f>
              <c:strCache>
                <c:ptCount val="9"/>
                <c:pt idx="0">
                  <c:v>金州隧道</c:v>
                </c:pt>
                <c:pt idx="1">
                  <c:v>革镇堡隧道上行</c:v>
                </c:pt>
                <c:pt idx="2">
                  <c:v>革镇堡隧道下行</c:v>
                </c:pt>
                <c:pt idx="3">
                  <c:v>夏家河隧道上行</c:v>
                </c:pt>
                <c:pt idx="4">
                  <c:v>夏家河隧道下行</c:v>
                </c:pt>
                <c:pt idx="5">
                  <c:v>毛沟隧道上行</c:v>
                </c:pt>
                <c:pt idx="6">
                  <c:v>毛沟隧道下行</c:v>
                </c:pt>
                <c:pt idx="7">
                  <c:v>松树岭隧道上行</c:v>
                </c:pt>
                <c:pt idx="8">
                  <c:v>松树岭隧道下行</c:v>
                </c:pt>
              </c:strCache>
            </c:strRef>
          </c:cat>
          <c:val>
            <c:numRef>
              <c:f>'23年统计'!$B$4:$B$12</c:f>
              <c:numCache>
                <c:formatCode>General</c:formatCode>
                <c:ptCount val="9"/>
                <c:pt idx="0">
                  <c:v>2</c:v>
                </c:pt>
                <c:pt idx="1">
                  <c:v>21</c:v>
                </c:pt>
                <c:pt idx="2">
                  <c:v>25</c:v>
                </c:pt>
                <c:pt idx="3">
                  <c:v>1</c:v>
                </c:pt>
                <c:pt idx="4">
                  <c:v>2</c:v>
                </c:pt>
                <c:pt idx="5">
                  <c:v>13</c:v>
                </c:pt>
                <c:pt idx="6">
                  <c:v>6</c:v>
                </c:pt>
                <c:pt idx="7">
                  <c:v>61</c:v>
                </c:pt>
                <c:pt idx="8">
                  <c:v>57</c:v>
                </c:pt>
              </c:numCache>
            </c:numRef>
          </c:val>
        </c:ser>
        <c:ser>
          <c:idx val="1"/>
          <c:order val="1"/>
          <c:tx>
            <c:strRef>
              <c:f>'23年统计'!$C$3</c:f>
              <c:strCache>
                <c:ptCount val="1"/>
                <c:pt idx="0">
                  <c:v>纵向裂缝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'23年统计'!$A$4:$A$12</c:f>
              <c:strCache>
                <c:ptCount val="9"/>
                <c:pt idx="0">
                  <c:v>金州隧道</c:v>
                </c:pt>
                <c:pt idx="1">
                  <c:v>革镇堡隧道上行</c:v>
                </c:pt>
                <c:pt idx="2">
                  <c:v>革镇堡隧道下行</c:v>
                </c:pt>
                <c:pt idx="3">
                  <c:v>夏家河隧道上行</c:v>
                </c:pt>
                <c:pt idx="4">
                  <c:v>夏家河隧道下行</c:v>
                </c:pt>
                <c:pt idx="5">
                  <c:v>毛沟隧道上行</c:v>
                </c:pt>
                <c:pt idx="6">
                  <c:v>毛沟隧道下行</c:v>
                </c:pt>
                <c:pt idx="7">
                  <c:v>松树岭隧道上行</c:v>
                </c:pt>
                <c:pt idx="8">
                  <c:v>松树岭隧道下行</c:v>
                </c:pt>
              </c:strCache>
            </c:strRef>
          </c:cat>
          <c:val>
            <c:numRef>
              <c:f>'23年统计'!$C$4:$C$12</c:f>
              <c:numCache>
                <c:formatCode>General</c:formatCode>
                <c:ptCount val="9"/>
                <c:pt idx="0">
                  <c:v>19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25</c:v>
                </c:pt>
                <c:pt idx="6">
                  <c:v>13</c:v>
                </c:pt>
                <c:pt idx="7">
                  <c:v>62</c:v>
                </c:pt>
                <c:pt idx="8">
                  <c:v>48</c:v>
                </c:pt>
              </c:numCache>
            </c:numRef>
          </c:val>
        </c:ser>
        <c:ser>
          <c:idx val="2"/>
          <c:order val="2"/>
          <c:tx>
            <c:strRef>
              <c:f>'23年统计'!$D$3</c:f>
              <c:strCache>
                <c:ptCount val="1"/>
                <c:pt idx="0">
                  <c:v>斜向裂缝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'23年统计'!$A$4:$A$12</c:f>
              <c:strCache>
                <c:ptCount val="9"/>
                <c:pt idx="0">
                  <c:v>金州隧道</c:v>
                </c:pt>
                <c:pt idx="1">
                  <c:v>革镇堡隧道上行</c:v>
                </c:pt>
                <c:pt idx="2">
                  <c:v>革镇堡隧道下行</c:v>
                </c:pt>
                <c:pt idx="3">
                  <c:v>夏家河隧道上行</c:v>
                </c:pt>
                <c:pt idx="4">
                  <c:v>夏家河隧道下行</c:v>
                </c:pt>
                <c:pt idx="5">
                  <c:v>毛沟隧道上行</c:v>
                </c:pt>
                <c:pt idx="6">
                  <c:v>毛沟隧道下行</c:v>
                </c:pt>
                <c:pt idx="7">
                  <c:v>松树岭隧道上行</c:v>
                </c:pt>
                <c:pt idx="8">
                  <c:v>松树岭隧道下行</c:v>
                </c:pt>
              </c:strCache>
            </c:strRef>
          </c:cat>
          <c:val>
            <c:numRef>
              <c:f>'23年统计'!$D$4:$D$12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8</c:v>
                </c:pt>
              </c:numCache>
            </c:numRef>
          </c:val>
        </c:ser>
        <c:ser>
          <c:idx val="3"/>
          <c:order val="3"/>
          <c:tx>
            <c:strRef>
              <c:f>'23年统计'!$E$3</c:f>
              <c:strCache>
                <c:ptCount val="1"/>
                <c:pt idx="0">
                  <c:v>渗水印迹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'23年统计'!$A$4:$A$12</c:f>
              <c:strCache>
                <c:ptCount val="9"/>
                <c:pt idx="0">
                  <c:v>金州隧道</c:v>
                </c:pt>
                <c:pt idx="1">
                  <c:v>革镇堡隧道上行</c:v>
                </c:pt>
                <c:pt idx="2">
                  <c:v>革镇堡隧道下行</c:v>
                </c:pt>
                <c:pt idx="3">
                  <c:v>夏家河隧道上行</c:v>
                </c:pt>
                <c:pt idx="4">
                  <c:v>夏家河隧道下行</c:v>
                </c:pt>
                <c:pt idx="5">
                  <c:v>毛沟隧道上行</c:v>
                </c:pt>
                <c:pt idx="6">
                  <c:v>毛沟隧道下行</c:v>
                </c:pt>
                <c:pt idx="7">
                  <c:v>松树岭隧道上行</c:v>
                </c:pt>
                <c:pt idx="8">
                  <c:v>松树岭隧道下行</c:v>
                </c:pt>
              </c:strCache>
            </c:strRef>
          </c:cat>
          <c:val>
            <c:numRef>
              <c:f>'23年统计'!$E$4:$E$12</c:f>
              <c:numCache>
                <c:formatCode>General</c:formatCode>
                <c:ptCount val="9"/>
                <c:pt idx="0">
                  <c:v>0</c:v>
                </c:pt>
                <c:pt idx="1">
                  <c:v>19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8</c:v>
                </c:pt>
                <c:pt idx="8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190047"/>
        <c:axId val="403205855"/>
      </c:barChart>
      <c:catAx>
        <c:axId val="403190047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3205855"/>
        <c:crosses val="autoZero"/>
        <c:auto val="1"/>
        <c:lblAlgn val="ctr"/>
        <c:lblOffset val="100"/>
        <c:noMultiLvlLbl val="0"/>
      </c:catAx>
      <c:valAx>
        <c:axId val="40320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数量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319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3d129a1-31f7-4323-be3c-523db9d9315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'23年统计'!$B$26</c:f>
              <c:strCache>
                <c:ptCount val="1"/>
                <c:pt idx="0">
                  <c:v>w≤0.2mm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'23年统计'!$A$27:$A$35</c:f>
              <c:strCache>
                <c:ptCount val="9"/>
                <c:pt idx="0">
                  <c:v>金州隧道</c:v>
                </c:pt>
                <c:pt idx="1">
                  <c:v>革镇堡隧道上行</c:v>
                </c:pt>
                <c:pt idx="2">
                  <c:v>革镇堡隧道下行</c:v>
                </c:pt>
                <c:pt idx="3">
                  <c:v>夏家河隧道上行</c:v>
                </c:pt>
                <c:pt idx="4">
                  <c:v>夏家河隧道下行</c:v>
                </c:pt>
                <c:pt idx="5">
                  <c:v>毛沟隧道上行</c:v>
                </c:pt>
                <c:pt idx="6">
                  <c:v>毛沟隧道下行</c:v>
                </c:pt>
                <c:pt idx="7">
                  <c:v>松树岭隧道上行</c:v>
                </c:pt>
                <c:pt idx="8">
                  <c:v>松树岭隧道下行</c:v>
                </c:pt>
              </c:strCache>
            </c:strRef>
          </c:cat>
          <c:val>
            <c:numRef>
              <c:f>'23年统计'!$B$27:$B$35</c:f>
              <c:numCache>
                <c:formatCode>General</c:formatCode>
                <c:ptCount val="9"/>
                <c:pt idx="0">
                  <c:v>7</c:v>
                </c:pt>
                <c:pt idx="1">
                  <c:v>10</c:v>
                </c:pt>
                <c:pt idx="2">
                  <c:v>17</c:v>
                </c:pt>
                <c:pt idx="3">
                  <c:v>0</c:v>
                </c:pt>
                <c:pt idx="4">
                  <c:v>2</c:v>
                </c:pt>
                <c:pt idx="5">
                  <c:v>7</c:v>
                </c:pt>
                <c:pt idx="6">
                  <c:v>5</c:v>
                </c:pt>
                <c:pt idx="7">
                  <c:v>54</c:v>
                </c:pt>
                <c:pt idx="8">
                  <c:v>59</c:v>
                </c:pt>
              </c:numCache>
            </c:numRef>
          </c:val>
        </c:ser>
        <c:ser>
          <c:idx val="1"/>
          <c:order val="1"/>
          <c:tx>
            <c:strRef>
              <c:f>'23年统计'!$C$26</c:f>
              <c:strCache>
                <c:ptCount val="1"/>
                <c:pt idx="0">
                  <c:v>0.2mm＜w＜0.5mm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'23年统计'!$A$27:$A$35</c:f>
              <c:strCache>
                <c:ptCount val="9"/>
                <c:pt idx="0">
                  <c:v>金州隧道</c:v>
                </c:pt>
                <c:pt idx="1">
                  <c:v>革镇堡隧道上行</c:v>
                </c:pt>
                <c:pt idx="2">
                  <c:v>革镇堡隧道下行</c:v>
                </c:pt>
                <c:pt idx="3">
                  <c:v>夏家河隧道上行</c:v>
                </c:pt>
                <c:pt idx="4">
                  <c:v>夏家河隧道下行</c:v>
                </c:pt>
                <c:pt idx="5">
                  <c:v>毛沟隧道上行</c:v>
                </c:pt>
                <c:pt idx="6">
                  <c:v>毛沟隧道下行</c:v>
                </c:pt>
                <c:pt idx="7">
                  <c:v>松树岭隧道上行</c:v>
                </c:pt>
                <c:pt idx="8">
                  <c:v>松树岭隧道下行</c:v>
                </c:pt>
              </c:strCache>
            </c:strRef>
          </c:cat>
          <c:val>
            <c:numRef>
              <c:f>'23年统计'!$C$27:$C$35</c:f>
              <c:numCache>
                <c:formatCode>General</c:formatCode>
                <c:ptCount val="9"/>
                <c:pt idx="0">
                  <c:v>11</c:v>
                </c:pt>
                <c:pt idx="1">
                  <c:v>14</c:v>
                </c:pt>
                <c:pt idx="2">
                  <c:v>13</c:v>
                </c:pt>
                <c:pt idx="3">
                  <c:v>1</c:v>
                </c:pt>
                <c:pt idx="4">
                  <c:v>2</c:v>
                </c:pt>
                <c:pt idx="5">
                  <c:v>17</c:v>
                </c:pt>
                <c:pt idx="6">
                  <c:v>11</c:v>
                </c:pt>
                <c:pt idx="7">
                  <c:v>42</c:v>
                </c:pt>
                <c:pt idx="8">
                  <c:v>39</c:v>
                </c:pt>
              </c:numCache>
            </c:numRef>
          </c:val>
        </c:ser>
        <c:ser>
          <c:idx val="2"/>
          <c:order val="2"/>
          <c:tx>
            <c:strRef>
              <c:f>'23年统计'!$D$26</c:f>
              <c:strCache>
                <c:ptCount val="1"/>
                <c:pt idx="0">
                  <c:v>w≥0.5mm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'23年统计'!$A$27:$A$35</c:f>
              <c:strCache>
                <c:ptCount val="9"/>
                <c:pt idx="0">
                  <c:v>金州隧道</c:v>
                </c:pt>
                <c:pt idx="1">
                  <c:v>革镇堡隧道上行</c:v>
                </c:pt>
                <c:pt idx="2">
                  <c:v>革镇堡隧道下行</c:v>
                </c:pt>
                <c:pt idx="3">
                  <c:v>夏家河隧道上行</c:v>
                </c:pt>
                <c:pt idx="4">
                  <c:v>夏家河隧道下行</c:v>
                </c:pt>
                <c:pt idx="5">
                  <c:v>毛沟隧道上行</c:v>
                </c:pt>
                <c:pt idx="6">
                  <c:v>毛沟隧道下行</c:v>
                </c:pt>
                <c:pt idx="7">
                  <c:v>松树岭隧道上行</c:v>
                </c:pt>
                <c:pt idx="8">
                  <c:v>松树岭隧道下行</c:v>
                </c:pt>
              </c:strCache>
            </c:strRef>
          </c:cat>
          <c:val>
            <c:numRef>
              <c:f>'23年统计'!$D$27:$D$35</c:f>
              <c:numCache>
                <c:formatCode>General</c:formatCode>
                <c:ptCount val="9"/>
                <c:pt idx="0">
                  <c:v>3</c:v>
                </c:pt>
                <c:pt idx="1">
                  <c:v>5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14</c:v>
                </c:pt>
                <c:pt idx="6">
                  <c:v>3</c:v>
                </c:pt>
                <c:pt idx="7">
                  <c:v>33</c:v>
                </c:pt>
                <c:pt idx="8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953311"/>
        <c:axId val="403954559"/>
      </c:barChart>
      <c:catAx>
        <c:axId val="403953311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3954559"/>
        <c:crosses val="autoZero"/>
        <c:auto val="1"/>
        <c:lblAlgn val="ctr"/>
        <c:lblOffset val="100"/>
        <c:noMultiLvlLbl val="0"/>
      </c:catAx>
      <c:valAx>
        <c:axId val="40395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数量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395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26658792650919"/>
          <c:y val="0.0509259259259259"/>
          <c:w val="0.573963044198634"/>
          <c:h val="0.0730524593516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f87956-b862-4e8b-9903-df6c18a4ee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"标度0"</c:f>
              <c:strCache>
                <c:ptCount val="1"/>
                <c:pt idx="0">
                  <c:v>标度0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标度统计!$O$4</c:f>
              <c:numCache>
                <c:formatCode>General</c:formatCode>
                <c:ptCount val="1"/>
                <c:pt idx="0">
                  <c:v>33</c:v>
                </c:pt>
              </c:numCache>
            </c:numRef>
          </c:val>
        </c:ser>
        <c:ser>
          <c:idx val="1"/>
          <c:order val="1"/>
          <c:tx>
            <c:strRef>
              <c:f>"标度1"</c:f>
              <c:strCache>
                <c:ptCount val="1"/>
                <c:pt idx="0">
                  <c:v>标度1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标度统计!$O$5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</c:ser>
        <c:ser>
          <c:idx val="2"/>
          <c:order val="2"/>
          <c:tx>
            <c:strRef>
              <c:f>"标度2"</c:f>
              <c:strCache>
                <c:ptCount val="1"/>
                <c:pt idx="0">
                  <c:v>标度2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标度统计!$O$6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36427615"/>
        <c:axId val="836409727"/>
      </c:barChart>
      <c:catAx>
        <c:axId val="8364276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6409727"/>
        <c:crosses val="autoZero"/>
        <c:auto val="1"/>
        <c:lblAlgn val="ctr"/>
        <c:lblOffset val="100"/>
        <c:noMultiLvlLbl val="0"/>
      </c:catAx>
      <c:valAx>
        <c:axId val="83640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数量</a:t>
                </a:r>
                <a:r>
                  <a:rPr lang="en-US" altLang="zh-CN"/>
                  <a:t>/</a:t>
                </a:r>
                <a:r>
                  <a:rPr lang="zh-CN" altLang="en-US"/>
                  <a:t>座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344448015426643"/>
              <c:y val="0.45888220665330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642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759623797025"/>
          <c:y val="0.225323344998542"/>
          <c:w val="0.120333473890916"/>
          <c:h val="0.257635390995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116e63-948e-4767-9b28-2e43b9cf0f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"标度0"</c:f>
              <c:strCache>
                <c:ptCount val="1"/>
                <c:pt idx="0">
                  <c:v>标度0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标度统计!$O$18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</c:ser>
        <c:ser>
          <c:idx val="1"/>
          <c:order val="1"/>
          <c:tx>
            <c:strRef>
              <c:f>"标度1"</c:f>
              <c:strCache>
                <c:ptCount val="1"/>
                <c:pt idx="0">
                  <c:v>标度1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标度统计!$O$19</c:f>
              <c:numCache>
                <c:formatCode>General</c:formatCode>
                <c:ptCount val="1"/>
                <c:pt idx="0">
                  <c:v>59</c:v>
                </c:pt>
              </c:numCache>
            </c:numRef>
          </c:val>
        </c:ser>
        <c:ser>
          <c:idx val="2"/>
          <c:order val="2"/>
          <c:tx>
            <c:strRef>
              <c:f>"标度2"</c:f>
              <c:strCache>
                <c:ptCount val="1"/>
                <c:pt idx="0">
                  <c:v>标度2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标度统计!$O$20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94668655"/>
        <c:axId val="795280287"/>
      </c:barChart>
      <c:catAx>
        <c:axId val="7946686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5280287"/>
        <c:crosses val="autoZero"/>
        <c:auto val="1"/>
        <c:lblAlgn val="ctr"/>
        <c:lblOffset val="100"/>
        <c:noMultiLvlLbl val="0"/>
      </c:catAx>
      <c:valAx>
        <c:axId val="79528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数量</a:t>
                </a:r>
                <a:r>
                  <a:rPr lang="en-US" altLang="zh-CN"/>
                  <a:t>/</a:t>
                </a:r>
                <a:r>
                  <a:rPr lang="zh-CN" altLang="en-US"/>
                  <a:t>座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498856080489939"/>
              <c:y val="0.40343904928550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466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426290463692"/>
          <c:y val="0.234582604257801"/>
          <c:w val="0.114680195176945"/>
          <c:h val="0.250931124315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6968ab-3021-4c43-acce-4c062ee444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"标度1"</c:f>
              <c:strCache>
                <c:ptCount val="1"/>
                <c:pt idx="0">
                  <c:v>标度1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标度统计!$O$35</c:f>
              <c:numCache>
                <c:formatCode>General</c:formatCode>
                <c:ptCount val="1"/>
                <c:pt idx="0">
                  <c:v>67</c:v>
                </c:pt>
              </c:numCache>
            </c:numRef>
          </c:val>
        </c:ser>
        <c:ser>
          <c:idx val="1"/>
          <c:order val="1"/>
          <c:tx>
            <c:strRef>
              <c:f>"标度2"</c:f>
              <c:strCache>
                <c:ptCount val="1"/>
                <c:pt idx="0">
                  <c:v>标度2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标度统计!$O$36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99457151"/>
        <c:axId val="999454655"/>
      </c:barChart>
      <c:catAx>
        <c:axId val="9994571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9454655"/>
        <c:crosses val="autoZero"/>
        <c:auto val="1"/>
        <c:lblAlgn val="ctr"/>
        <c:lblOffset val="100"/>
        <c:noMultiLvlLbl val="0"/>
      </c:catAx>
      <c:valAx>
        <c:axId val="99945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数量</a:t>
                </a:r>
                <a:r>
                  <a:rPr lang="en-US" altLang="zh-CN"/>
                  <a:t>/</a:t>
                </a:r>
                <a:r>
                  <a:rPr lang="zh-CN" altLang="en-US"/>
                  <a:t>座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398996895989338"/>
              <c:y val="0.3862317210348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945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426290463692"/>
          <c:y val="0.264386118401866"/>
          <c:w val="0.114169370254108"/>
          <c:h val="0.1737463898093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370601-96d3-42c9-a544-04e6a40ecd8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"标度0"</c:f>
              <c:strCache>
                <c:ptCount val="1"/>
                <c:pt idx="0">
                  <c:v>标度0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标度统计!$O$48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</c:ser>
        <c:ser>
          <c:idx val="1"/>
          <c:order val="1"/>
          <c:tx>
            <c:strRef>
              <c:f>"标度1"</c:f>
              <c:strCache>
                <c:ptCount val="1"/>
                <c:pt idx="0">
                  <c:v>标度1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标度统计!$O$49</c:f>
              <c:numCache>
                <c:formatCode>General</c:formatCode>
                <c:ptCount val="1"/>
                <c:pt idx="0">
                  <c:v>36</c:v>
                </c:pt>
              </c:numCache>
            </c:numRef>
          </c:val>
        </c:ser>
        <c:ser>
          <c:idx val="2"/>
          <c:order val="2"/>
          <c:tx>
            <c:strRef>
              <c:f>"标度2"</c:f>
              <c:strCache>
                <c:ptCount val="1"/>
                <c:pt idx="0">
                  <c:v>标度2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标度统计!$O$50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51738287"/>
        <c:axId val="651737455"/>
      </c:barChart>
      <c:catAx>
        <c:axId val="6517382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1737455"/>
        <c:crosses val="autoZero"/>
        <c:auto val="1"/>
        <c:lblAlgn val="ctr"/>
        <c:lblOffset val="100"/>
        <c:noMultiLvlLbl val="0"/>
      </c:catAx>
      <c:valAx>
        <c:axId val="65173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数量</a:t>
                </a:r>
                <a:r>
                  <a:rPr lang="en-US" altLang="zh-CN"/>
                  <a:t>/</a:t>
                </a:r>
                <a:r>
                  <a:rPr lang="zh-CN" altLang="en-US"/>
                  <a:t>座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353853893263342"/>
              <c:y val="0.43187773403324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173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546996842786"/>
          <c:y val="0.252364025925331"/>
          <c:w val="0.114937325659405"/>
          <c:h val="0.2472544778056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eba595-5c37-4d5b-899f-602e1172b6e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"标度0"</c:f>
              <c:strCache>
                <c:ptCount val="1"/>
                <c:pt idx="0">
                  <c:v>标度0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标度统计!$O$64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"标度1"</c:f>
              <c:strCache>
                <c:ptCount val="1"/>
                <c:pt idx="0">
                  <c:v>标度1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标度统计!$O$65</c:f>
              <c:numCache>
                <c:formatCode>General</c:formatCode>
                <c:ptCount val="1"/>
                <c:pt idx="0">
                  <c:v>59</c:v>
                </c:pt>
              </c:numCache>
            </c:numRef>
          </c:val>
        </c:ser>
        <c:ser>
          <c:idx val="2"/>
          <c:order val="2"/>
          <c:tx>
            <c:strRef>
              <c:f>"标度2"</c:f>
              <c:strCache>
                <c:ptCount val="1"/>
                <c:pt idx="0">
                  <c:v>标度2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标度统计!$O$66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26097887"/>
        <c:axId val="826100799"/>
      </c:barChart>
      <c:catAx>
        <c:axId val="8260978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6100799"/>
        <c:crosses val="autoZero"/>
        <c:auto val="1"/>
        <c:lblAlgn val="ctr"/>
        <c:lblOffset val="100"/>
        <c:noMultiLvlLbl val="0"/>
      </c:catAx>
      <c:valAx>
        <c:axId val="82610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数量</a:t>
                </a:r>
                <a:r>
                  <a:rPr lang="en-US" altLang="zh-CN"/>
                  <a:t>/</a:t>
                </a:r>
                <a:r>
                  <a:rPr lang="zh-CN" altLang="en-US"/>
                  <a:t>座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298298337707787"/>
              <c:y val="0.44576662292213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609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9870734908136"/>
          <c:y val="0.336434456109653"/>
          <c:w val="0.120333444234964"/>
          <c:h val="0.2472544778056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9b3eb5-00ad-4bfc-bec5-23311124dc0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标度统计!$M$77</c:f>
              <c:strCache>
                <c:ptCount val="1"/>
                <c:pt idx="0">
                  <c:v>标度0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标度统计!$O$77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</c:ser>
        <c:ser>
          <c:idx val="1"/>
          <c:order val="1"/>
          <c:tx>
            <c:strRef>
              <c:f>标度统计!$M$78</c:f>
              <c:strCache>
                <c:ptCount val="1"/>
                <c:pt idx="0">
                  <c:v>标度1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标度统计!$O$78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</c:ser>
        <c:ser>
          <c:idx val="2"/>
          <c:order val="2"/>
          <c:tx>
            <c:strRef>
              <c:f>标度统计!$M$79</c:f>
              <c:strCache>
                <c:ptCount val="1"/>
                <c:pt idx="0">
                  <c:v>标度2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标度统计!$O$79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10286831"/>
        <c:axId val="710273935"/>
      </c:barChart>
      <c:catAx>
        <c:axId val="7102868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0273935"/>
        <c:crosses val="autoZero"/>
        <c:auto val="1"/>
        <c:lblAlgn val="ctr"/>
        <c:lblOffset val="100"/>
        <c:noMultiLvlLbl val="0"/>
      </c:catAx>
      <c:valAx>
        <c:axId val="71027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数量</a:t>
                </a:r>
                <a:r>
                  <a:rPr lang="en-US" altLang="zh-CN"/>
                  <a:t>/</a:t>
                </a:r>
                <a:r>
                  <a:rPr lang="zh-CN" altLang="en-US"/>
                  <a:t>座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280172328124909"/>
              <c:y val="0.31952295436754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028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4870734908136"/>
          <c:y val="0.271619641294838"/>
          <c:w val="0.131779041758598"/>
          <c:h val="0.27000188976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895df77-ef51-4dd4-a513-e1b491d9b96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标度统计!$M$90</c:f>
              <c:strCache>
                <c:ptCount val="1"/>
                <c:pt idx="0">
                  <c:v>标度0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标度统计!$O$90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标度统计!$M$91</c:f>
              <c:strCache>
                <c:ptCount val="1"/>
                <c:pt idx="0">
                  <c:v>标度1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标度统计!$O$91</c:f>
              <c:numCache>
                <c:formatCode>General</c:formatCode>
                <c:ptCount val="1"/>
                <c:pt idx="0">
                  <c:v>77</c:v>
                </c:pt>
              </c:numCache>
            </c:numRef>
          </c:val>
        </c:ser>
        <c:ser>
          <c:idx val="2"/>
          <c:order val="2"/>
          <c:tx>
            <c:strRef>
              <c:f>标度统计!$M$92</c:f>
              <c:strCache>
                <c:ptCount val="1"/>
                <c:pt idx="0">
                  <c:v>标度2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标度统计!$O$92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53026879"/>
        <c:axId val="710272271"/>
      </c:barChart>
      <c:catAx>
        <c:axId val="5530268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0272271"/>
        <c:crosses val="autoZero"/>
        <c:auto val="1"/>
        <c:lblAlgn val="ctr"/>
        <c:lblOffset val="100"/>
        <c:noMultiLvlLbl val="0"/>
      </c:catAx>
      <c:valAx>
        <c:axId val="71027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数量</a:t>
                </a:r>
                <a:r>
                  <a:rPr lang="en-US" altLang="zh-CN"/>
                  <a:t>/</a:t>
                </a:r>
                <a:r>
                  <a:rPr lang="zh-CN" altLang="en-US"/>
                  <a:t>座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279573490813648"/>
              <c:y val="0.30873651210265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302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315179352581"/>
          <c:y val="0.280878900554097"/>
          <c:w val="0.119771138420782"/>
          <c:h val="0.2732812649430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3671f0-7485-48cf-be9d-af0bf2264c3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标度统计!$M$104</c:f>
              <c:strCache>
                <c:ptCount val="1"/>
                <c:pt idx="0">
                  <c:v>标度0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标度统计!$O$104</c:f>
              <c:numCache>
                <c:formatCode>General</c:formatCode>
                <c:ptCount val="1"/>
                <c:pt idx="0">
                  <c:v>38</c:v>
                </c:pt>
              </c:numCache>
            </c:numRef>
          </c:val>
        </c:ser>
        <c:ser>
          <c:idx val="1"/>
          <c:order val="1"/>
          <c:tx>
            <c:strRef>
              <c:f>标度统计!$M$105</c:f>
              <c:strCache>
                <c:ptCount val="1"/>
                <c:pt idx="0">
                  <c:v>标度1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标度统计!$O$105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</c:ser>
        <c:ser>
          <c:idx val="2"/>
          <c:order val="2"/>
          <c:tx>
            <c:strRef>
              <c:f>标度统计!$M$106</c:f>
              <c:strCache>
                <c:ptCount val="1"/>
                <c:pt idx="0">
                  <c:v>标度2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标度统计!$O$106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49918879"/>
        <c:axId val="649919711"/>
      </c:barChart>
      <c:catAx>
        <c:axId val="6499188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9919711"/>
        <c:crosses val="autoZero"/>
        <c:auto val="1"/>
        <c:lblAlgn val="ctr"/>
        <c:lblOffset val="100"/>
        <c:noMultiLvlLbl val="0"/>
      </c:catAx>
      <c:valAx>
        <c:axId val="64991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数量</a:t>
                </a:r>
                <a:r>
                  <a:rPr lang="en-US" altLang="zh-CN"/>
                  <a:t>/</a:t>
                </a:r>
                <a:r>
                  <a:rPr lang="zh-CN" altLang="en-US"/>
                  <a:t>座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293173665791776"/>
              <c:y val="0.37719378827646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991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320406824147"/>
          <c:y val="0.24384186351706"/>
          <c:w val="0.131441146779729"/>
          <c:h val="0.2743921643940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34203d7-4b9f-4af2-bdd3-926bb80167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评分统计!$B$4:$B$6</c:f>
              <c:strCache>
                <c:ptCount val="3"/>
                <c:pt idx="0">
                  <c:v>[70-75)</c:v>
                </c:pt>
                <c:pt idx="1">
                  <c:v>[75-80)</c:v>
                </c:pt>
                <c:pt idx="2">
                  <c:v>[80-85)</c:v>
                </c:pt>
              </c:strCache>
            </c:strRef>
          </c:cat>
          <c:val>
            <c:numRef>
              <c:f>评分统计!$D$4:$D$6</c:f>
              <c:numCache>
                <c:formatCode>0.0%</c:formatCode>
                <c:ptCount val="3"/>
                <c:pt idx="0">
                  <c:v>0.449</c:v>
                </c:pt>
                <c:pt idx="1">
                  <c:v>0.295</c:v>
                </c:pt>
                <c:pt idx="2">
                  <c:v>0.256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655931522073"/>
          <c:y val="0.393280013226693"/>
          <c:w val="0.127241966375825"/>
          <c:h val="0.2657498914997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754f0c-cf27-4424-8eb7-4dc85e5fa7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评分统计!$Q$3:$Q$6</c:f>
              <c:strCache>
                <c:ptCount val="4"/>
                <c:pt idx="0">
                  <c:v>特长隧道</c:v>
                </c:pt>
                <c:pt idx="1">
                  <c:v>长隧道</c:v>
                </c:pt>
                <c:pt idx="2">
                  <c:v>中隧道</c:v>
                </c:pt>
                <c:pt idx="3">
                  <c:v>短隧道</c:v>
                </c:pt>
              </c:strCache>
            </c:strRef>
          </c:cat>
          <c:val>
            <c:numRef>
              <c:f>评分统计!$R$3:$R$6</c:f>
              <c:numCache>
                <c:formatCode>General</c:formatCode>
                <c:ptCount val="4"/>
                <c:pt idx="0">
                  <c:v>2</c:v>
                </c:pt>
                <c:pt idx="1">
                  <c:v>20</c:v>
                </c:pt>
                <c:pt idx="2">
                  <c:v>41</c:v>
                </c:pt>
                <c:pt idx="3">
                  <c:v>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6981846019248"/>
          <c:y val="0.246445756780402"/>
          <c:w val="0.214851078397809"/>
          <c:h val="0.4477643279664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10fdaba-174a-4455-ac04-62573e8bba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评分统计!$Q$3</c:f>
              <c:strCache>
                <c:ptCount val="1"/>
                <c:pt idx="0">
                  <c:v>特长隧道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评分统计!$S$3</c:f>
              <c:numCache>
                <c:formatCode>General</c:formatCode>
                <c:ptCount val="1"/>
                <c:pt idx="0">
                  <c:v>6583.5</c:v>
                </c:pt>
              </c:numCache>
            </c:numRef>
          </c:val>
        </c:ser>
        <c:ser>
          <c:idx val="1"/>
          <c:order val="1"/>
          <c:tx>
            <c:strRef>
              <c:f>评分统计!$Q$4</c:f>
              <c:strCache>
                <c:ptCount val="1"/>
                <c:pt idx="0">
                  <c:v>长隧道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评分统计!$S$4</c:f>
              <c:numCache>
                <c:formatCode>General</c:formatCode>
                <c:ptCount val="1"/>
                <c:pt idx="0">
                  <c:v>25585.98</c:v>
                </c:pt>
              </c:numCache>
            </c:numRef>
          </c:val>
        </c:ser>
        <c:ser>
          <c:idx val="2"/>
          <c:order val="2"/>
          <c:tx>
            <c:strRef>
              <c:f>评分统计!$Q$5</c:f>
              <c:strCache>
                <c:ptCount val="1"/>
                <c:pt idx="0">
                  <c:v>中隧道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评分统计!$S$5</c:f>
              <c:numCache>
                <c:formatCode>General</c:formatCode>
                <c:ptCount val="1"/>
                <c:pt idx="0">
                  <c:v>28207.9</c:v>
                </c:pt>
              </c:numCache>
            </c:numRef>
          </c:val>
        </c:ser>
        <c:ser>
          <c:idx val="3"/>
          <c:order val="3"/>
          <c:tx>
            <c:strRef>
              <c:f>评分统计!$Q$6</c:f>
              <c:strCache>
                <c:ptCount val="1"/>
                <c:pt idx="0">
                  <c:v>短隧道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评分统计!$S$6</c:f>
              <c:numCache>
                <c:formatCode>General</c:formatCode>
                <c:ptCount val="1"/>
                <c:pt idx="0">
                  <c:v>6106.7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9188415"/>
        <c:axId val="559188831"/>
      </c:barChart>
      <c:catAx>
        <c:axId val="5591884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9188831"/>
        <c:crosses val="autoZero"/>
        <c:auto val="1"/>
        <c:lblAlgn val="ctr"/>
        <c:lblOffset val="100"/>
        <c:noMultiLvlLbl val="0"/>
      </c:catAx>
      <c:valAx>
        <c:axId val="55918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里程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222222222222222"/>
              <c:y val="0.28102252843394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918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2537401574803"/>
          <c:y val="0.292822980460776"/>
          <c:w val="0.177462717728466"/>
          <c:h val="0.4072426693269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650189c-eb52-4e82-b6a1-c06bf6f5d3a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7" Type="http://schemas.openxmlformats.org/officeDocument/2006/relationships/chart" Target="../charts/chart9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0</xdr:row>
      <xdr:rowOff>0</xdr:rowOff>
    </xdr:from>
    <xdr:to>
      <xdr:col>4</xdr:col>
      <xdr:colOff>0</xdr:colOff>
      <xdr:row>457</xdr:row>
      <xdr:rowOff>95250</xdr:rowOff>
    </xdr:to>
    <xdr:sp>
      <xdr:nvSpPr>
        <xdr:cNvPr id="1486" name="矩形 3696" hidden="1"/>
        <xdr:cNvSpPr>
          <a:spLocks noChangeAspect="1" noChangeArrowheads="1"/>
        </xdr:cNvSpPr>
      </xdr:nvSpPr>
      <xdr:spPr>
        <a:xfrm>
          <a:off x="1371600" y="0"/>
          <a:ext cx="1533525" cy="9099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50" b="0" i="0" u="none" strike="noStrike" baseline="0">
              <a:solidFill>
                <a:srgbClr val="000000"/>
              </a:solidFill>
              <a:latin typeface="等线" panose="02010600030101010101" charset="-122"/>
              <a:ea typeface="等线" panose="02010600030101010101" charset="-122"/>
            </a:rPr>
            <a:t> </a:t>
          </a:r>
          <a:endParaRPr lang="zh-CN" altLang="en-US" sz="1050" b="0" i="0" u="none" strike="noStrike" baseline="0">
            <a:solidFill>
              <a:srgbClr val="000000"/>
            </a:solidFill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457</xdr:row>
      <xdr:rowOff>95250</xdr:rowOff>
    </xdr:to>
    <xdr:sp>
      <xdr:nvSpPr>
        <xdr:cNvPr id="1485" name="矩形 3695" hidden="1"/>
        <xdr:cNvSpPr>
          <a:spLocks noChangeAspect="1" noChangeArrowheads="1"/>
        </xdr:cNvSpPr>
      </xdr:nvSpPr>
      <xdr:spPr>
        <a:xfrm>
          <a:off x="1371600" y="0"/>
          <a:ext cx="1533525" cy="9099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50" b="0" i="0" u="none" strike="noStrike" baseline="0">
              <a:solidFill>
                <a:srgbClr val="000000"/>
              </a:solidFill>
              <a:latin typeface="等线" panose="02010600030101010101" charset="-122"/>
              <a:ea typeface="等线" panose="02010600030101010101" charset="-122"/>
            </a:rPr>
            <a:t> </a:t>
          </a:r>
          <a:endParaRPr lang="zh-CN" altLang="en-US" sz="1050" b="0" i="0" u="none" strike="noStrike" baseline="0">
            <a:solidFill>
              <a:srgbClr val="000000"/>
            </a:solidFill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457</xdr:row>
      <xdr:rowOff>95250</xdr:rowOff>
    </xdr:to>
    <xdr:sp>
      <xdr:nvSpPr>
        <xdr:cNvPr id="1484" name="矩形 3694" hidden="1"/>
        <xdr:cNvSpPr>
          <a:spLocks noChangeAspect="1" noChangeArrowheads="1"/>
        </xdr:cNvSpPr>
      </xdr:nvSpPr>
      <xdr:spPr>
        <a:xfrm>
          <a:off x="1371600" y="0"/>
          <a:ext cx="1533525" cy="9099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50" b="0" i="0" u="none" strike="noStrike" baseline="0">
              <a:solidFill>
                <a:srgbClr val="000000"/>
              </a:solidFill>
              <a:latin typeface="等线" panose="02010600030101010101" charset="-122"/>
              <a:ea typeface="等线" panose="02010600030101010101" charset="-122"/>
            </a:rPr>
            <a:t> </a:t>
          </a:r>
          <a:endParaRPr lang="zh-CN" altLang="en-US" sz="1050" b="0" i="0" u="none" strike="noStrike" baseline="0">
            <a:solidFill>
              <a:srgbClr val="000000"/>
            </a:solidFill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457</xdr:row>
      <xdr:rowOff>95250</xdr:rowOff>
    </xdr:to>
    <xdr:sp>
      <xdr:nvSpPr>
        <xdr:cNvPr id="1483" name="矩形 3693" hidden="1"/>
        <xdr:cNvSpPr>
          <a:spLocks noChangeAspect="1" noChangeArrowheads="1"/>
        </xdr:cNvSpPr>
      </xdr:nvSpPr>
      <xdr:spPr>
        <a:xfrm>
          <a:off x="1371600" y="0"/>
          <a:ext cx="1533525" cy="9099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50" b="0" i="0" u="none" strike="noStrike" baseline="0">
              <a:solidFill>
                <a:srgbClr val="000000"/>
              </a:solidFill>
              <a:latin typeface="等线" panose="02010600030101010101" charset="-122"/>
              <a:ea typeface="等线" panose="02010600030101010101" charset="-122"/>
            </a:rPr>
            <a:t> </a:t>
          </a:r>
          <a:endParaRPr lang="zh-CN" altLang="en-US" sz="1050" b="0" i="0" u="none" strike="noStrike" baseline="0">
            <a:solidFill>
              <a:srgbClr val="000000"/>
            </a:solidFill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457</xdr:row>
      <xdr:rowOff>95250</xdr:rowOff>
    </xdr:to>
    <xdr:sp>
      <xdr:nvSpPr>
        <xdr:cNvPr id="1482" name="矩形 3692" hidden="1"/>
        <xdr:cNvSpPr>
          <a:spLocks noChangeAspect="1" noChangeArrowheads="1"/>
        </xdr:cNvSpPr>
      </xdr:nvSpPr>
      <xdr:spPr>
        <a:xfrm>
          <a:off x="1371600" y="0"/>
          <a:ext cx="1533525" cy="9099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50" b="0" i="0" u="none" strike="noStrike" baseline="0">
              <a:solidFill>
                <a:srgbClr val="000000"/>
              </a:solidFill>
              <a:latin typeface="等线" panose="02010600030101010101" charset="-122"/>
              <a:ea typeface="等线" panose="02010600030101010101" charset="-122"/>
            </a:rPr>
            <a:t> </a:t>
          </a:r>
          <a:endParaRPr lang="zh-CN" altLang="en-US" sz="1050" b="0" i="0" u="none" strike="noStrike" baseline="0">
            <a:solidFill>
              <a:srgbClr val="000000"/>
            </a:solidFill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457</xdr:row>
      <xdr:rowOff>95250</xdr:rowOff>
    </xdr:to>
    <xdr:sp>
      <xdr:nvSpPr>
        <xdr:cNvPr id="1481" name="矩形 3691" hidden="1"/>
        <xdr:cNvSpPr>
          <a:spLocks noChangeAspect="1" noChangeArrowheads="1"/>
        </xdr:cNvSpPr>
      </xdr:nvSpPr>
      <xdr:spPr>
        <a:xfrm>
          <a:off x="1371600" y="0"/>
          <a:ext cx="1533525" cy="9099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50" b="0" i="0" u="none" strike="noStrike" baseline="0">
              <a:solidFill>
                <a:srgbClr val="000000"/>
              </a:solidFill>
              <a:latin typeface="等线" panose="02010600030101010101" charset="-122"/>
              <a:ea typeface="等线" panose="02010600030101010101" charset="-122"/>
            </a:rPr>
            <a:t> </a:t>
          </a:r>
          <a:endParaRPr lang="zh-CN" altLang="en-US" sz="1050" b="0" i="0" u="none" strike="noStrike" baseline="0">
            <a:solidFill>
              <a:srgbClr val="000000"/>
            </a:solidFill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457</xdr:row>
      <xdr:rowOff>95250</xdr:rowOff>
    </xdr:to>
    <xdr:sp>
      <xdr:nvSpPr>
        <xdr:cNvPr id="1480" name="矩形 3690" hidden="1"/>
        <xdr:cNvSpPr>
          <a:spLocks noChangeAspect="1" noChangeArrowheads="1"/>
        </xdr:cNvSpPr>
      </xdr:nvSpPr>
      <xdr:spPr>
        <a:xfrm>
          <a:off x="1371600" y="0"/>
          <a:ext cx="1533525" cy="9099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50" b="0" i="0" u="none" strike="noStrike" baseline="0">
              <a:solidFill>
                <a:srgbClr val="000000"/>
              </a:solidFill>
              <a:latin typeface="等线" panose="02010600030101010101" charset="-122"/>
              <a:ea typeface="等线" panose="02010600030101010101" charset="-122"/>
            </a:rPr>
            <a:t> </a:t>
          </a:r>
          <a:endParaRPr lang="zh-CN" altLang="en-US" sz="1050" b="0" i="0" u="none" strike="noStrike" baseline="0">
            <a:solidFill>
              <a:srgbClr val="000000"/>
            </a:solidFill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457</xdr:row>
      <xdr:rowOff>95250</xdr:rowOff>
    </xdr:to>
    <xdr:sp>
      <xdr:nvSpPr>
        <xdr:cNvPr id="1479" name="矩形 3689" hidden="1"/>
        <xdr:cNvSpPr>
          <a:spLocks noChangeAspect="1" noChangeArrowheads="1"/>
        </xdr:cNvSpPr>
      </xdr:nvSpPr>
      <xdr:spPr>
        <a:xfrm>
          <a:off x="1371600" y="0"/>
          <a:ext cx="1533525" cy="9099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50" b="0" i="0" u="none" strike="noStrike" baseline="0">
              <a:solidFill>
                <a:srgbClr val="000000"/>
              </a:solidFill>
              <a:latin typeface="等线" panose="02010600030101010101" charset="-122"/>
              <a:ea typeface="等线" panose="02010600030101010101" charset="-122"/>
            </a:rPr>
            <a:t> </a:t>
          </a:r>
          <a:endParaRPr lang="zh-CN" altLang="en-US" sz="1050" b="0" i="0" u="none" strike="noStrike" baseline="0">
            <a:solidFill>
              <a:srgbClr val="000000"/>
            </a:solidFill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457</xdr:row>
      <xdr:rowOff>95250</xdr:rowOff>
    </xdr:to>
    <xdr:sp>
      <xdr:nvSpPr>
        <xdr:cNvPr id="1478" name="矩形 3688" hidden="1"/>
        <xdr:cNvSpPr>
          <a:spLocks noChangeAspect="1" noChangeArrowheads="1"/>
        </xdr:cNvSpPr>
      </xdr:nvSpPr>
      <xdr:spPr>
        <a:xfrm>
          <a:off x="1371600" y="0"/>
          <a:ext cx="1533525" cy="9099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50" b="0" i="0" u="none" strike="noStrike" baseline="0">
              <a:solidFill>
                <a:srgbClr val="000000"/>
              </a:solidFill>
              <a:latin typeface="等线" panose="02010600030101010101" charset="-122"/>
              <a:ea typeface="等线" panose="02010600030101010101" charset="-122"/>
            </a:rPr>
            <a:t> </a:t>
          </a:r>
          <a:endParaRPr lang="zh-CN" altLang="en-US" sz="1050" b="0" i="0" u="none" strike="noStrike" baseline="0">
            <a:solidFill>
              <a:srgbClr val="000000"/>
            </a:solidFill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457</xdr:row>
      <xdr:rowOff>95250</xdr:rowOff>
    </xdr:to>
    <xdr:sp>
      <xdr:nvSpPr>
        <xdr:cNvPr id="1477" name="矩形 3687" hidden="1"/>
        <xdr:cNvSpPr>
          <a:spLocks noChangeAspect="1" noChangeArrowheads="1"/>
        </xdr:cNvSpPr>
      </xdr:nvSpPr>
      <xdr:spPr>
        <a:xfrm>
          <a:off x="1371600" y="0"/>
          <a:ext cx="1533525" cy="9099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50" b="0" i="0" u="none" strike="noStrike" baseline="0">
              <a:solidFill>
                <a:srgbClr val="000000"/>
              </a:solidFill>
              <a:latin typeface="等线" panose="02010600030101010101" charset="-122"/>
              <a:ea typeface="等线" panose="02010600030101010101" charset="-122"/>
            </a:rPr>
            <a:t> </a:t>
          </a:r>
          <a:endParaRPr lang="zh-CN" altLang="en-US" sz="1050" b="0" i="0" u="none" strike="noStrike" baseline="0">
            <a:solidFill>
              <a:srgbClr val="000000"/>
            </a:solidFill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457</xdr:row>
      <xdr:rowOff>95250</xdr:rowOff>
    </xdr:to>
    <xdr:sp>
      <xdr:nvSpPr>
        <xdr:cNvPr id="1476" name="矩形 3686" hidden="1"/>
        <xdr:cNvSpPr>
          <a:spLocks noChangeAspect="1" noChangeArrowheads="1"/>
        </xdr:cNvSpPr>
      </xdr:nvSpPr>
      <xdr:spPr>
        <a:xfrm>
          <a:off x="1371600" y="0"/>
          <a:ext cx="1533525" cy="9099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457</xdr:row>
      <xdr:rowOff>95250</xdr:rowOff>
    </xdr:to>
    <xdr:sp>
      <xdr:nvSpPr>
        <xdr:cNvPr id="1475" name="矩形 3685" hidden="1"/>
        <xdr:cNvSpPr>
          <a:spLocks noChangeAspect="1" noChangeArrowheads="1"/>
        </xdr:cNvSpPr>
      </xdr:nvSpPr>
      <xdr:spPr>
        <a:xfrm>
          <a:off x="1371600" y="0"/>
          <a:ext cx="1533525" cy="9099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457</xdr:row>
      <xdr:rowOff>95250</xdr:rowOff>
    </xdr:to>
    <xdr:sp>
      <xdr:nvSpPr>
        <xdr:cNvPr id="1474" name="矩形 3684" hidden="1"/>
        <xdr:cNvSpPr>
          <a:spLocks noChangeAspect="1" noChangeArrowheads="1"/>
        </xdr:cNvSpPr>
      </xdr:nvSpPr>
      <xdr:spPr>
        <a:xfrm>
          <a:off x="1371600" y="0"/>
          <a:ext cx="1533525" cy="9099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457</xdr:row>
      <xdr:rowOff>95250</xdr:rowOff>
    </xdr:to>
    <xdr:sp>
      <xdr:nvSpPr>
        <xdr:cNvPr id="1473" name="矩形 3683" hidden="1"/>
        <xdr:cNvSpPr>
          <a:spLocks noChangeAspect="1" noChangeArrowheads="1"/>
        </xdr:cNvSpPr>
      </xdr:nvSpPr>
      <xdr:spPr>
        <a:xfrm>
          <a:off x="1371600" y="0"/>
          <a:ext cx="1533525" cy="9099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432</xdr:row>
      <xdr:rowOff>47625</xdr:rowOff>
    </xdr:to>
    <xdr:sp>
      <xdr:nvSpPr>
        <xdr:cNvPr id="1472" name="矩形 3682" hidden="1"/>
        <xdr:cNvSpPr>
          <a:spLocks noChangeAspect="1" noChangeArrowheads="1"/>
        </xdr:cNvSpPr>
      </xdr:nvSpPr>
      <xdr:spPr>
        <a:xfrm>
          <a:off x="1371600" y="0"/>
          <a:ext cx="1533525" cy="8618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432</xdr:row>
      <xdr:rowOff>47625</xdr:rowOff>
    </xdr:to>
    <xdr:sp>
      <xdr:nvSpPr>
        <xdr:cNvPr id="1471" name="矩形 3681" hidden="1"/>
        <xdr:cNvSpPr>
          <a:spLocks noChangeAspect="1" noChangeArrowheads="1"/>
        </xdr:cNvSpPr>
      </xdr:nvSpPr>
      <xdr:spPr>
        <a:xfrm>
          <a:off x="1371600" y="0"/>
          <a:ext cx="1533525" cy="8618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432</xdr:row>
      <xdr:rowOff>47625</xdr:rowOff>
    </xdr:to>
    <xdr:sp>
      <xdr:nvSpPr>
        <xdr:cNvPr id="1470" name="矩形 3680" hidden="1"/>
        <xdr:cNvSpPr>
          <a:spLocks noChangeAspect="1" noChangeArrowheads="1"/>
        </xdr:cNvSpPr>
      </xdr:nvSpPr>
      <xdr:spPr>
        <a:xfrm>
          <a:off x="1371600" y="0"/>
          <a:ext cx="1533525" cy="8618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432</xdr:row>
      <xdr:rowOff>47625</xdr:rowOff>
    </xdr:to>
    <xdr:sp>
      <xdr:nvSpPr>
        <xdr:cNvPr id="1469" name="矩形 3679" hidden="1"/>
        <xdr:cNvSpPr>
          <a:spLocks noChangeAspect="1" noChangeArrowheads="1"/>
        </xdr:cNvSpPr>
      </xdr:nvSpPr>
      <xdr:spPr>
        <a:xfrm>
          <a:off x="1371600" y="0"/>
          <a:ext cx="1533525" cy="8618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432</xdr:row>
      <xdr:rowOff>47625</xdr:rowOff>
    </xdr:to>
    <xdr:sp>
      <xdr:nvSpPr>
        <xdr:cNvPr id="1468" name="矩形 3678" hidden="1"/>
        <xdr:cNvSpPr>
          <a:spLocks noChangeAspect="1" noChangeArrowheads="1"/>
        </xdr:cNvSpPr>
      </xdr:nvSpPr>
      <xdr:spPr>
        <a:xfrm>
          <a:off x="1371600" y="0"/>
          <a:ext cx="1533525" cy="8618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432</xdr:row>
      <xdr:rowOff>47625</xdr:rowOff>
    </xdr:to>
    <xdr:sp>
      <xdr:nvSpPr>
        <xdr:cNvPr id="1467" name="矩形 3677" hidden="1"/>
        <xdr:cNvSpPr>
          <a:spLocks noChangeAspect="1" noChangeArrowheads="1"/>
        </xdr:cNvSpPr>
      </xdr:nvSpPr>
      <xdr:spPr>
        <a:xfrm>
          <a:off x="1371600" y="0"/>
          <a:ext cx="1533525" cy="8618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432</xdr:row>
      <xdr:rowOff>47625</xdr:rowOff>
    </xdr:to>
    <xdr:sp>
      <xdr:nvSpPr>
        <xdr:cNvPr id="1466" name="矩形 3676" hidden="1"/>
        <xdr:cNvSpPr>
          <a:spLocks noChangeAspect="1" noChangeArrowheads="1"/>
        </xdr:cNvSpPr>
      </xdr:nvSpPr>
      <xdr:spPr>
        <a:xfrm>
          <a:off x="1371600" y="0"/>
          <a:ext cx="1533525" cy="8618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432</xdr:row>
      <xdr:rowOff>47625</xdr:rowOff>
    </xdr:to>
    <xdr:sp>
      <xdr:nvSpPr>
        <xdr:cNvPr id="1465" name="矩形 3675" hidden="1"/>
        <xdr:cNvSpPr>
          <a:spLocks noChangeAspect="1" noChangeArrowheads="1"/>
        </xdr:cNvSpPr>
      </xdr:nvSpPr>
      <xdr:spPr>
        <a:xfrm>
          <a:off x="1371600" y="0"/>
          <a:ext cx="1533525" cy="8618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432</xdr:row>
      <xdr:rowOff>47625</xdr:rowOff>
    </xdr:to>
    <xdr:sp>
      <xdr:nvSpPr>
        <xdr:cNvPr id="1464" name="矩形 3674" hidden="1"/>
        <xdr:cNvSpPr>
          <a:spLocks noChangeAspect="1" noChangeArrowheads="1"/>
        </xdr:cNvSpPr>
      </xdr:nvSpPr>
      <xdr:spPr>
        <a:xfrm>
          <a:off x="1371600" y="0"/>
          <a:ext cx="1533525" cy="8618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432</xdr:row>
      <xdr:rowOff>47625</xdr:rowOff>
    </xdr:to>
    <xdr:sp>
      <xdr:nvSpPr>
        <xdr:cNvPr id="1463" name="矩形 3673" hidden="1"/>
        <xdr:cNvSpPr>
          <a:spLocks noChangeAspect="1" noChangeArrowheads="1"/>
        </xdr:cNvSpPr>
      </xdr:nvSpPr>
      <xdr:spPr>
        <a:xfrm>
          <a:off x="1371600" y="0"/>
          <a:ext cx="1533525" cy="8618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432</xdr:row>
      <xdr:rowOff>47625</xdr:rowOff>
    </xdr:to>
    <xdr:sp>
      <xdr:nvSpPr>
        <xdr:cNvPr id="1462" name="矩形 3672" hidden="1"/>
        <xdr:cNvSpPr>
          <a:spLocks noChangeAspect="1" noChangeArrowheads="1"/>
        </xdr:cNvSpPr>
      </xdr:nvSpPr>
      <xdr:spPr>
        <a:xfrm>
          <a:off x="1371600" y="0"/>
          <a:ext cx="1533525" cy="8618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432</xdr:row>
      <xdr:rowOff>47625</xdr:rowOff>
    </xdr:to>
    <xdr:sp>
      <xdr:nvSpPr>
        <xdr:cNvPr id="1461" name="矩形 3671" hidden="1"/>
        <xdr:cNvSpPr>
          <a:spLocks noChangeAspect="1" noChangeArrowheads="1"/>
        </xdr:cNvSpPr>
      </xdr:nvSpPr>
      <xdr:spPr>
        <a:xfrm>
          <a:off x="1371600" y="0"/>
          <a:ext cx="1533525" cy="8618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432</xdr:row>
      <xdr:rowOff>47625</xdr:rowOff>
    </xdr:to>
    <xdr:sp>
      <xdr:nvSpPr>
        <xdr:cNvPr id="1460" name="矩形 3670" hidden="1"/>
        <xdr:cNvSpPr>
          <a:spLocks noChangeAspect="1" noChangeArrowheads="1"/>
        </xdr:cNvSpPr>
      </xdr:nvSpPr>
      <xdr:spPr>
        <a:xfrm>
          <a:off x="1371600" y="0"/>
          <a:ext cx="1533525" cy="8618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4</xdr:col>
      <xdr:colOff>0</xdr:colOff>
      <xdr:row>432</xdr:row>
      <xdr:rowOff>47625</xdr:rowOff>
    </xdr:to>
    <xdr:sp>
      <xdr:nvSpPr>
        <xdr:cNvPr id="1459" name="矩形 3669" hidden="1"/>
        <xdr:cNvSpPr>
          <a:spLocks noChangeAspect="1" noChangeArrowheads="1"/>
        </xdr:cNvSpPr>
      </xdr:nvSpPr>
      <xdr:spPr>
        <a:xfrm>
          <a:off x="1371600" y="0"/>
          <a:ext cx="1533525" cy="8618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429</xdr:row>
      <xdr:rowOff>95250</xdr:rowOff>
    </xdr:from>
    <xdr:to>
      <xdr:col>4</xdr:col>
      <xdr:colOff>0</xdr:colOff>
      <xdr:row>435</xdr:row>
      <xdr:rowOff>19050</xdr:rowOff>
    </xdr:to>
    <xdr:sp>
      <xdr:nvSpPr>
        <xdr:cNvPr id="1458" name="矩形 3668" hidden="1"/>
        <xdr:cNvSpPr>
          <a:spLocks noChangeAspect="1" noChangeArrowheads="1"/>
        </xdr:cNvSpPr>
      </xdr:nvSpPr>
      <xdr:spPr>
        <a:xfrm>
          <a:off x="1371600" y="8566467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429</xdr:row>
      <xdr:rowOff>95250</xdr:rowOff>
    </xdr:from>
    <xdr:to>
      <xdr:col>4</xdr:col>
      <xdr:colOff>0</xdr:colOff>
      <xdr:row>435</xdr:row>
      <xdr:rowOff>19050</xdr:rowOff>
    </xdr:to>
    <xdr:sp>
      <xdr:nvSpPr>
        <xdr:cNvPr id="1457" name="矩形 3667" hidden="1"/>
        <xdr:cNvSpPr>
          <a:spLocks noChangeAspect="1" noChangeArrowheads="1"/>
        </xdr:cNvSpPr>
      </xdr:nvSpPr>
      <xdr:spPr>
        <a:xfrm>
          <a:off x="1371600" y="8566467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429</xdr:row>
      <xdr:rowOff>95250</xdr:rowOff>
    </xdr:from>
    <xdr:to>
      <xdr:col>4</xdr:col>
      <xdr:colOff>0</xdr:colOff>
      <xdr:row>435</xdr:row>
      <xdr:rowOff>19050</xdr:rowOff>
    </xdr:to>
    <xdr:sp>
      <xdr:nvSpPr>
        <xdr:cNvPr id="1456" name="矩形 3666" hidden="1"/>
        <xdr:cNvSpPr>
          <a:spLocks noChangeAspect="1" noChangeArrowheads="1"/>
        </xdr:cNvSpPr>
      </xdr:nvSpPr>
      <xdr:spPr>
        <a:xfrm>
          <a:off x="1371600" y="8566467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429</xdr:row>
      <xdr:rowOff>95250</xdr:rowOff>
    </xdr:from>
    <xdr:to>
      <xdr:col>4</xdr:col>
      <xdr:colOff>0</xdr:colOff>
      <xdr:row>435</xdr:row>
      <xdr:rowOff>19050</xdr:rowOff>
    </xdr:to>
    <xdr:sp>
      <xdr:nvSpPr>
        <xdr:cNvPr id="1455" name="矩形 3665" hidden="1"/>
        <xdr:cNvSpPr>
          <a:spLocks noChangeAspect="1" noChangeArrowheads="1"/>
        </xdr:cNvSpPr>
      </xdr:nvSpPr>
      <xdr:spPr>
        <a:xfrm>
          <a:off x="1371600" y="8566467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429</xdr:row>
      <xdr:rowOff>95250</xdr:rowOff>
    </xdr:from>
    <xdr:to>
      <xdr:col>4</xdr:col>
      <xdr:colOff>0</xdr:colOff>
      <xdr:row>435</xdr:row>
      <xdr:rowOff>19050</xdr:rowOff>
    </xdr:to>
    <xdr:sp>
      <xdr:nvSpPr>
        <xdr:cNvPr id="1454" name="矩形 3664" hidden="1"/>
        <xdr:cNvSpPr>
          <a:spLocks noChangeAspect="1" noChangeArrowheads="1"/>
        </xdr:cNvSpPr>
      </xdr:nvSpPr>
      <xdr:spPr>
        <a:xfrm>
          <a:off x="1371600" y="8566467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429</xdr:row>
      <xdr:rowOff>95250</xdr:rowOff>
    </xdr:from>
    <xdr:to>
      <xdr:col>4</xdr:col>
      <xdr:colOff>0</xdr:colOff>
      <xdr:row>435</xdr:row>
      <xdr:rowOff>19050</xdr:rowOff>
    </xdr:to>
    <xdr:sp>
      <xdr:nvSpPr>
        <xdr:cNvPr id="1453" name="矩形 3663" hidden="1"/>
        <xdr:cNvSpPr>
          <a:spLocks noChangeAspect="1" noChangeArrowheads="1"/>
        </xdr:cNvSpPr>
      </xdr:nvSpPr>
      <xdr:spPr>
        <a:xfrm>
          <a:off x="1371600" y="8566467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429</xdr:row>
      <xdr:rowOff>95250</xdr:rowOff>
    </xdr:from>
    <xdr:to>
      <xdr:col>4</xdr:col>
      <xdr:colOff>0</xdr:colOff>
      <xdr:row>435</xdr:row>
      <xdr:rowOff>19050</xdr:rowOff>
    </xdr:to>
    <xdr:sp>
      <xdr:nvSpPr>
        <xdr:cNvPr id="1452" name="矩形 3662" hidden="1"/>
        <xdr:cNvSpPr>
          <a:spLocks noChangeAspect="1" noChangeArrowheads="1"/>
        </xdr:cNvSpPr>
      </xdr:nvSpPr>
      <xdr:spPr>
        <a:xfrm>
          <a:off x="1371600" y="8566467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429</xdr:row>
      <xdr:rowOff>95250</xdr:rowOff>
    </xdr:from>
    <xdr:to>
      <xdr:col>4</xdr:col>
      <xdr:colOff>0</xdr:colOff>
      <xdr:row>435</xdr:row>
      <xdr:rowOff>19050</xdr:rowOff>
    </xdr:to>
    <xdr:sp>
      <xdr:nvSpPr>
        <xdr:cNvPr id="1451" name="矩形 3661" hidden="1"/>
        <xdr:cNvSpPr>
          <a:spLocks noChangeAspect="1" noChangeArrowheads="1"/>
        </xdr:cNvSpPr>
      </xdr:nvSpPr>
      <xdr:spPr>
        <a:xfrm>
          <a:off x="1371600" y="8566467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429</xdr:row>
      <xdr:rowOff>95250</xdr:rowOff>
    </xdr:from>
    <xdr:to>
      <xdr:col>4</xdr:col>
      <xdr:colOff>0</xdr:colOff>
      <xdr:row>435</xdr:row>
      <xdr:rowOff>19050</xdr:rowOff>
    </xdr:to>
    <xdr:sp>
      <xdr:nvSpPr>
        <xdr:cNvPr id="1450" name="矩形 3660" hidden="1"/>
        <xdr:cNvSpPr>
          <a:spLocks noChangeAspect="1" noChangeArrowheads="1"/>
        </xdr:cNvSpPr>
      </xdr:nvSpPr>
      <xdr:spPr>
        <a:xfrm>
          <a:off x="1371600" y="8566467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429</xdr:row>
      <xdr:rowOff>95250</xdr:rowOff>
    </xdr:from>
    <xdr:to>
      <xdr:col>4</xdr:col>
      <xdr:colOff>0</xdr:colOff>
      <xdr:row>435</xdr:row>
      <xdr:rowOff>19050</xdr:rowOff>
    </xdr:to>
    <xdr:sp>
      <xdr:nvSpPr>
        <xdr:cNvPr id="1449" name="矩形 3659" hidden="1"/>
        <xdr:cNvSpPr>
          <a:spLocks noChangeAspect="1" noChangeArrowheads="1"/>
        </xdr:cNvSpPr>
      </xdr:nvSpPr>
      <xdr:spPr>
        <a:xfrm>
          <a:off x="1371600" y="8566467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429</xdr:row>
      <xdr:rowOff>95250</xdr:rowOff>
    </xdr:from>
    <xdr:to>
      <xdr:col>4</xdr:col>
      <xdr:colOff>0</xdr:colOff>
      <xdr:row>435</xdr:row>
      <xdr:rowOff>19050</xdr:rowOff>
    </xdr:to>
    <xdr:sp>
      <xdr:nvSpPr>
        <xdr:cNvPr id="1448" name="矩形 3658" hidden="1"/>
        <xdr:cNvSpPr>
          <a:spLocks noChangeAspect="1" noChangeArrowheads="1"/>
        </xdr:cNvSpPr>
      </xdr:nvSpPr>
      <xdr:spPr>
        <a:xfrm>
          <a:off x="1371600" y="8566467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429</xdr:row>
      <xdr:rowOff>95250</xdr:rowOff>
    </xdr:from>
    <xdr:to>
      <xdr:col>4</xdr:col>
      <xdr:colOff>0</xdr:colOff>
      <xdr:row>435</xdr:row>
      <xdr:rowOff>19050</xdr:rowOff>
    </xdr:to>
    <xdr:sp>
      <xdr:nvSpPr>
        <xdr:cNvPr id="1447" name="矩形 3657" hidden="1"/>
        <xdr:cNvSpPr>
          <a:spLocks noChangeAspect="1" noChangeArrowheads="1"/>
        </xdr:cNvSpPr>
      </xdr:nvSpPr>
      <xdr:spPr>
        <a:xfrm>
          <a:off x="1371600" y="8566467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429</xdr:row>
      <xdr:rowOff>95250</xdr:rowOff>
    </xdr:from>
    <xdr:to>
      <xdr:col>4</xdr:col>
      <xdr:colOff>0</xdr:colOff>
      <xdr:row>435</xdr:row>
      <xdr:rowOff>19050</xdr:rowOff>
    </xdr:to>
    <xdr:sp>
      <xdr:nvSpPr>
        <xdr:cNvPr id="1446" name="矩形 3656" hidden="1"/>
        <xdr:cNvSpPr>
          <a:spLocks noChangeAspect="1" noChangeArrowheads="1"/>
        </xdr:cNvSpPr>
      </xdr:nvSpPr>
      <xdr:spPr>
        <a:xfrm>
          <a:off x="1371600" y="8566467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429</xdr:row>
      <xdr:rowOff>95250</xdr:rowOff>
    </xdr:from>
    <xdr:to>
      <xdr:col>4</xdr:col>
      <xdr:colOff>0</xdr:colOff>
      <xdr:row>435</xdr:row>
      <xdr:rowOff>19050</xdr:rowOff>
    </xdr:to>
    <xdr:sp>
      <xdr:nvSpPr>
        <xdr:cNvPr id="1445" name="矩形 3655" hidden="1"/>
        <xdr:cNvSpPr>
          <a:spLocks noChangeAspect="1" noChangeArrowheads="1"/>
        </xdr:cNvSpPr>
      </xdr:nvSpPr>
      <xdr:spPr>
        <a:xfrm>
          <a:off x="1371600" y="8566467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432</xdr:row>
      <xdr:rowOff>9525</xdr:rowOff>
    </xdr:from>
    <xdr:to>
      <xdr:col>4</xdr:col>
      <xdr:colOff>0</xdr:colOff>
      <xdr:row>443</xdr:row>
      <xdr:rowOff>114300</xdr:rowOff>
    </xdr:to>
    <xdr:sp>
      <xdr:nvSpPr>
        <xdr:cNvPr id="1444" name="矩形 3654" hidden="1"/>
        <xdr:cNvSpPr>
          <a:spLocks noChangeAspect="1" noChangeArrowheads="1"/>
        </xdr:cNvSpPr>
      </xdr:nvSpPr>
      <xdr:spPr>
        <a:xfrm>
          <a:off x="1371600" y="86150450"/>
          <a:ext cx="1533525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432</xdr:row>
      <xdr:rowOff>9525</xdr:rowOff>
    </xdr:from>
    <xdr:to>
      <xdr:col>4</xdr:col>
      <xdr:colOff>0</xdr:colOff>
      <xdr:row>443</xdr:row>
      <xdr:rowOff>114300</xdr:rowOff>
    </xdr:to>
    <xdr:sp>
      <xdr:nvSpPr>
        <xdr:cNvPr id="1443" name="矩形 3653" hidden="1"/>
        <xdr:cNvSpPr>
          <a:spLocks noChangeAspect="1" noChangeArrowheads="1"/>
        </xdr:cNvSpPr>
      </xdr:nvSpPr>
      <xdr:spPr>
        <a:xfrm>
          <a:off x="1371600" y="86150450"/>
          <a:ext cx="1533525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432</xdr:row>
      <xdr:rowOff>9525</xdr:rowOff>
    </xdr:from>
    <xdr:to>
      <xdr:col>4</xdr:col>
      <xdr:colOff>0</xdr:colOff>
      <xdr:row>443</xdr:row>
      <xdr:rowOff>114300</xdr:rowOff>
    </xdr:to>
    <xdr:sp>
      <xdr:nvSpPr>
        <xdr:cNvPr id="1442" name="矩形 3652" hidden="1"/>
        <xdr:cNvSpPr>
          <a:spLocks noChangeAspect="1" noChangeArrowheads="1"/>
        </xdr:cNvSpPr>
      </xdr:nvSpPr>
      <xdr:spPr>
        <a:xfrm>
          <a:off x="1371600" y="86150450"/>
          <a:ext cx="1533525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432</xdr:row>
      <xdr:rowOff>9525</xdr:rowOff>
    </xdr:from>
    <xdr:to>
      <xdr:col>4</xdr:col>
      <xdr:colOff>0</xdr:colOff>
      <xdr:row>443</xdr:row>
      <xdr:rowOff>114300</xdr:rowOff>
    </xdr:to>
    <xdr:sp>
      <xdr:nvSpPr>
        <xdr:cNvPr id="1441" name="矩形 3651" hidden="1"/>
        <xdr:cNvSpPr>
          <a:spLocks noChangeAspect="1" noChangeArrowheads="1"/>
        </xdr:cNvSpPr>
      </xdr:nvSpPr>
      <xdr:spPr>
        <a:xfrm>
          <a:off x="1371600" y="86150450"/>
          <a:ext cx="1533525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432</xdr:row>
      <xdr:rowOff>9525</xdr:rowOff>
    </xdr:from>
    <xdr:to>
      <xdr:col>4</xdr:col>
      <xdr:colOff>0</xdr:colOff>
      <xdr:row>443</xdr:row>
      <xdr:rowOff>114300</xdr:rowOff>
    </xdr:to>
    <xdr:sp>
      <xdr:nvSpPr>
        <xdr:cNvPr id="1440" name="矩形 3650" hidden="1"/>
        <xdr:cNvSpPr>
          <a:spLocks noChangeAspect="1" noChangeArrowheads="1"/>
        </xdr:cNvSpPr>
      </xdr:nvSpPr>
      <xdr:spPr>
        <a:xfrm>
          <a:off x="1371600" y="86150450"/>
          <a:ext cx="1533525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432</xdr:row>
      <xdr:rowOff>9525</xdr:rowOff>
    </xdr:from>
    <xdr:to>
      <xdr:col>4</xdr:col>
      <xdr:colOff>0</xdr:colOff>
      <xdr:row>443</xdr:row>
      <xdr:rowOff>114300</xdr:rowOff>
    </xdr:to>
    <xdr:sp>
      <xdr:nvSpPr>
        <xdr:cNvPr id="1439" name="矩形 3649" hidden="1"/>
        <xdr:cNvSpPr>
          <a:spLocks noChangeAspect="1" noChangeArrowheads="1"/>
        </xdr:cNvSpPr>
      </xdr:nvSpPr>
      <xdr:spPr>
        <a:xfrm>
          <a:off x="1371600" y="86150450"/>
          <a:ext cx="1533525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432</xdr:row>
      <xdr:rowOff>9525</xdr:rowOff>
    </xdr:from>
    <xdr:to>
      <xdr:col>4</xdr:col>
      <xdr:colOff>0</xdr:colOff>
      <xdr:row>443</xdr:row>
      <xdr:rowOff>114300</xdr:rowOff>
    </xdr:to>
    <xdr:sp>
      <xdr:nvSpPr>
        <xdr:cNvPr id="1438" name="矩形 3648" hidden="1"/>
        <xdr:cNvSpPr>
          <a:spLocks noChangeAspect="1" noChangeArrowheads="1"/>
        </xdr:cNvSpPr>
      </xdr:nvSpPr>
      <xdr:spPr>
        <a:xfrm>
          <a:off x="1371600" y="86150450"/>
          <a:ext cx="1533525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432</xdr:row>
      <xdr:rowOff>9525</xdr:rowOff>
    </xdr:from>
    <xdr:to>
      <xdr:col>4</xdr:col>
      <xdr:colOff>0</xdr:colOff>
      <xdr:row>443</xdr:row>
      <xdr:rowOff>114300</xdr:rowOff>
    </xdr:to>
    <xdr:sp>
      <xdr:nvSpPr>
        <xdr:cNvPr id="1437" name="矩形 3647" hidden="1"/>
        <xdr:cNvSpPr>
          <a:spLocks noChangeAspect="1" noChangeArrowheads="1"/>
        </xdr:cNvSpPr>
      </xdr:nvSpPr>
      <xdr:spPr>
        <a:xfrm>
          <a:off x="1371600" y="86150450"/>
          <a:ext cx="1533525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432</xdr:row>
      <xdr:rowOff>9525</xdr:rowOff>
    </xdr:from>
    <xdr:to>
      <xdr:col>4</xdr:col>
      <xdr:colOff>0</xdr:colOff>
      <xdr:row>443</xdr:row>
      <xdr:rowOff>114300</xdr:rowOff>
    </xdr:to>
    <xdr:sp>
      <xdr:nvSpPr>
        <xdr:cNvPr id="1436" name="矩形 3646" hidden="1"/>
        <xdr:cNvSpPr>
          <a:spLocks noChangeAspect="1" noChangeArrowheads="1"/>
        </xdr:cNvSpPr>
      </xdr:nvSpPr>
      <xdr:spPr>
        <a:xfrm>
          <a:off x="1371600" y="86150450"/>
          <a:ext cx="1533525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432</xdr:row>
      <xdr:rowOff>9525</xdr:rowOff>
    </xdr:from>
    <xdr:to>
      <xdr:col>4</xdr:col>
      <xdr:colOff>0</xdr:colOff>
      <xdr:row>443</xdr:row>
      <xdr:rowOff>114300</xdr:rowOff>
    </xdr:to>
    <xdr:sp>
      <xdr:nvSpPr>
        <xdr:cNvPr id="1435" name="矩形 3645" hidden="1"/>
        <xdr:cNvSpPr>
          <a:spLocks noChangeAspect="1" noChangeArrowheads="1"/>
        </xdr:cNvSpPr>
      </xdr:nvSpPr>
      <xdr:spPr>
        <a:xfrm>
          <a:off x="1371600" y="86150450"/>
          <a:ext cx="1533525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432</xdr:row>
      <xdr:rowOff>9525</xdr:rowOff>
    </xdr:from>
    <xdr:to>
      <xdr:col>4</xdr:col>
      <xdr:colOff>0</xdr:colOff>
      <xdr:row>443</xdr:row>
      <xdr:rowOff>114300</xdr:rowOff>
    </xdr:to>
    <xdr:sp>
      <xdr:nvSpPr>
        <xdr:cNvPr id="1434" name="矩形 3644" hidden="1"/>
        <xdr:cNvSpPr>
          <a:spLocks noChangeAspect="1" noChangeArrowheads="1"/>
        </xdr:cNvSpPr>
      </xdr:nvSpPr>
      <xdr:spPr>
        <a:xfrm>
          <a:off x="1371600" y="86150450"/>
          <a:ext cx="1533525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432</xdr:row>
      <xdr:rowOff>9525</xdr:rowOff>
    </xdr:from>
    <xdr:to>
      <xdr:col>4</xdr:col>
      <xdr:colOff>0</xdr:colOff>
      <xdr:row>443</xdr:row>
      <xdr:rowOff>114300</xdr:rowOff>
    </xdr:to>
    <xdr:sp>
      <xdr:nvSpPr>
        <xdr:cNvPr id="1433" name="矩形 3643" hidden="1"/>
        <xdr:cNvSpPr>
          <a:spLocks noChangeAspect="1" noChangeArrowheads="1"/>
        </xdr:cNvSpPr>
      </xdr:nvSpPr>
      <xdr:spPr>
        <a:xfrm>
          <a:off x="1371600" y="86150450"/>
          <a:ext cx="1533525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432</xdr:row>
      <xdr:rowOff>9525</xdr:rowOff>
    </xdr:from>
    <xdr:to>
      <xdr:col>4</xdr:col>
      <xdr:colOff>0</xdr:colOff>
      <xdr:row>443</xdr:row>
      <xdr:rowOff>114300</xdr:rowOff>
    </xdr:to>
    <xdr:sp>
      <xdr:nvSpPr>
        <xdr:cNvPr id="1432" name="矩形 3642" hidden="1"/>
        <xdr:cNvSpPr>
          <a:spLocks noChangeAspect="1" noChangeArrowheads="1"/>
        </xdr:cNvSpPr>
      </xdr:nvSpPr>
      <xdr:spPr>
        <a:xfrm>
          <a:off x="1371600" y="86150450"/>
          <a:ext cx="1533525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432</xdr:row>
      <xdr:rowOff>9525</xdr:rowOff>
    </xdr:from>
    <xdr:to>
      <xdr:col>4</xdr:col>
      <xdr:colOff>0</xdr:colOff>
      <xdr:row>443</xdr:row>
      <xdr:rowOff>114300</xdr:rowOff>
    </xdr:to>
    <xdr:sp>
      <xdr:nvSpPr>
        <xdr:cNvPr id="1431" name="矩形 3641" hidden="1"/>
        <xdr:cNvSpPr>
          <a:spLocks noChangeAspect="1" noChangeArrowheads="1"/>
        </xdr:cNvSpPr>
      </xdr:nvSpPr>
      <xdr:spPr>
        <a:xfrm>
          <a:off x="1371600" y="86150450"/>
          <a:ext cx="1533525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434</xdr:row>
      <xdr:rowOff>161925</xdr:rowOff>
    </xdr:from>
    <xdr:to>
      <xdr:col>4</xdr:col>
      <xdr:colOff>0</xdr:colOff>
      <xdr:row>446</xdr:row>
      <xdr:rowOff>28575</xdr:rowOff>
    </xdr:to>
    <xdr:sp>
      <xdr:nvSpPr>
        <xdr:cNvPr id="1430" name="矩形 3640" hidden="1"/>
        <xdr:cNvSpPr>
          <a:spLocks noChangeAspect="1" noChangeArrowheads="1"/>
        </xdr:cNvSpPr>
      </xdr:nvSpPr>
      <xdr:spPr>
        <a:xfrm>
          <a:off x="1371600" y="86683850"/>
          <a:ext cx="1533525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434</xdr:row>
      <xdr:rowOff>161925</xdr:rowOff>
    </xdr:from>
    <xdr:to>
      <xdr:col>4</xdr:col>
      <xdr:colOff>0</xdr:colOff>
      <xdr:row>446</xdr:row>
      <xdr:rowOff>28575</xdr:rowOff>
    </xdr:to>
    <xdr:sp>
      <xdr:nvSpPr>
        <xdr:cNvPr id="1429" name="矩形 3639" hidden="1"/>
        <xdr:cNvSpPr>
          <a:spLocks noChangeAspect="1" noChangeArrowheads="1"/>
        </xdr:cNvSpPr>
      </xdr:nvSpPr>
      <xdr:spPr>
        <a:xfrm>
          <a:off x="1371600" y="86683850"/>
          <a:ext cx="1533525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434</xdr:row>
      <xdr:rowOff>161925</xdr:rowOff>
    </xdr:from>
    <xdr:to>
      <xdr:col>4</xdr:col>
      <xdr:colOff>0</xdr:colOff>
      <xdr:row>446</xdr:row>
      <xdr:rowOff>28575</xdr:rowOff>
    </xdr:to>
    <xdr:sp>
      <xdr:nvSpPr>
        <xdr:cNvPr id="1428" name="矩形 3638" hidden="1"/>
        <xdr:cNvSpPr>
          <a:spLocks noChangeAspect="1" noChangeArrowheads="1"/>
        </xdr:cNvSpPr>
      </xdr:nvSpPr>
      <xdr:spPr>
        <a:xfrm>
          <a:off x="1371600" y="86683850"/>
          <a:ext cx="1533525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434</xdr:row>
      <xdr:rowOff>161925</xdr:rowOff>
    </xdr:from>
    <xdr:to>
      <xdr:col>4</xdr:col>
      <xdr:colOff>0</xdr:colOff>
      <xdr:row>446</xdr:row>
      <xdr:rowOff>28575</xdr:rowOff>
    </xdr:to>
    <xdr:sp>
      <xdr:nvSpPr>
        <xdr:cNvPr id="1427" name="矩形 3637" hidden="1"/>
        <xdr:cNvSpPr>
          <a:spLocks noChangeAspect="1" noChangeArrowheads="1"/>
        </xdr:cNvSpPr>
      </xdr:nvSpPr>
      <xdr:spPr>
        <a:xfrm>
          <a:off x="1371600" y="86683850"/>
          <a:ext cx="1533525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434</xdr:row>
      <xdr:rowOff>161925</xdr:rowOff>
    </xdr:from>
    <xdr:to>
      <xdr:col>4</xdr:col>
      <xdr:colOff>0</xdr:colOff>
      <xdr:row>446</xdr:row>
      <xdr:rowOff>28575</xdr:rowOff>
    </xdr:to>
    <xdr:sp>
      <xdr:nvSpPr>
        <xdr:cNvPr id="1426" name="矩形 3636" hidden="1"/>
        <xdr:cNvSpPr>
          <a:spLocks noChangeAspect="1" noChangeArrowheads="1"/>
        </xdr:cNvSpPr>
      </xdr:nvSpPr>
      <xdr:spPr>
        <a:xfrm>
          <a:off x="1371600" y="86683850"/>
          <a:ext cx="1533525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434</xdr:row>
      <xdr:rowOff>161925</xdr:rowOff>
    </xdr:from>
    <xdr:to>
      <xdr:col>4</xdr:col>
      <xdr:colOff>0</xdr:colOff>
      <xdr:row>446</xdr:row>
      <xdr:rowOff>28575</xdr:rowOff>
    </xdr:to>
    <xdr:sp>
      <xdr:nvSpPr>
        <xdr:cNvPr id="1425" name="矩形 3635" hidden="1"/>
        <xdr:cNvSpPr>
          <a:spLocks noChangeAspect="1" noChangeArrowheads="1"/>
        </xdr:cNvSpPr>
      </xdr:nvSpPr>
      <xdr:spPr>
        <a:xfrm>
          <a:off x="1371600" y="86683850"/>
          <a:ext cx="1533525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434</xdr:row>
      <xdr:rowOff>161925</xdr:rowOff>
    </xdr:from>
    <xdr:to>
      <xdr:col>4</xdr:col>
      <xdr:colOff>0</xdr:colOff>
      <xdr:row>446</xdr:row>
      <xdr:rowOff>28575</xdr:rowOff>
    </xdr:to>
    <xdr:sp>
      <xdr:nvSpPr>
        <xdr:cNvPr id="1424" name="矩形 3634" hidden="1"/>
        <xdr:cNvSpPr>
          <a:spLocks noChangeAspect="1" noChangeArrowheads="1"/>
        </xdr:cNvSpPr>
      </xdr:nvSpPr>
      <xdr:spPr>
        <a:xfrm>
          <a:off x="1371600" y="86683850"/>
          <a:ext cx="1533525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434</xdr:row>
      <xdr:rowOff>161925</xdr:rowOff>
    </xdr:from>
    <xdr:to>
      <xdr:col>4</xdr:col>
      <xdr:colOff>0</xdr:colOff>
      <xdr:row>446</xdr:row>
      <xdr:rowOff>28575</xdr:rowOff>
    </xdr:to>
    <xdr:sp>
      <xdr:nvSpPr>
        <xdr:cNvPr id="1423" name="矩形 3633" hidden="1"/>
        <xdr:cNvSpPr>
          <a:spLocks noChangeAspect="1" noChangeArrowheads="1"/>
        </xdr:cNvSpPr>
      </xdr:nvSpPr>
      <xdr:spPr>
        <a:xfrm>
          <a:off x="1371600" y="86683850"/>
          <a:ext cx="1533525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434</xdr:row>
      <xdr:rowOff>161925</xdr:rowOff>
    </xdr:from>
    <xdr:to>
      <xdr:col>4</xdr:col>
      <xdr:colOff>0</xdr:colOff>
      <xdr:row>446</xdr:row>
      <xdr:rowOff>28575</xdr:rowOff>
    </xdr:to>
    <xdr:sp>
      <xdr:nvSpPr>
        <xdr:cNvPr id="1422" name="矩形 3632" hidden="1"/>
        <xdr:cNvSpPr>
          <a:spLocks noChangeAspect="1" noChangeArrowheads="1"/>
        </xdr:cNvSpPr>
      </xdr:nvSpPr>
      <xdr:spPr>
        <a:xfrm>
          <a:off x="1371600" y="86683850"/>
          <a:ext cx="1533525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434</xdr:row>
      <xdr:rowOff>161925</xdr:rowOff>
    </xdr:from>
    <xdr:to>
      <xdr:col>4</xdr:col>
      <xdr:colOff>0</xdr:colOff>
      <xdr:row>446</xdr:row>
      <xdr:rowOff>28575</xdr:rowOff>
    </xdr:to>
    <xdr:sp>
      <xdr:nvSpPr>
        <xdr:cNvPr id="1421" name="矩形 3631" hidden="1"/>
        <xdr:cNvSpPr>
          <a:spLocks noChangeAspect="1" noChangeArrowheads="1"/>
        </xdr:cNvSpPr>
      </xdr:nvSpPr>
      <xdr:spPr>
        <a:xfrm>
          <a:off x="1371600" y="86683850"/>
          <a:ext cx="1533525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434</xdr:row>
      <xdr:rowOff>161925</xdr:rowOff>
    </xdr:from>
    <xdr:to>
      <xdr:col>4</xdr:col>
      <xdr:colOff>0</xdr:colOff>
      <xdr:row>446</xdr:row>
      <xdr:rowOff>28575</xdr:rowOff>
    </xdr:to>
    <xdr:sp>
      <xdr:nvSpPr>
        <xdr:cNvPr id="1420" name="矩形 3630" hidden="1"/>
        <xdr:cNvSpPr>
          <a:spLocks noChangeAspect="1" noChangeArrowheads="1"/>
        </xdr:cNvSpPr>
      </xdr:nvSpPr>
      <xdr:spPr>
        <a:xfrm>
          <a:off x="1371600" y="86683850"/>
          <a:ext cx="1533525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434</xdr:row>
      <xdr:rowOff>161925</xdr:rowOff>
    </xdr:from>
    <xdr:to>
      <xdr:col>4</xdr:col>
      <xdr:colOff>0</xdr:colOff>
      <xdr:row>446</xdr:row>
      <xdr:rowOff>28575</xdr:rowOff>
    </xdr:to>
    <xdr:sp>
      <xdr:nvSpPr>
        <xdr:cNvPr id="1419" name="矩形 3629" hidden="1"/>
        <xdr:cNvSpPr>
          <a:spLocks noChangeAspect="1" noChangeArrowheads="1"/>
        </xdr:cNvSpPr>
      </xdr:nvSpPr>
      <xdr:spPr>
        <a:xfrm>
          <a:off x="1371600" y="86683850"/>
          <a:ext cx="1533525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434</xdr:row>
      <xdr:rowOff>161925</xdr:rowOff>
    </xdr:from>
    <xdr:to>
      <xdr:col>4</xdr:col>
      <xdr:colOff>0</xdr:colOff>
      <xdr:row>446</xdr:row>
      <xdr:rowOff>28575</xdr:rowOff>
    </xdr:to>
    <xdr:sp>
      <xdr:nvSpPr>
        <xdr:cNvPr id="1418" name="矩形 3628" hidden="1"/>
        <xdr:cNvSpPr>
          <a:spLocks noChangeAspect="1" noChangeArrowheads="1"/>
        </xdr:cNvSpPr>
      </xdr:nvSpPr>
      <xdr:spPr>
        <a:xfrm>
          <a:off x="1371600" y="86683850"/>
          <a:ext cx="1533525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434</xdr:row>
      <xdr:rowOff>161925</xdr:rowOff>
    </xdr:from>
    <xdr:to>
      <xdr:col>4</xdr:col>
      <xdr:colOff>0</xdr:colOff>
      <xdr:row>446</xdr:row>
      <xdr:rowOff>28575</xdr:rowOff>
    </xdr:to>
    <xdr:sp>
      <xdr:nvSpPr>
        <xdr:cNvPr id="1417" name="矩形 3627" hidden="1"/>
        <xdr:cNvSpPr>
          <a:spLocks noChangeAspect="1" noChangeArrowheads="1"/>
        </xdr:cNvSpPr>
      </xdr:nvSpPr>
      <xdr:spPr>
        <a:xfrm>
          <a:off x="1371600" y="86683850"/>
          <a:ext cx="1533525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443</xdr:row>
      <xdr:rowOff>76200</xdr:rowOff>
    </xdr:from>
    <xdr:to>
      <xdr:col>4</xdr:col>
      <xdr:colOff>0</xdr:colOff>
      <xdr:row>449</xdr:row>
      <xdr:rowOff>0</xdr:rowOff>
    </xdr:to>
    <xdr:sp>
      <xdr:nvSpPr>
        <xdr:cNvPr id="1416" name="矩形 3626" hidden="1"/>
        <xdr:cNvSpPr>
          <a:spLocks noChangeAspect="1" noChangeArrowheads="1"/>
        </xdr:cNvSpPr>
      </xdr:nvSpPr>
      <xdr:spPr>
        <a:xfrm>
          <a:off x="1371600" y="8831262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443</xdr:row>
      <xdr:rowOff>76200</xdr:rowOff>
    </xdr:from>
    <xdr:to>
      <xdr:col>4</xdr:col>
      <xdr:colOff>0</xdr:colOff>
      <xdr:row>449</xdr:row>
      <xdr:rowOff>0</xdr:rowOff>
    </xdr:to>
    <xdr:sp>
      <xdr:nvSpPr>
        <xdr:cNvPr id="1415" name="矩形 3625" hidden="1"/>
        <xdr:cNvSpPr>
          <a:spLocks noChangeAspect="1" noChangeArrowheads="1"/>
        </xdr:cNvSpPr>
      </xdr:nvSpPr>
      <xdr:spPr>
        <a:xfrm>
          <a:off x="1371600" y="8831262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443</xdr:row>
      <xdr:rowOff>76200</xdr:rowOff>
    </xdr:from>
    <xdr:to>
      <xdr:col>4</xdr:col>
      <xdr:colOff>0</xdr:colOff>
      <xdr:row>449</xdr:row>
      <xdr:rowOff>0</xdr:rowOff>
    </xdr:to>
    <xdr:sp>
      <xdr:nvSpPr>
        <xdr:cNvPr id="1414" name="矩形 3624" hidden="1"/>
        <xdr:cNvSpPr>
          <a:spLocks noChangeAspect="1" noChangeArrowheads="1"/>
        </xdr:cNvSpPr>
      </xdr:nvSpPr>
      <xdr:spPr>
        <a:xfrm>
          <a:off x="1371600" y="8831262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443</xdr:row>
      <xdr:rowOff>76200</xdr:rowOff>
    </xdr:from>
    <xdr:to>
      <xdr:col>4</xdr:col>
      <xdr:colOff>0</xdr:colOff>
      <xdr:row>449</xdr:row>
      <xdr:rowOff>0</xdr:rowOff>
    </xdr:to>
    <xdr:sp>
      <xdr:nvSpPr>
        <xdr:cNvPr id="1413" name="矩形 3623" hidden="1"/>
        <xdr:cNvSpPr>
          <a:spLocks noChangeAspect="1" noChangeArrowheads="1"/>
        </xdr:cNvSpPr>
      </xdr:nvSpPr>
      <xdr:spPr>
        <a:xfrm>
          <a:off x="1371600" y="8831262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443</xdr:row>
      <xdr:rowOff>76200</xdr:rowOff>
    </xdr:from>
    <xdr:to>
      <xdr:col>4</xdr:col>
      <xdr:colOff>0</xdr:colOff>
      <xdr:row>449</xdr:row>
      <xdr:rowOff>0</xdr:rowOff>
    </xdr:to>
    <xdr:sp>
      <xdr:nvSpPr>
        <xdr:cNvPr id="1412" name="矩形 3622" hidden="1"/>
        <xdr:cNvSpPr>
          <a:spLocks noChangeAspect="1" noChangeArrowheads="1"/>
        </xdr:cNvSpPr>
      </xdr:nvSpPr>
      <xdr:spPr>
        <a:xfrm>
          <a:off x="1371600" y="8831262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443</xdr:row>
      <xdr:rowOff>76200</xdr:rowOff>
    </xdr:from>
    <xdr:to>
      <xdr:col>4</xdr:col>
      <xdr:colOff>0</xdr:colOff>
      <xdr:row>449</xdr:row>
      <xdr:rowOff>0</xdr:rowOff>
    </xdr:to>
    <xdr:sp>
      <xdr:nvSpPr>
        <xdr:cNvPr id="1411" name="矩形 3621" hidden="1"/>
        <xdr:cNvSpPr>
          <a:spLocks noChangeAspect="1" noChangeArrowheads="1"/>
        </xdr:cNvSpPr>
      </xdr:nvSpPr>
      <xdr:spPr>
        <a:xfrm>
          <a:off x="1371600" y="8831262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443</xdr:row>
      <xdr:rowOff>76200</xdr:rowOff>
    </xdr:from>
    <xdr:to>
      <xdr:col>4</xdr:col>
      <xdr:colOff>0</xdr:colOff>
      <xdr:row>449</xdr:row>
      <xdr:rowOff>0</xdr:rowOff>
    </xdr:to>
    <xdr:sp>
      <xdr:nvSpPr>
        <xdr:cNvPr id="1410" name="矩形 3620" hidden="1"/>
        <xdr:cNvSpPr>
          <a:spLocks noChangeAspect="1" noChangeArrowheads="1"/>
        </xdr:cNvSpPr>
      </xdr:nvSpPr>
      <xdr:spPr>
        <a:xfrm>
          <a:off x="1371600" y="8831262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443</xdr:row>
      <xdr:rowOff>76200</xdr:rowOff>
    </xdr:from>
    <xdr:to>
      <xdr:col>4</xdr:col>
      <xdr:colOff>0</xdr:colOff>
      <xdr:row>449</xdr:row>
      <xdr:rowOff>0</xdr:rowOff>
    </xdr:to>
    <xdr:sp>
      <xdr:nvSpPr>
        <xdr:cNvPr id="1409" name="矩形 3619" hidden="1"/>
        <xdr:cNvSpPr>
          <a:spLocks noChangeAspect="1" noChangeArrowheads="1"/>
        </xdr:cNvSpPr>
      </xdr:nvSpPr>
      <xdr:spPr>
        <a:xfrm>
          <a:off x="1371600" y="8831262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443</xdr:row>
      <xdr:rowOff>76200</xdr:rowOff>
    </xdr:from>
    <xdr:to>
      <xdr:col>4</xdr:col>
      <xdr:colOff>0</xdr:colOff>
      <xdr:row>449</xdr:row>
      <xdr:rowOff>0</xdr:rowOff>
    </xdr:to>
    <xdr:sp>
      <xdr:nvSpPr>
        <xdr:cNvPr id="1408" name="矩形 3618" hidden="1"/>
        <xdr:cNvSpPr>
          <a:spLocks noChangeAspect="1" noChangeArrowheads="1"/>
        </xdr:cNvSpPr>
      </xdr:nvSpPr>
      <xdr:spPr>
        <a:xfrm>
          <a:off x="1371600" y="8831262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443</xdr:row>
      <xdr:rowOff>76200</xdr:rowOff>
    </xdr:from>
    <xdr:to>
      <xdr:col>4</xdr:col>
      <xdr:colOff>0</xdr:colOff>
      <xdr:row>449</xdr:row>
      <xdr:rowOff>0</xdr:rowOff>
    </xdr:to>
    <xdr:sp>
      <xdr:nvSpPr>
        <xdr:cNvPr id="1407" name="矩形 3617" hidden="1"/>
        <xdr:cNvSpPr>
          <a:spLocks noChangeAspect="1" noChangeArrowheads="1"/>
        </xdr:cNvSpPr>
      </xdr:nvSpPr>
      <xdr:spPr>
        <a:xfrm>
          <a:off x="1371600" y="8831262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443</xdr:row>
      <xdr:rowOff>76200</xdr:rowOff>
    </xdr:from>
    <xdr:to>
      <xdr:col>4</xdr:col>
      <xdr:colOff>0</xdr:colOff>
      <xdr:row>449</xdr:row>
      <xdr:rowOff>0</xdr:rowOff>
    </xdr:to>
    <xdr:sp>
      <xdr:nvSpPr>
        <xdr:cNvPr id="1406" name="矩形 3616" hidden="1"/>
        <xdr:cNvSpPr>
          <a:spLocks noChangeAspect="1" noChangeArrowheads="1"/>
        </xdr:cNvSpPr>
      </xdr:nvSpPr>
      <xdr:spPr>
        <a:xfrm>
          <a:off x="1371600" y="8831262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443</xdr:row>
      <xdr:rowOff>76200</xdr:rowOff>
    </xdr:from>
    <xdr:to>
      <xdr:col>4</xdr:col>
      <xdr:colOff>0</xdr:colOff>
      <xdr:row>449</xdr:row>
      <xdr:rowOff>0</xdr:rowOff>
    </xdr:to>
    <xdr:sp>
      <xdr:nvSpPr>
        <xdr:cNvPr id="1405" name="矩形 3615" hidden="1"/>
        <xdr:cNvSpPr>
          <a:spLocks noChangeAspect="1" noChangeArrowheads="1"/>
        </xdr:cNvSpPr>
      </xdr:nvSpPr>
      <xdr:spPr>
        <a:xfrm>
          <a:off x="1371600" y="8831262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443</xdr:row>
      <xdr:rowOff>76200</xdr:rowOff>
    </xdr:from>
    <xdr:to>
      <xdr:col>4</xdr:col>
      <xdr:colOff>0</xdr:colOff>
      <xdr:row>449</xdr:row>
      <xdr:rowOff>0</xdr:rowOff>
    </xdr:to>
    <xdr:sp>
      <xdr:nvSpPr>
        <xdr:cNvPr id="1404" name="矩形 3614" hidden="1"/>
        <xdr:cNvSpPr>
          <a:spLocks noChangeAspect="1" noChangeArrowheads="1"/>
        </xdr:cNvSpPr>
      </xdr:nvSpPr>
      <xdr:spPr>
        <a:xfrm>
          <a:off x="1371600" y="8831262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443</xdr:row>
      <xdr:rowOff>76200</xdr:rowOff>
    </xdr:from>
    <xdr:to>
      <xdr:col>4</xdr:col>
      <xdr:colOff>0</xdr:colOff>
      <xdr:row>449</xdr:row>
      <xdr:rowOff>0</xdr:rowOff>
    </xdr:to>
    <xdr:sp>
      <xdr:nvSpPr>
        <xdr:cNvPr id="1403" name="矩形 3613" hidden="1"/>
        <xdr:cNvSpPr>
          <a:spLocks noChangeAspect="1" noChangeArrowheads="1"/>
        </xdr:cNvSpPr>
      </xdr:nvSpPr>
      <xdr:spPr>
        <a:xfrm>
          <a:off x="1371600" y="8831262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445</xdr:row>
      <xdr:rowOff>171450</xdr:rowOff>
    </xdr:from>
    <xdr:to>
      <xdr:col>4</xdr:col>
      <xdr:colOff>0</xdr:colOff>
      <xdr:row>451</xdr:row>
      <xdr:rowOff>152400</xdr:rowOff>
    </xdr:to>
    <xdr:sp>
      <xdr:nvSpPr>
        <xdr:cNvPr id="1402" name="矩形 3612" hidden="1"/>
        <xdr:cNvSpPr>
          <a:spLocks noChangeAspect="1" noChangeArrowheads="1"/>
        </xdr:cNvSpPr>
      </xdr:nvSpPr>
      <xdr:spPr>
        <a:xfrm>
          <a:off x="1371600" y="88788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445</xdr:row>
      <xdr:rowOff>171450</xdr:rowOff>
    </xdr:from>
    <xdr:to>
      <xdr:col>4</xdr:col>
      <xdr:colOff>0</xdr:colOff>
      <xdr:row>451</xdr:row>
      <xdr:rowOff>152400</xdr:rowOff>
    </xdr:to>
    <xdr:sp>
      <xdr:nvSpPr>
        <xdr:cNvPr id="1401" name="矩形 3611" hidden="1"/>
        <xdr:cNvSpPr>
          <a:spLocks noChangeAspect="1" noChangeArrowheads="1"/>
        </xdr:cNvSpPr>
      </xdr:nvSpPr>
      <xdr:spPr>
        <a:xfrm>
          <a:off x="1371600" y="88788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445</xdr:row>
      <xdr:rowOff>171450</xdr:rowOff>
    </xdr:from>
    <xdr:to>
      <xdr:col>4</xdr:col>
      <xdr:colOff>0</xdr:colOff>
      <xdr:row>451</xdr:row>
      <xdr:rowOff>152400</xdr:rowOff>
    </xdr:to>
    <xdr:sp>
      <xdr:nvSpPr>
        <xdr:cNvPr id="1400" name="矩形 3610" hidden="1"/>
        <xdr:cNvSpPr>
          <a:spLocks noChangeAspect="1" noChangeArrowheads="1"/>
        </xdr:cNvSpPr>
      </xdr:nvSpPr>
      <xdr:spPr>
        <a:xfrm>
          <a:off x="1371600" y="88788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445</xdr:row>
      <xdr:rowOff>171450</xdr:rowOff>
    </xdr:from>
    <xdr:to>
      <xdr:col>4</xdr:col>
      <xdr:colOff>0</xdr:colOff>
      <xdr:row>451</xdr:row>
      <xdr:rowOff>152400</xdr:rowOff>
    </xdr:to>
    <xdr:sp>
      <xdr:nvSpPr>
        <xdr:cNvPr id="1399" name="矩形 3609" hidden="1"/>
        <xdr:cNvSpPr>
          <a:spLocks noChangeAspect="1" noChangeArrowheads="1"/>
        </xdr:cNvSpPr>
      </xdr:nvSpPr>
      <xdr:spPr>
        <a:xfrm>
          <a:off x="1371600" y="88788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445</xdr:row>
      <xdr:rowOff>171450</xdr:rowOff>
    </xdr:from>
    <xdr:to>
      <xdr:col>4</xdr:col>
      <xdr:colOff>0</xdr:colOff>
      <xdr:row>451</xdr:row>
      <xdr:rowOff>152400</xdr:rowOff>
    </xdr:to>
    <xdr:sp>
      <xdr:nvSpPr>
        <xdr:cNvPr id="1398" name="矩形 3608" hidden="1"/>
        <xdr:cNvSpPr>
          <a:spLocks noChangeAspect="1" noChangeArrowheads="1"/>
        </xdr:cNvSpPr>
      </xdr:nvSpPr>
      <xdr:spPr>
        <a:xfrm>
          <a:off x="1371600" y="88788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445</xdr:row>
      <xdr:rowOff>171450</xdr:rowOff>
    </xdr:from>
    <xdr:to>
      <xdr:col>4</xdr:col>
      <xdr:colOff>0</xdr:colOff>
      <xdr:row>451</xdr:row>
      <xdr:rowOff>152400</xdr:rowOff>
    </xdr:to>
    <xdr:sp>
      <xdr:nvSpPr>
        <xdr:cNvPr id="1397" name="矩形 3607" hidden="1"/>
        <xdr:cNvSpPr>
          <a:spLocks noChangeAspect="1" noChangeArrowheads="1"/>
        </xdr:cNvSpPr>
      </xdr:nvSpPr>
      <xdr:spPr>
        <a:xfrm>
          <a:off x="1371600" y="88788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445</xdr:row>
      <xdr:rowOff>171450</xdr:rowOff>
    </xdr:from>
    <xdr:to>
      <xdr:col>4</xdr:col>
      <xdr:colOff>0</xdr:colOff>
      <xdr:row>451</xdr:row>
      <xdr:rowOff>152400</xdr:rowOff>
    </xdr:to>
    <xdr:sp>
      <xdr:nvSpPr>
        <xdr:cNvPr id="1396" name="矩形 3606" hidden="1"/>
        <xdr:cNvSpPr>
          <a:spLocks noChangeAspect="1" noChangeArrowheads="1"/>
        </xdr:cNvSpPr>
      </xdr:nvSpPr>
      <xdr:spPr>
        <a:xfrm>
          <a:off x="1371600" y="88788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445</xdr:row>
      <xdr:rowOff>171450</xdr:rowOff>
    </xdr:from>
    <xdr:to>
      <xdr:col>4</xdr:col>
      <xdr:colOff>0</xdr:colOff>
      <xdr:row>451</xdr:row>
      <xdr:rowOff>152400</xdr:rowOff>
    </xdr:to>
    <xdr:sp>
      <xdr:nvSpPr>
        <xdr:cNvPr id="1395" name="矩形 3605" hidden="1"/>
        <xdr:cNvSpPr>
          <a:spLocks noChangeAspect="1" noChangeArrowheads="1"/>
        </xdr:cNvSpPr>
      </xdr:nvSpPr>
      <xdr:spPr>
        <a:xfrm>
          <a:off x="1371600" y="88788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445</xdr:row>
      <xdr:rowOff>171450</xdr:rowOff>
    </xdr:from>
    <xdr:to>
      <xdr:col>4</xdr:col>
      <xdr:colOff>0</xdr:colOff>
      <xdr:row>451</xdr:row>
      <xdr:rowOff>152400</xdr:rowOff>
    </xdr:to>
    <xdr:sp>
      <xdr:nvSpPr>
        <xdr:cNvPr id="1394" name="矩形 3604" hidden="1"/>
        <xdr:cNvSpPr>
          <a:spLocks noChangeAspect="1" noChangeArrowheads="1"/>
        </xdr:cNvSpPr>
      </xdr:nvSpPr>
      <xdr:spPr>
        <a:xfrm>
          <a:off x="1371600" y="88788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445</xdr:row>
      <xdr:rowOff>171450</xdr:rowOff>
    </xdr:from>
    <xdr:to>
      <xdr:col>4</xdr:col>
      <xdr:colOff>0</xdr:colOff>
      <xdr:row>451</xdr:row>
      <xdr:rowOff>152400</xdr:rowOff>
    </xdr:to>
    <xdr:sp>
      <xdr:nvSpPr>
        <xdr:cNvPr id="1393" name="矩形 3603" hidden="1"/>
        <xdr:cNvSpPr>
          <a:spLocks noChangeAspect="1" noChangeArrowheads="1"/>
        </xdr:cNvSpPr>
      </xdr:nvSpPr>
      <xdr:spPr>
        <a:xfrm>
          <a:off x="1371600" y="88788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445</xdr:row>
      <xdr:rowOff>171450</xdr:rowOff>
    </xdr:from>
    <xdr:to>
      <xdr:col>4</xdr:col>
      <xdr:colOff>0</xdr:colOff>
      <xdr:row>451</xdr:row>
      <xdr:rowOff>152400</xdr:rowOff>
    </xdr:to>
    <xdr:sp>
      <xdr:nvSpPr>
        <xdr:cNvPr id="1392" name="矩形 3602" hidden="1"/>
        <xdr:cNvSpPr>
          <a:spLocks noChangeAspect="1" noChangeArrowheads="1"/>
        </xdr:cNvSpPr>
      </xdr:nvSpPr>
      <xdr:spPr>
        <a:xfrm>
          <a:off x="1371600" y="88788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445</xdr:row>
      <xdr:rowOff>171450</xdr:rowOff>
    </xdr:from>
    <xdr:to>
      <xdr:col>4</xdr:col>
      <xdr:colOff>0</xdr:colOff>
      <xdr:row>451</xdr:row>
      <xdr:rowOff>152400</xdr:rowOff>
    </xdr:to>
    <xdr:sp>
      <xdr:nvSpPr>
        <xdr:cNvPr id="1391" name="矩形 3601" hidden="1"/>
        <xdr:cNvSpPr>
          <a:spLocks noChangeAspect="1" noChangeArrowheads="1"/>
        </xdr:cNvSpPr>
      </xdr:nvSpPr>
      <xdr:spPr>
        <a:xfrm>
          <a:off x="1371600" y="88788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445</xdr:row>
      <xdr:rowOff>171450</xdr:rowOff>
    </xdr:from>
    <xdr:to>
      <xdr:col>4</xdr:col>
      <xdr:colOff>0</xdr:colOff>
      <xdr:row>451</xdr:row>
      <xdr:rowOff>152400</xdr:rowOff>
    </xdr:to>
    <xdr:sp>
      <xdr:nvSpPr>
        <xdr:cNvPr id="1390" name="矩形 3600" hidden="1"/>
        <xdr:cNvSpPr>
          <a:spLocks noChangeAspect="1" noChangeArrowheads="1"/>
        </xdr:cNvSpPr>
      </xdr:nvSpPr>
      <xdr:spPr>
        <a:xfrm>
          <a:off x="1371600" y="88788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445</xdr:row>
      <xdr:rowOff>171450</xdr:rowOff>
    </xdr:from>
    <xdr:to>
      <xdr:col>4</xdr:col>
      <xdr:colOff>0</xdr:colOff>
      <xdr:row>451</xdr:row>
      <xdr:rowOff>152400</xdr:rowOff>
    </xdr:to>
    <xdr:sp>
      <xdr:nvSpPr>
        <xdr:cNvPr id="1389" name="矩形 3599" hidden="1"/>
        <xdr:cNvSpPr>
          <a:spLocks noChangeAspect="1" noChangeArrowheads="1"/>
        </xdr:cNvSpPr>
      </xdr:nvSpPr>
      <xdr:spPr>
        <a:xfrm>
          <a:off x="1371600" y="88788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448</xdr:row>
      <xdr:rowOff>142875</xdr:rowOff>
    </xdr:from>
    <xdr:to>
      <xdr:col>4</xdr:col>
      <xdr:colOff>0</xdr:colOff>
      <xdr:row>454</xdr:row>
      <xdr:rowOff>123825</xdr:rowOff>
    </xdr:to>
    <xdr:sp>
      <xdr:nvSpPr>
        <xdr:cNvPr id="1388" name="矩形 3598" hidden="1"/>
        <xdr:cNvSpPr>
          <a:spLocks noChangeAspect="1" noChangeArrowheads="1"/>
        </xdr:cNvSpPr>
      </xdr:nvSpPr>
      <xdr:spPr>
        <a:xfrm>
          <a:off x="1371600" y="893318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448</xdr:row>
      <xdr:rowOff>142875</xdr:rowOff>
    </xdr:from>
    <xdr:to>
      <xdr:col>4</xdr:col>
      <xdr:colOff>0</xdr:colOff>
      <xdr:row>454</xdr:row>
      <xdr:rowOff>123825</xdr:rowOff>
    </xdr:to>
    <xdr:sp>
      <xdr:nvSpPr>
        <xdr:cNvPr id="1387" name="矩形 3597" hidden="1"/>
        <xdr:cNvSpPr>
          <a:spLocks noChangeAspect="1" noChangeArrowheads="1"/>
        </xdr:cNvSpPr>
      </xdr:nvSpPr>
      <xdr:spPr>
        <a:xfrm>
          <a:off x="1371600" y="893318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448</xdr:row>
      <xdr:rowOff>142875</xdr:rowOff>
    </xdr:from>
    <xdr:to>
      <xdr:col>4</xdr:col>
      <xdr:colOff>0</xdr:colOff>
      <xdr:row>454</xdr:row>
      <xdr:rowOff>123825</xdr:rowOff>
    </xdr:to>
    <xdr:sp>
      <xdr:nvSpPr>
        <xdr:cNvPr id="1386" name="矩形 3596" hidden="1"/>
        <xdr:cNvSpPr>
          <a:spLocks noChangeAspect="1" noChangeArrowheads="1"/>
        </xdr:cNvSpPr>
      </xdr:nvSpPr>
      <xdr:spPr>
        <a:xfrm>
          <a:off x="1371600" y="893318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448</xdr:row>
      <xdr:rowOff>142875</xdr:rowOff>
    </xdr:from>
    <xdr:to>
      <xdr:col>4</xdr:col>
      <xdr:colOff>0</xdr:colOff>
      <xdr:row>454</xdr:row>
      <xdr:rowOff>123825</xdr:rowOff>
    </xdr:to>
    <xdr:sp>
      <xdr:nvSpPr>
        <xdr:cNvPr id="1385" name="矩形 3595" hidden="1"/>
        <xdr:cNvSpPr>
          <a:spLocks noChangeAspect="1" noChangeArrowheads="1"/>
        </xdr:cNvSpPr>
      </xdr:nvSpPr>
      <xdr:spPr>
        <a:xfrm>
          <a:off x="1371600" y="893318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448</xdr:row>
      <xdr:rowOff>142875</xdr:rowOff>
    </xdr:from>
    <xdr:to>
      <xdr:col>4</xdr:col>
      <xdr:colOff>0</xdr:colOff>
      <xdr:row>454</xdr:row>
      <xdr:rowOff>123825</xdr:rowOff>
    </xdr:to>
    <xdr:sp>
      <xdr:nvSpPr>
        <xdr:cNvPr id="1384" name="矩形 3594" hidden="1"/>
        <xdr:cNvSpPr>
          <a:spLocks noChangeAspect="1" noChangeArrowheads="1"/>
        </xdr:cNvSpPr>
      </xdr:nvSpPr>
      <xdr:spPr>
        <a:xfrm>
          <a:off x="1371600" y="893318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448</xdr:row>
      <xdr:rowOff>142875</xdr:rowOff>
    </xdr:from>
    <xdr:to>
      <xdr:col>4</xdr:col>
      <xdr:colOff>0</xdr:colOff>
      <xdr:row>454</xdr:row>
      <xdr:rowOff>123825</xdr:rowOff>
    </xdr:to>
    <xdr:sp>
      <xdr:nvSpPr>
        <xdr:cNvPr id="1383" name="矩形 3593" hidden="1"/>
        <xdr:cNvSpPr>
          <a:spLocks noChangeAspect="1" noChangeArrowheads="1"/>
        </xdr:cNvSpPr>
      </xdr:nvSpPr>
      <xdr:spPr>
        <a:xfrm>
          <a:off x="1371600" y="893318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448</xdr:row>
      <xdr:rowOff>142875</xdr:rowOff>
    </xdr:from>
    <xdr:to>
      <xdr:col>4</xdr:col>
      <xdr:colOff>0</xdr:colOff>
      <xdr:row>454</xdr:row>
      <xdr:rowOff>123825</xdr:rowOff>
    </xdr:to>
    <xdr:sp>
      <xdr:nvSpPr>
        <xdr:cNvPr id="1382" name="矩形 3592" hidden="1"/>
        <xdr:cNvSpPr>
          <a:spLocks noChangeAspect="1" noChangeArrowheads="1"/>
        </xdr:cNvSpPr>
      </xdr:nvSpPr>
      <xdr:spPr>
        <a:xfrm>
          <a:off x="1371600" y="893318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448</xdr:row>
      <xdr:rowOff>142875</xdr:rowOff>
    </xdr:from>
    <xdr:to>
      <xdr:col>4</xdr:col>
      <xdr:colOff>0</xdr:colOff>
      <xdr:row>454</xdr:row>
      <xdr:rowOff>123825</xdr:rowOff>
    </xdr:to>
    <xdr:sp>
      <xdr:nvSpPr>
        <xdr:cNvPr id="1381" name="矩形 3591" hidden="1"/>
        <xdr:cNvSpPr>
          <a:spLocks noChangeAspect="1" noChangeArrowheads="1"/>
        </xdr:cNvSpPr>
      </xdr:nvSpPr>
      <xdr:spPr>
        <a:xfrm>
          <a:off x="1371600" y="893318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448</xdr:row>
      <xdr:rowOff>142875</xdr:rowOff>
    </xdr:from>
    <xdr:to>
      <xdr:col>4</xdr:col>
      <xdr:colOff>0</xdr:colOff>
      <xdr:row>454</xdr:row>
      <xdr:rowOff>123825</xdr:rowOff>
    </xdr:to>
    <xdr:sp>
      <xdr:nvSpPr>
        <xdr:cNvPr id="1380" name="矩形 3590" hidden="1"/>
        <xdr:cNvSpPr>
          <a:spLocks noChangeAspect="1" noChangeArrowheads="1"/>
        </xdr:cNvSpPr>
      </xdr:nvSpPr>
      <xdr:spPr>
        <a:xfrm>
          <a:off x="1371600" y="893318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448</xdr:row>
      <xdr:rowOff>142875</xdr:rowOff>
    </xdr:from>
    <xdr:to>
      <xdr:col>4</xdr:col>
      <xdr:colOff>0</xdr:colOff>
      <xdr:row>454</xdr:row>
      <xdr:rowOff>123825</xdr:rowOff>
    </xdr:to>
    <xdr:sp>
      <xdr:nvSpPr>
        <xdr:cNvPr id="1379" name="矩形 3589" hidden="1"/>
        <xdr:cNvSpPr>
          <a:spLocks noChangeAspect="1" noChangeArrowheads="1"/>
        </xdr:cNvSpPr>
      </xdr:nvSpPr>
      <xdr:spPr>
        <a:xfrm>
          <a:off x="1371600" y="893318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448</xdr:row>
      <xdr:rowOff>142875</xdr:rowOff>
    </xdr:from>
    <xdr:to>
      <xdr:col>4</xdr:col>
      <xdr:colOff>0</xdr:colOff>
      <xdr:row>454</xdr:row>
      <xdr:rowOff>123825</xdr:rowOff>
    </xdr:to>
    <xdr:sp>
      <xdr:nvSpPr>
        <xdr:cNvPr id="1378" name="矩形 3588" hidden="1"/>
        <xdr:cNvSpPr>
          <a:spLocks noChangeAspect="1" noChangeArrowheads="1"/>
        </xdr:cNvSpPr>
      </xdr:nvSpPr>
      <xdr:spPr>
        <a:xfrm>
          <a:off x="1371600" y="893318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448</xdr:row>
      <xdr:rowOff>142875</xdr:rowOff>
    </xdr:from>
    <xdr:to>
      <xdr:col>4</xdr:col>
      <xdr:colOff>0</xdr:colOff>
      <xdr:row>454</xdr:row>
      <xdr:rowOff>123825</xdr:rowOff>
    </xdr:to>
    <xdr:sp>
      <xdr:nvSpPr>
        <xdr:cNvPr id="1377" name="矩形 3587" hidden="1"/>
        <xdr:cNvSpPr>
          <a:spLocks noChangeAspect="1" noChangeArrowheads="1"/>
        </xdr:cNvSpPr>
      </xdr:nvSpPr>
      <xdr:spPr>
        <a:xfrm>
          <a:off x="1371600" y="893318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448</xdr:row>
      <xdr:rowOff>142875</xdr:rowOff>
    </xdr:from>
    <xdr:to>
      <xdr:col>4</xdr:col>
      <xdr:colOff>0</xdr:colOff>
      <xdr:row>454</xdr:row>
      <xdr:rowOff>123825</xdr:rowOff>
    </xdr:to>
    <xdr:sp>
      <xdr:nvSpPr>
        <xdr:cNvPr id="1376" name="矩形 3586" hidden="1"/>
        <xdr:cNvSpPr>
          <a:spLocks noChangeAspect="1" noChangeArrowheads="1"/>
        </xdr:cNvSpPr>
      </xdr:nvSpPr>
      <xdr:spPr>
        <a:xfrm>
          <a:off x="1371600" y="893318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448</xdr:row>
      <xdr:rowOff>142875</xdr:rowOff>
    </xdr:from>
    <xdr:to>
      <xdr:col>4</xdr:col>
      <xdr:colOff>0</xdr:colOff>
      <xdr:row>454</xdr:row>
      <xdr:rowOff>123825</xdr:rowOff>
    </xdr:to>
    <xdr:sp>
      <xdr:nvSpPr>
        <xdr:cNvPr id="1375" name="矩形 3585" hidden="1"/>
        <xdr:cNvSpPr>
          <a:spLocks noChangeAspect="1" noChangeArrowheads="1"/>
        </xdr:cNvSpPr>
      </xdr:nvSpPr>
      <xdr:spPr>
        <a:xfrm>
          <a:off x="1371600" y="893318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451</xdr:row>
      <xdr:rowOff>114300</xdr:rowOff>
    </xdr:from>
    <xdr:to>
      <xdr:col>4</xdr:col>
      <xdr:colOff>0</xdr:colOff>
      <xdr:row>457</xdr:row>
      <xdr:rowOff>95250</xdr:rowOff>
    </xdr:to>
    <xdr:sp>
      <xdr:nvSpPr>
        <xdr:cNvPr id="1374" name="矩形 3584" hidden="1"/>
        <xdr:cNvSpPr>
          <a:spLocks noChangeAspect="1" noChangeArrowheads="1"/>
        </xdr:cNvSpPr>
      </xdr:nvSpPr>
      <xdr:spPr>
        <a:xfrm>
          <a:off x="1371600" y="898747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451</xdr:row>
      <xdr:rowOff>114300</xdr:rowOff>
    </xdr:from>
    <xdr:to>
      <xdr:col>4</xdr:col>
      <xdr:colOff>0</xdr:colOff>
      <xdr:row>457</xdr:row>
      <xdr:rowOff>95250</xdr:rowOff>
    </xdr:to>
    <xdr:sp>
      <xdr:nvSpPr>
        <xdr:cNvPr id="1373" name="矩形 3583" hidden="1"/>
        <xdr:cNvSpPr>
          <a:spLocks noChangeAspect="1" noChangeArrowheads="1"/>
        </xdr:cNvSpPr>
      </xdr:nvSpPr>
      <xdr:spPr>
        <a:xfrm>
          <a:off x="1371600" y="898747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451</xdr:row>
      <xdr:rowOff>114300</xdr:rowOff>
    </xdr:from>
    <xdr:to>
      <xdr:col>4</xdr:col>
      <xdr:colOff>0</xdr:colOff>
      <xdr:row>457</xdr:row>
      <xdr:rowOff>95250</xdr:rowOff>
    </xdr:to>
    <xdr:sp>
      <xdr:nvSpPr>
        <xdr:cNvPr id="1372" name="矩形 3582" hidden="1"/>
        <xdr:cNvSpPr>
          <a:spLocks noChangeAspect="1" noChangeArrowheads="1"/>
        </xdr:cNvSpPr>
      </xdr:nvSpPr>
      <xdr:spPr>
        <a:xfrm>
          <a:off x="1371600" y="898747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451</xdr:row>
      <xdr:rowOff>114300</xdr:rowOff>
    </xdr:from>
    <xdr:to>
      <xdr:col>4</xdr:col>
      <xdr:colOff>0</xdr:colOff>
      <xdr:row>457</xdr:row>
      <xdr:rowOff>95250</xdr:rowOff>
    </xdr:to>
    <xdr:sp>
      <xdr:nvSpPr>
        <xdr:cNvPr id="1371" name="矩形 3581" hidden="1"/>
        <xdr:cNvSpPr>
          <a:spLocks noChangeAspect="1" noChangeArrowheads="1"/>
        </xdr:cNvSpPr>
      </xdr:nvSpPr>
      <xdr:spPr>
        <a:xfrm>
          <a:off x="1371600" y="898747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451</xdr:row>
      <xdr:rowOff>114300</xdr:rowOff>
    </xdr:from>
    <xdr:to>
      <xdr:col>4</xdr:col>
      <xdr:colOff>0</xdr:colOff>
      <xdr:row>457</xdr:row>
      <xdr:rowOff>95250</xdr:rowOff>
    </xdr:to>
    <xdr:sp>
      <xdr:nvSpPr>
        <xdr:cNvPr id="1370" name="矩形 3580" hidden="1"/>
        <xdr:cNvSpPr>
          <a:spLocks noChangeAspect="1" noChangeArrowheads="1"/>
        </xdr:cNvSpPr>
      </xdr:nvSpPr>
      <xdr:spPr>
        <a:xfrm>
          <a:off x="1371600" y="898747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451</xdr:row>
      <xdr:rowOff>114300</xdr:rowOff>
    </xdr:from>
    <xdr:to>
      <xdr:col>4</xdr:col>
      <xdr:colOff>0</xdr:colOff>
      <xdr:row>457</xdr:row>
      <xdr:rowOff>95250</xdr:rowOff>
    </xdr:to>
    <xdr:sp>
      <xdr:nvSpPr>
        <xdr:cNvPr id="1369" name="矩形 3579" hidden="1"/>
        <xdr:cNvSpPr>
          <a:spLocks noChangeAspect="1" noChangeArrowheads="1"/>
        </xdr:cNvSpPr>
      </xdr:nvSpPr>
      <xdr:spPr>
        <a:xfrm>
          <a:off x="1371600" y="898747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451</xdr:row>
      <xdr:rowOff>114300</xdr:rowOff>
    </xdr:from>
    <xdr:to>
      <xdr:col>4</xdr:col>
      <xdr:colOff>0</xdr:colOff>
      <xdr:row>457</xdr:row>
      <xdr:rowOff>95250</xdr:rowOff>
    </xdr:to>
    <xdr:sp>
      <xdr:nvSpPr>
        <xdr:cNvPr id="1368" name="矩形 3578" hidden="1"/>
        <xdr:cNvSpPr>
          <a:spLocks noChangeAspect="1" noChangeArrowheads="1"/>
        </xdr:cNvSpPr>
      </xdr:nvSpPr>
      <xdr:spPr>
        <a:xfrm>
          <a:off x="1371600" y="898747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451</xdr:row>
      <xdr:rowOff>114300</xdr:rowOff>
    </xdr:from>
    <xdr:to>
      <xdr:col>4</xdr:col>
      <xdr:colOff>0</xdr:colOff>
      <xdr:row>457</xdr:row>
      <xdr:rowOff>95250</xdr:rowOff>
    </xdr:to>
    <xdr:sp>
      <xdr:nvSpPr>
        <xdr:cNvPr id="1367" name="矩形 3577" hidden="1"/>
        <xdr:cNvSpPr>
          <a:spLocks noChangeAspect="1" noChangeArrowheads="1"/>
        </xdr:cNvSpPr>
      </xdr:nvSpPr>
      <xdr:spPr>
        <a:xfrm>
          <a:off x="1371600" y="898747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451</xdr:row>
      <xdr:rowOff>114300</xdr:rowOff>
    </xdr:from>
    <xdr:to>
      <xdr:col>4</xdr:col>
      <xdr:colOff>0</xdr:colOff>
      <xdr:row>457</xdr:row>
      <xdr:rowOff>95250</xdr:rowOff>
    </xdr:to>
    <xdr:sp>
      <xdr:nvSpPr>
        <xdr:cNvPr id="1366" name="矩形 3576" hidden="1"/>
        <xdr:cNvSpPr>
          <a:spLocks noChangeAspect="1" noChangeArrowheads="1"/>
        </xdr:cNvSpPr>
      </xdr:nvSpPr>
      <xdr:spPr>
        <a:xfrm>
          <a:off x="1371600" y="898747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451</xdr:row>
      <xdr:rowOff>114300</xdr:rowOff>
    </xdr:from>
    <xdr:to>
      <xdr:col>4</xdr:col>
      <xdr:colOff>0</xdr:colOff>
      <xdr:row>457</xdr:row>
      <xdr:rowOff>95250</xdr:rowOff>
    </xdr:to>
    <xdr:sp>
      <xdr:nvSpPr>
        <xdr:cNvPr id="1365" name="矩形 3575" hidden="1"/>
        <xdr:cNvSpPr>
          <a:spLocks noChangeAspect="1" noChangeArrowheads="1"/>
        </xdr:cNvSpPr>
      </xdr:nvSpPr>
      <xdr:spPr>
        <a:xfrm>
          <a:off x="1371600" y="898747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451</xdr:row>
      <xdr:rowOff>114300</xdr:rowOff>
    </xdr:from>
    <xdr:to>
      <xdr:col>4</xdr:col>
      <xdr:colOff>0</xdr:colOff>
      <xdr:row>457</xdr:row>
      <xdr:rowOff>95250</xdr:rowOff>
    </xdr:to>
    <xdr:sp>
      <xdr:nvSpPr>
        <xdr:cNvPr id="1364" name="矩形 3574" hidden="1"/>
        <xdr:cNvSpPr>
          <a:spLocks noChangeAspect="1" noChangeArrowheads="1"/>
        </xdr:cNvSpPr>
      </xdr:nvSpPr>
      <xdr:spPr>
        <a:xfrm>
          <a:off x="1371600" y="898747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451</xdr:row>
      <xdr:rowOff>114300</xdr:rowOff>
    </xdr:from>
    <xdr:to>
      <xdr:col>4</xdr:col>
      <xdr:colOff>0</xdr:colOff>
      <xdr:row>457</xdr:row>
      <xdr:rowOff>95250</xdr:rowOff>
    </xdr:to>
    <xdr:sp>
      <xdr:nvSpPr>
        <xdr:cNvPr id="1363" name="矩形 3573" hidden="1"/>
        <xdr:cNvSpPr>
          <a:spLocks noChangeAspect="1" noChangeArrowheads="1"/>
        </xdr:cNvSpPr>
      </xdr:nvSpPr>
      <xdr:spPr>
        <a:xfrm>
          <a:off x="1371600" y="898747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451</xdr:row>
      <xdr:rowOff>114300</xdr:rowOff>
    </xdr:from>
    <xdr:to>
      <xdr:col>4</xdr:col>
      <xdr:colOff>0</xdr:colOff>
      <xdr:row>457</xdr:row>
      <xdr:rowOff>95250</xdr:rowOff>
    </xdr:to>
    <xdr:sp>
      <xdr:nvSpPr>
        <xdr:cNvPr id="1362" name="矩形 3572" hidden="1"/>
        <xdr:cNvSpPr>
          <a:spLocks noChangeAspect="1" noChangeArrowheads="1"/>
        </xdr:cNvSpPr>
      </xdr:nvSpPr>
      <xdr:spPr>
        <a:xfrm>
          <a:off x="1371600" y="898747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451</xdr:row>
      <xdr:rowOff>114300</xdr:rowOff>
    </xdr:from>
    <xdr:to>
      <xdr:col>4</xdr:col>
      <xdr:colOff>0</xdr:colOff>
      <xdr:row>457</xdr:row>
      <xdr:rowOff>95250</xdr:rowOff>
    </xdr:to>
    <xdr:sp>
      <xdr:nvSpPr>
        <xdr:cNvPr id="1361" name="矩形 3571" hidden="1"/>
        <xdr:cNvSpPr>
          <a:spLocks noChangeAspect="1" noChangeArrowheads="1"/>
        </xdr:cNvSpPr>
      </xdr:nvSpPr>
      <xdr:spPr>
        <a:xfrm>
          <a:off x="1371600" y="898747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454</xdr:row>
      <xdr:rowOff>85725</xdr:rowOff>
    </xdr:from>
    <xdr:to>
      <xdr:col>4</xdr:col>
      <xdr:colOff>0</xdr:colOff>
      <xdr:row>460</xdr:row>
      <xdr:rowOff>66675</xdr:rowOff>
    </xdr:to>
    <xdr:sp>
      <xdr:nvSpPr>
        <xdr:cNvPr id="1360" name="矩形 3570" hidden="1"/>
        <xdr:cNvSpPr>
          <a:spLocks noChangeAspect="1" noChangeArrowheads="1"/>
        </xdr:cNvSpPr>
      </xdr:nvSpPr>
      <xdr:spPr>
        <a:xfrm>
          <a:off x="1371600" y="904176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454</xdr:row>
      <xdr:rowOff>85725</xdr:rowOff>
    </xdr:from>
    <xdr:to>
      <xdr:col>4</xdr:col>
      <xdr:colOff>0</xdr:colOff>
      <xdr:row>460</xdr:row>
      <xdr:rowOff>66675</xdr:rowOff>
    </xdr:to>
    <xdr:sp>
      <xdr:nvSpPr>
        <xdr:cNvPr id="1359" name="矩形 3569" hidden="1"/>
        <xdr:cNvSpPr>
          <a:spLocks noChangeAspect="1" noChangeArrowheads="1"/>
        </xdr:cNvSpPr>
      </xdr:nvSpPr>
      <xdr:spPr>
        <a:xfrm>
          <a:off x="1371600" y="904176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454</xdr:row>
      <xdr:rowOff>85725</xdr:rowOff>
    </xdr:from>
    <xdr:to>
      <xdr:col>4</xdr:col>
      <xdr:colOff>0</xdr:colOff>
      <xdr:row>460</xdr:row>
      <xdr:rowOff>66675</xdr:rowOff>
    </xdr:to>
    <xdr:sp>
      <xdr:nvSpPr>
        <xdr:cNvPr id="1358" name="矩形 3568" hidden="1"/>
        <xdr:cNvSpPr>
          <a:spLocks noChangeAspect="1" noChangeArrowheads="1"/>
        </xdr:cNvSpPr>
      </xdr:nvSpPr>
      <xdr:spPr>
        <a:xfrm>
          <a:off x="1371600" y="904176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454</xdr:row>
      <xdr:rowOff>85725</xdr:rowOff>
    </xdr:from>
    <xdr:to>
      <xdr:col>4</xdr:col>
      <xdr:colOff>0</xdr:colOff>
      <xdr:row>460</xdr:row>
      <xdr:rowOff>66675</xdr:rowOff>
    </xdr:to>
    <xdr:sp>
      <xdr:nvSpPr>
        <xdr:cNvPr id="1357" name="矩形 3567" hidden="1"/>
        <xdr:cNvSpPr>
          <a:spLocks noChangeAspect="1" noChangeArrowheads="1"/>
        </xdr:cNvSpPr>
      </xdr:nvSpPr>
      <xdr:spPr>
        <a:xfrm>
          <a:off x="1371600" y="904176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454</xdr:row>
      <xdr:rowOff>85725</xdr:rowOff>
    </xdr:from>
    <xdr:to>
      <xdr:col>4</xdr:col>
      <xdr:colOff>0</xdr:colOff>
      <xdr:row>460</xdr:row>
      <xdr:rowOff>66675</xdr:rowOff>
    </xdr:to>
    <xdr:sp>
      <xdr:nvSpPr>
        <xdr:cNvPr id="1356" name="矩形 3566" hidden="1"/>
        <xdr:cNvSpPr>
          <a:spLocks noChangeAspect="1" noChangeArrowheads="1"/>
        </xdr:cNvSpPr>
      </xdr:nvSpPr>
      <xdr:spPr>
        <a:xfrm>
          <a:off x="1371600" y="904176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454</xdr:row>
      <xdr:rowOff>85725</xdr:rowOff>
    </xdr:from>
    <xdr:to>
      <xdr:col>4</xdr:col>
      <xdr:colOff>0</xdr:colOff>
      <xdr:row>460</xdr:row>
      <xdr:rowOff>66675</xdr:rowOff>
    </xdr:to>
    <xdr:sp>
      <xdr:nvSpPr>
        <xdr:cNvPr id="1355" name="矩形 3565" hidden="1"/>
        <xdr:cNvSpPr>
          <a:spLocks noChangeAspect="1" noChangeArrowheads="1"/>
        </xdr:cNvSpPr>
      </xdr:nvSpPr>
      <xdr:spPr>
        <a:xfrm>
          <a:off x="1371600" y="904176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454</xdr:row>
      <xdr:rowOff>85725</xdr:rowOff>
    </xdr:from>
    <xdr:to>
      <xdr:col>4</xdr:col>
      <xdr:colOff>0</xdr:colOff>
      <xdr:row>460</xdr:row>
      <xdr:rowOff>66675</xdr:rowOff>
    </xdr:to>
    <xdr:sp>
      <xdr:nvSpPr>
        <xdr:cNvPr id="1354" name="矩形 3564" hidden="1"/>
        <xdr:cNvSpPr>
          <a:spLocks noChangeAspect="1" noChangeArrowheads="1"/>
        </xdr:cNvSpPr>
      </xdr:nvSpPr>
      <xdr:spPr>
        <a:xfrm>
          <a:off x="1371600" y="904176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454</xdr:row>
      <xdr:rowOff>85725</xdr:rowOff>
    </xdr:from>
    <xdr:to>
      <xdr:col>4</xdr:col>
      <xdr:colOff>0</xdr:colOff>
      <xdr:row>460</xdr:row>
      <xdr:rowOff>66675</xdr:rowOff>
    </xdr:to>
    <xdr:sp>
      <xdr:nvSpPr>
        <xdr:cNvPr id="1353" name="矩形 3563" hidden="1"/>
        <xdr:cNvSpPr>
          <a:spLocks noChangeAspect="1" noChangeArrowheads="1"/>
        </xdr:cNvSpPr>
      </xdr:nvSpPr>
      <xdr:spPr>
        <a:xfrm>
          <a:off x="1371600" y="904176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454</xdr:row>
      <xdr:rowOff>85725</xdr:rowOff>
    </xdr:from>
    <xdr:to>
      <xdr:col>4</xdr:col>
      <xdr:colOff>0</xdr:colOff>
      <xdr:row>460</xdr:row>
      <xdr:rowOff>66675</xdr:rowOff>
    </xdr:to>
    <xdr:sp>
      <xdr:nvSpPr>
        <xdr:cNvPr id="1352" name="矩形 3562" hidden="1"/>
        <xdr:cNvSpPr>
          <a:spLocks noChangeAspect="1" noChangeArrowheads="1"/>
        </xdr:cNvSpPr>
      </xdr:nvSpPr>
      <xdr:spPr>
        <a:xfrm>
          <a:off x="1371600" y="904176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454</xdr:row>
      <xdr:rowOff>85725</xdr:rowOff>
    </xdr:from>
    <xdr:to>
      <xdr:col>4</xdr:col>
      <xdr:colOff>0</xdr:colOff>
      <xdr:row>460</xdr:row>
      <xdr:rowOff>66675</xdr:rowOff>
    </xdr:to>
    <xdr:sp>
      <xdr:nvSpPr>
        <xdr:cNvPr id="1351" name="矩形 3561" hidden="1"/>
        <xdr:cNvSpPr>
          <a:spLocks noChangeAspect="1" noChangeArrowheads="1"/>
        </xdr:cNvSpPr>
      </xdr:nvSpPr>
      <xdr:spPr>
        <a:xfrm>
          <a:off x="1371600" y="904176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454</xdr:row>
      <xdr:rowOff>85725</xdr:rowOff>
    </xdr:from>
    <xdr:to>
      <xdr:col>4</xdr:col>
      <xdr:colOff>0</xdr:colOff>
      <xdr:row>460</xdr:row>
      <xdr:rowOff>66675</xdr:rowOff>
    </xdr:to>
    <xdr:sp>
      <xdr:nvSpPr>
        <xdr:cNvPr id="1350" name="矩形 3560" hidden="1"/>
        <xdr:cNvSpPr>
          <a:spLocks noChangeAspect="1" noChangeArrowheads="1"/>
        </xdr:cNvSpPr>
      </xdr:nvSpPr>
      <xdr:spPr>
        <a:xfrm>
          <a:off x="1371600" y="904176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454</xdr:row>
      <xdr:rowOff>85725</xdr:rowOff>
    </xdr:from>
    <xdr:to>
      <xdr:col>4</xdr:col>
      <xdr:colOff>0</xdr:colOff>
      <xdr:row>460</xdr:row>
      <xdr:rowOff>66675</xdr:rowOff>
    </xdr:to>
    <xdr:sp>
      <xdr:nvSpPr>
        <xdr:cNvPr id="1349" name="矩形 3559" hidden="1"/>
        <xdr:cNvSpPr>
          <a:spLocks noChangeAspect="1" noChangeArrowheads="1"/>
        </xdr:cNvSpPr>
      </xdr:nvSpPr>
      <xdr:spPr>
        <a:xfrm>
          <a:off x="1371600" y="904176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454</xdr:row>
      <xdr:rowOff>85725</xdr:rowOff>
    </xdr:from>
    <xdr:to>
      <xdr:col>4</xdr:col>
      <xdr:colOff>0</xdr:colOff>
      <xdr:row>460</xdr:row>
      <xdr:rowOff>66675</xdr:rowOff>
    </xdr:to>
    <xdr:sp>
      <xdr:nvSpPr>
        <xdr:cNvPr id="1348" name="矩形 3558" hidden="1"/>
        <xdr:cNvSpPr>
          <a:spLocks noChangeAspect="1" noChangeArrowheads="1"/>
        </xdr:cNvSpPr>
      </xdr:nvSpPr>
      <xdr:spPr>
        <a:xfrm>
          <a:off x="1371600" y="904176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454</xdr:row>
      <xdr:rowOff>85725</xdr:rowOff>
    </xdr:from>
    <xdr:to>
      <xdr:col>4</xdr:col>
      <xdr:colOff>0</xdr:colOff>
      <xdr:row>460</xdr:row>
      <xdr:rowOff>66675</xdr:rowOff>
    </xdr:to>
    <xdr:sp>
      <xdr:nvSpPr>
        <xdr:cNvPr id="1347" name="矩形 3557" hidden="1"/>
        <xdr:cNvSpPr>
          <a:spLocks noChangeAspect="1" noChangeArrowheads="1"/>
        </xdr:cNvSpPr>
      </xdr:nvSpPr>
      <xdr:spPr>
        <a:xfrm>
          <a:off x="1371600" y="904176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457</xdr:row>
      <xdr:rowOff>57150</xdr:rowOff>
    </xdr:from>
    <xdr:to>
      <xdr:col>4</xdr:col>
      <xdr:colOff>0</xdr:colOff>
      <xdr:row>463</xdr:row>
      <xdr:rowOff>38100</xdr:rowOff>
    </xdr:to>
    <xdr:sp>
      <xdr:nvSpPr>
        <xdr:cNvPr id="1346" name="矩形 3556" hidden="1"/>
        <xdr:cNvSpPr>
          <a:spLocks noChangeAspect="1" noChangeArrowheads="1"/>
        </xdr:cNvSpPr>
      </xdr:nvSpPr>
      <xdr:spPr>
        <a:xfrm>
          <a:off x="1371600" y="90960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457</xdr:row>
      <xdr:rowOff>57150</xdr:rowOff>
    </xdr:from>
    <xdr:to>
      <xdr:col>4</xdr:col>
      <xdr:colOff>0</xdr:colOff>
      <xdr:row>463</xdr:row>
      <xdr:rowOff>38100</xdr:rowOff>
    </xdr:to>
    <xdr:sp>
      <xdr:nvSpPr>
        <xdr:cNvPr id="1345" name="矩形 3555" hidden="1"/>
        <xdr:cNvSpPr>
          <a:spLocks noChangeAspect="1" noChangeArrowheads="1"/>
        </xdr:cNvSpPr>
      </xdr:nvSpPr>
      <xdr:spPr>
        <a:xfrm>
          <a:off x="1371600" y="90960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457</xdr:row>
      <xdr:rowOff>57150</xdr:rowOff>
    </xdr:from>
    <xdr:to>
      <xdr:col>4</xdr:col>
      <xdr:colOff>0</xdr:colOff>
      <xdr:row>463</xdr:row>
      <xdr:rowOff>38100</xdr:rowOff>
    </xdr:to>
    <xdr:sp>
      <xdr:nvSpPr>
        <xdr:cNvPr id="1344" name="矩形 3554" hidden="1"/>
        <xdr:cNvSpPr>
          <a:spLocks noChangeAspect="1" noChangeArrowheads="1"/>
        </xdr:cNvSpPr>
      </xdr:nvSpPr>
      <xdr:spPr>
        <a:xfrm>
          <a:off x="1371600" y="90960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457</xdr:row>
      <xdr:rowOff>57150</xdr:rowOff>
    </xdr:from>
    <xdr:to>
      <xdr:col>4</xdr:col>
      <xdr:colOff>0</xdr:colOff>
      <xdr:row>463</xdr:row>
      <xdr:rowOff>38100</xdr:rowOff>
    </xdr:to>
    <xdr:sp>
      <xdr:nvSpPr>
        <xdr:cNvPr id="1343" name="矩形 3553" hidden="1"/>
        <xdr:cNvSpPr>
          <a:spLocks noChangeAspect="1" noChangeArrowheads="1"/>
        </xdr:cNvSpPr>
      </xdr:nvSpPr>
      <xdr:spPr>
        <a:xfrm>
          <a:off x="1371600" y="90960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457</xdr:row>
      <xdr:rowOff>57150</xdr:rowOff>
    </xdr:from>
    <xdr:to>
      <xdr:col>4</xdr:col>
      <xdr:colOff>0</xdr:colOff>
      <xdr:row>463</xdr:row>
      <xdr:rowOff>38100</xdr:rowOff>
    </xdr:to>
    <xdr:sp>
      <xdr:nvSpPr>
        <xdr:cNvPr id="1342" name="矩形 3552" hidden="1"/>
        <xdr:cNvSpPr>
          <a:spLocks noChangeAspect="1" noChangeArrowheads="1"/>
        </xdr:cNvSpPr>
      </xdr:nvSpPr>
      <xdr:spPr>
        <a:xfrm>
          <a:off x="1371600" y="90960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457</xdr:row>
      <xdr:rowOff>57150</xdr:rowOff>
    </xdr:from>
    <xdr:to>
      <xdr:col>4</xdr:col>
      <xdr:colOff>0</xdr:colOff>
      <xdr:row>463</xdr:row>
      <xdr:rowOff>38100</xdr:rowOff>
    </xdr:to>
    <xdr:sp>
      <xdr:nvSpPr>
        <xdr:cNvPr id="1341" name="矩形 3551" hidden="1"/>
        <xdr:cNvSpPr>
          <a:spLocks noChangeAspect="1" noChangeArrowheads="1"/>
        </xdr:cNvSpPr>
      </xdr:nvSpPr>
      <xdr:spPr>
        <a:xfrm>
          <a:off x="1371600" y="90960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457</xdr:row>
      <xdr:rowOff>57150</xdr:rowOff>
    </xdr:from>
    <xdr:to>
      <xdr:col>4</xdr:col>
      <xdr:colOff>0</xdr:colOff>
      <xdr:row>463</xdr:row>
      <xdr:rowOff>38100</xdr:rowOff>
    </xdr:to>
    <xdr:sp>
      <xdr:nvSpPr>
        <xdr:cNvPr id="1340" name="矩形 3550" hidden="1"/>
        <xdr:cNvSpPr>
          <a:spLocks noChangeAspect="1" noChangeArrowheads="1"/>
        </xdr:cNvSpPr>
      </xdr:nvSpPr>
      <xdr:spPr>
        <a:xfrm>
          <a:off x="1371600" y="90960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457</xdr:row>
      <xdr:rowOff>57150</xdr:rowOff>
    </xdr:from>
    <xdr:to>
      <xdr:col>4</xdr:col>
      <xdr:colOff>0</xdr:colOff>
      <xdr:row>463</xdr:row>
      <xdr:rowOff>38100</xdr:rowOff>
    </xdr:to>
    <xdr:sp>
      <xdr:nvSpPr>
        <xdr:cNvPr id="1339" name="矩形 3549" hidden="1"/>
        <xdr:cNvSpPr>
          <a:spLocks noChangeAspect="1" noChangeArrowheads="1"/>
        </xdr:cNvSpPr>
      </xdr:nvSpPr>
      <xdr:spPr>
        <a:xfrm>
          <a:off x="1371600" y="90960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457</xdr:row>
      <xdr:rowOff>57150</xdr:rowOff>
    </xdr:from>
    <xdr:to>
      <xdr:col>4</xdr:col>
      <xdr:colOff>0</xdr:colOff>
      <xdr:row>463</xdr:row>
      <xdr:rowOff>38100</xdr:rowOff>
    </xdr:to>
    <xdr:sp>
      <xdr:nvSpPr>
        <xdr:cNvPr id="1338" name="矩形 3548" hidden="1"/>
        <xdr:cNvSpPr>
          <a:spLocks noChangeAspect="1" noChangeArrowheads="1"/>
        </xdr:cNvSpPr>
      </xdr:nvSpPr>
      <xdr:spPr>
        <a:xfrm>
          <a:off x="1371600" y="90960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457</xdr:row>
      <xdr:rowOff>57150</xdr:rowOff>
    </xdr:from>
    <xdr:to>
      <xdr:col>4</xdr:col>
      <xdr:colOff>0</xdr:colOff>
      <xdr:row>463</xdr:row>
      <xdr:rowOff>38100</xdr:rowOff>
    </xdr:to>
    <xdr:sp>
      <xdr:nvSpPr>
        <xdr:cNvPr id="1337" name="矩形 3547" hidden="1"/>
        <xdr:cNvSpPr>
          <a:spLocks noChangeAspect="1" noChangeArrowheads="1"/>
        </xdr:cNvSpPr>
      </xdr:nvSpPr>
      <xdr:spPr>
        <a:xfrm>
          <a:off x="1371600" y="90960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457</xdr:row>
      <xdr:rowOff>57150</xdr:rowOff>
    </xdr:from>
    <xdr:to>
      <xdr:col>4</xdr:col>
      <xdr:colOff>0</xdr:colOff>
      <xdr:row>463</xdr:row>
      <xdr:rowOff>38100</xdr:rowOff>
    </xdr:to>
    <xdr:sp>
      <xdr:nvSpPr>
        <xdr:cNvPr id="1336" name="矩形 3546" hidden="1"/>
        <xdr:cNvSpPr>
          <a:spLocks noChangeAspect="1" noChangeArrowheads="1"/>
        </xdr:cNvSpPr>
      </xdr:nvSpPr>
      <xdr:spPr>
        <a:xfrm>
          <a:off x="1371600" y="90960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457</xdr:row>
      <xdr:rowOff>57150</xdr:rowOff>
    </xdr:from>
    <xdr:to>
      <xdr:col>4</xdr:col>
      <xdr:colOff>0</xdr:colOff>
      <xdr:row>463</xdr:row>
      <xdr:rowOff>38100</xdr:rowOff>
    </xdr:to>
    <xdr:sp>
      <xdr:nvSpPr>
        <xdr:cNvPr id="1335" name="矩形 3545" hidden="1"/>
        <xdr:cNvSpPr>
          <a:spLocks noChangeAspect="1" noChangeArrowheads="1"/>
        </xdr:cNvSpPr>
      </xdr:nvSpPr>
      <xdr:spPr>
        <a:xfrm>
          <a:off x="1371600" y="90960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457</xdr:row>
      <xdr:rowOff>57150</xdr:rowOff>
    </xdr:from>
    <xdr:to>
      <xdr:col>4</xdr:col>
      <xdr:colOff>0</xdr:colOff>
      <xdr:row>463</xdr:row>
      <xdr:rowOff>38100</xdr:rowOff>
    </xdr:to>
    <xdr:sp>
      <xdr:nvSpPr>
        <xdr:cNvPr id="1334" name="矩形 3544" hidden="1"/>
        <xdr:cNvSpPr>
          <a:spLocks noChangeAspect="1" noChangeArrowheads="1"/>
        </xdr:cNvSpPr>
      </xdr:nvSpPr>
      <xdr:spPr>
        <a:xfrm>
          <a:off x="1371600" y="90960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457</xdr:row>
      <xdr:rowOff>57150</xdr:rowOff>
    </xdr:from>
    <xdr:to>
      <xdr:col>4</xdr:col>
      <xdr:colOff>0</xdr:colOff>
      <xdr:row>463</xdr:row>
      <xdr:rowOff>38100</xdr:rowOff>
    </xdr:to>
    <xdr:sp>
      <xdr:nvSpPr>
        <xdr:cNvPr id="1333" name="矩形 3543" hidden="1"/>
        <xdr:cNvSpPr>
          <a:spLocks noChangeAspect="1" noChangeArrowheads="1"/>
        </xdr:cNvSpPr>
      </xdr:nvSpPr>
      <xdr:spPr>
        <a:xfrm>
          <a:off x="1371600" y="90960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460</xdr:row>
      <xdr:rowOff>28575</xdr:rowOff>
    </xdr:from>
    <xdr:to>
      <xdr:col>4</xdr:col>
      <xdr:colOff>0</xdr:colOff>
      <xdr:row>466</xdr:row>
      <xdr:rowOff>9525</xdr:rowOff>
    </xdr:to>
    <xdr:sp>
      <xdr:nvSpPr>
        <xdr:cNvPr id="1332" name="矩形 3542" hidden="1"/>
        <xdr:cNvSpPr>
          <a:spLocks noChangeAspect="1" noChangeArrowheads="1"/>
        </xdr:cNvSpPr>
      </xdr:nvSpPr>
      <xdr:spPr>
        <a:xfrm>
          <a:off x="1371600" y="91503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460</xdr:row>
      <xdr:rowOff>28575</xdr:rowOff>
    </xdr:from>
    <xdr:to>
      <xdr:col>4</xdr:col>
      <xdr:colOff>0</xdr:colOff>
      <xdr:row>466</xdr:row>
      <xdr:rowOff>9525</xdr:rowOff>
    </xdr:to>
    <xdr:sp>
      <xdr:nvSpPr>
        <xdr:cNvPr id="1331" name="矩形 3541" hidden="1"/>
        <xdr:cNvSpPr>
          <a:spLocks noChangeAspect="1" noChangeArrowheads="1"/>
        </xdr:cNvSpPr>
      </xdr:nvSpPr>
      <xdr:spPr>
        <a:xfrm>
          <a:off x="1371600" y="91503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460</xdr:row>
      <xdr:rowOff>28575</xdr:rowOff>
    </xdr:from>
    <xdr:to>
      <xdr:col>4</xdr:col>
      <xdr:colOff>0</xdr:colOff>
      <xdr:row>466</xdr:row>
      <xdr:rowOff>9525</xdr:rowOff>
    </xdr:to>
    <xdr:sp>
      <xdr:nvSpPr>
        <xdr:cNvPr id="1330" name="矩形 3540" hidden="1"/>
        <xdr:cNvSpPr>
          <a:spLocks noChangeAspect="1" noChangeArrowheads="1"/>
        </xdr:cNvSpPr>
      </xdr:nvSpPr>
      <xdr:spPr>
        <a:xfrm>
          <a:off x="1371600" y="91503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460</xdr:row>
      <xdr:rowOff>28575</xdr:rowOff>
    </xdr:from>
    <xdr:to>
      <xdr:col>4</xdr:col>
      <xdr:colOff>0</xdr:colOff>
      <xdr:row>466</xdr:row>
      <xdr:rowOff>9525</xdr:rowOff>
    </xdr:to>
    <xdr:sp>
      <xdr:nvSpPr>
        <xdr:cNvPr id="1329" name="矩形 3539" hidden="1"/>
        <xdr:cNvSpPr>
          <a:spLocks noChangeAspect="1" noChangeArrowheads="1"/>
        </xdr:cNvSpPr>
      </xdr:nvSpPr>
      <xdr:spPr>
        <a:xfrm>
          <a:off x="1371600" y="91503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460</xdr:row>
      <xdr:rowOff>28575</xdr:rowOff>
    </xdr:from>
    <xdr:to>
      <xdr:col>4</xdr:col>
      <xdr:colOff>0</xdr:colOff>
      <xdr:row>466</xdr:row>
      <xdr:rowOff>9525</xdr:rowOff>
    </xdr:to>
    <xdr:sp>
      <xdr:nvSpPr>
        <xdr:cNvPr id="1328" name="矩形 3538" hidden="1"/>
        <xdr:cNvSpPr>
          <a:spLocks noChangeAspect="1" noChangeArrowheads="1"/>
        </xdr:cNvSpPr>
      </xdr:nvSpPr>
      <xdr:spPr>
        <a:xfrm>
          <a:off x="1371600" y="91503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460</xdr:row>
      <xdr:rowOff>28575</xdr:rowOff>
    </xdr:from>
    <xdr:to>
      <xdr:col>4</xdr:col>
      <xdr:colOff>0</xdr:colOff>
      <xdr:row>466</xdr:row>
      <xdr:rowOff>9525</xdr:rowOff>
    </xdr:to>
    <xdr:sp>
      <xdr:nvSpPr>
        <xdr:cNvPr id="1327" name="矩形 3537" hidden="1"/>
        <xdr:cNvSpPr>
          <a:spLocks noChangeAspect="1" noChangeArrowheads="1"/>
        </xdr:cNvSpPr>
      </xdr:nvSpPr>
      <xdr:spPr>
        <a:xfrm>
          <a:off x="1371600" y="91503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460</xdr:row>
      <xdr:rowOff>28575</xdr:rowOff>
    </xdr:from>
    <xdr:to>
      <xdr:col>4</xdr:col>
      <xdr:colOff>0</xdr:colOff>
      <xdr:row>466</xdr:row>
      <xdr:rowOff>9525</xdr:rowOff>
    </xdr:to>
    <xdr:sp>
      <xdr:nvSpPr>
        <xdr:cNvPr id="1326" name="矩形 3536" hidden="1"/>
        <xdr:cNvSpPr>
          <a:spLocks noChangeAspect="1" noChangeArrowheads="1"/>
        </xdr:cNvSpPr>
      </xdr:nvSpPr>
      <xdr:spPr>
        <a:xfrm>
          <a:off x="1371600" y="91503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460</xdr:row>
      <xdr:rowOff>28575</xdr:rowOff>
    </xdr:from>
    <xdr:to>
      <xdr:col>4</xdr:col>
      <xdr:colOff>0</xdr:colOff>
      <xdr:row>466</xdr:row>
      <xdr:rowOff>9525</xdr:rowOff>
    </xdr:to>
    <xdr:sp>
      <xdr:nvSpPr>
        <xdr:cNvPr id="1325" name="矩形 3535" hidden="1"/>
        <xdr:cNvSpPr>
          <a:spLocks noChangeAspect="1" noChangeArrowheads="1"/>
        </xdr:cNvSpPr>
      </xdr:nvSpPr>
      <xdr:spPr>
        <a:xfrm>
          <a:off x="1371600" y="91503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460</xdr:row>
      <xdr:rowOff>28575</xdr:rowOff>
    </xdr:from>
    <xdr:to>
      <xdr:col>4</xdr:col>
      <xdr:colOff>0</xdr:colOff>
      <xdr:row>466</xdr:row>
      <xdr:rowOff>9525</xdr:rowOff>
    </xdr:to>
    <xdr:sp>
      <xdr:nvSpPr>
        <xdr:cNvPr id="1324" name="矩形 3534" hidden="1"/>
        <xdr:cNvSpPr>
          <a:spLocks noChangeAspect="1" noChangeArrowheads="1"/>
        </xdr:cNvSpPr>
      </xdr:nvSpPr>
      <xdr:spPr>
        <a:xfrm>
          <a:off x="1371600" y="91503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460</xdr:row>
      <xdr:rowOff>28575</xdr:rowOff>
    </xdr:from>
    <xdr:to>
      <xdr:col>4</xdr:col>
      <xdr:colOff>0</xdr:colOff>
      <xdr:row>466</xdr:row>
      <xdr:rowOff>9525</xdr:rowOff>
    </xdr:to>
    <xdr:sp>
      <xdr:nvSpPr>
        <xdr:cNvPr id="1323" name="矩形 3533" hidden="1"/>
        <xdr:cNvSpPr>
          <a:spLocks noChangeAspect="1" noChangeArrowheads="1"/>
        </xdr:cNvSpPr>
      </xdr:nvSpPr>
      <xdr:spPr>
        <a:xfrm>
          <a:off x="1371600" y="91503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460</xdr:row>
      <xdr:rowOff>28575</xdr:rowOff>
    </xdr:from>
    <xdr:to>
      <xdr:col>4</xdr:col>
      <xdr:colOff>0</xdr:colOff>
      <xdr:row>466</xdr:row>
      <xdr:rowOff>9525</xdr:rowOff>
    </xdr:to>
    <xdr:sp>
      <xdr:nvSpPr>
        <xdr:cNvPr id="1322" name="矩形 3532" hidden="1"/>
        <xdr:cNvSpPr>
          <a:spLocks noChangeAspect="1" noChangeArrowheads="1"/>
        </xdr:cNvSpPr>
      </xdr:nvSpPr>
      <xdr:spPr>
        <a:xfrm>
          <a:off x="1371600" y="91503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460</xdr:row>
      <xdr:rowOff>28575</xdr:rowOff>
    </xdr:from>
    <xdr:to>
      <xdr:col>4</xdr:col>
      <xdr:colOff>0</xdr:colOff>
      <xdr:row>466</xdr:row>
      <xdr:rowOff>9525</xdr:rowOff>
    </xdr:to>
    <xdr:sp>
      <xdr:nvSpPr>
        <xdr:cNvPr id="1321" name="矩形 3531" hidden="1"/>
        <xdr:cNvSpPr>
          <a:spLocks noChangeAspect="1" noChangeArrowheads="1"/>
        </xdr:cNvSpPr>
      </xdr:nvSpPr>
      <xdr:spPr>
        <a:xfrm>
          <a:off x="1371600" y="91503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460</xdr:row>
      <xdr:rowOff>28575</xdr:rowOff>
    </xdr:from>
    <xdr:to>
      <xdr:col>4</xdr:col>
      <xdr:colOff>0</xdr:colOff>
      <xdr:row>466</xdr:row>
      <xdr:rowOff>9525</xdr:rowOff>
    </xdr:to>
    <xdr:sp>
      <xdr:nvSpPr>
        <xdr:cNvPr id="1320" name="矩形 3530" hidden="1"/>
        <xdr:cNvSpPr>
          <a:spLocks noChangeAspect="1" noChangeArrowheads="1"/>
        </xdr:cNvSpPr>
      </xdr:nvSpPr>
      <xdr:spPr>
        <a:xfrm>
          <a:off x="1371600" y="91503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460</xdr:row>
      <xdr:rowOff>28575</xdr:rowOff>
    </xdr:from>
    <xdr:to>
      <xdr:col>4</xdr:col>
      <xdr:colOff>0</xdr:colOff>
      <xdr:row>466</xdr:row>
      <xdr:rowOff>9525</xdr:rowOff>
    </xdr:to>
    <xdr:sp>
      <xdr:nvSpPr>
        <xdr:cNvPr id="1319" name="矩形 3529" hidden="1"/>
        <xdr:cNvSpPr>
          <a:spLocks noChangeAspect="1" noChangeArrowheads="1"/>
        </xdr:cNvSpPr>
      </xdr:nvSpPr>
      <xdr:spPr>
        <a:xfrm>
          <a:off x="1371600" y="91503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463</xdr:row>
      <xdr:rowOff>0</xdr:rowOff>
    </xdr:from>
    <xdr:to>
      <xdr:col>4</xdr:col>
      <xdr:colOff>0</xdr:colOff>
      <xdr:row>471</xdr:row>
      <xdr:rowOff>133350</xdr:rowOff>
    </xdr:to>
    <xdr:sp>
      <xdr:nvSpPr>
        <xdr:cNvPr id="1318" name="矩形 3528" hidden="1"/>
        <xdr:cNvSpPr>
          <a:spLocks noChangeAspect="1" noChangeArrowheads="1"/>
        </xdr:cNvSpPr>
      </xdr:nvSpPr>
      <xdr:spPr>
        <a:xfrm>
          <a:off x="1371600" y="92046425"/>
          <a:ext cx="153352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463</xdr:row>
      <xdr:rowOff>0</xdr:rowOff>
    </xdr:from>
    <xdr:to>
      <xdr:col>4</xdr:col>
      <xdr:colOff>0</xdr:colOff>
      <xdr:row>471</xdr:row>
      <xdr:rowOff>133350</xdr:rowOff>
    </xdr:to>
    <xdr:sp>
      <xdr:nvSpPr>
        <xdr:cNvPr id="1317" name="矩形 3527" hidden="1"/>
        <xdr:cNvSpPr>
          <a:spLocks noChangeAspect="1" noChangeArrowheads="1"/>
        </xdr:cNvSpPr>
      </xdr:nvSpPr>
      <xdr:spPr>
        <a:xfrm>
          <a:off x="1371600" y="92046425"/>
          <a:ext cx="153352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463</xdr:row>
      <xdr:rowOff>0</xdr:rowOff>
    </xdr:from>
    <xdr:to>
      <xdr:col>4</xdr:col>
      <xdr:colOff>0</xdr:colOff>
      <xdr:row>471</xdr:row>
      <xdr:rowOff>133350</xdr:rowOff>
    </xdr:to>
    <xdr:sp>
      <xdr:nvSpPr>
        <xdr:cNvPr id="1316" name="矩形 3526" hidden="1"/>
        <xdr:cNvSpPr>
          <a:spLocks noChangeAspect="1" noChangeArrowheads="1"/>
        </xdr:cNvSpPr>
      </xdr:nvSpPr>
      <xdr:spPr>
        <a:xfrm>
          <a:off x="1371600" y="92046425"/>
          <a:ext cx="153352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463</xdr:row>
      <xdr:rowOff>0</xdr:rowOff>
    </xdr:from>
    <xdr:to>
      <xdr:col>4</xdr:col>
      <xdr:colOff>0</xdr:colOff>
      <xdr:row>471</xdr:row>
      <xdr:rowOff>133350</xdr:rowOff>
    </xdr:to>
    <xdr:sp>
      <xdr:nvSpPr>
        <xdr:cNvPr id="1315" name="矩形 3525" hidden="1"/>
        <xdr:cNvSpPr>
          <a:spLocks noChangeAspect="1" noChangeArrowheads="1"/>
        </xdr:cNvSpPr>
      </xdr:nvSpPr>
      <xdr:spPr>
        <a:xfrm>
          <a:off x="1371600" y="92046425"/>
          <a:ext cx="153352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463</xdr:row>
      <xdr:rowOff>0</xdr:rowOff>
    </xdr:from>
    <xdr:to>
      <xdr:col>4</xdr:col>
      <xdr:colOff>0</xdr:colOff>
      <xdr:row>471</xdr:row>
      <xdr:rowOff>133350</xdr:rowOff>
    </xdr:to>
    <xdr:sp>
      <xdr:nvSpPr>
        <xdr:cNvPr id="1314" name="矩形 3524" hidden="1"/>
        <xdr:cNvSpPr>
          <a:spLocks noChangeAspect="1" noChangeArrowheads="1"/>
        </xdr:cNvSpPr>
      </xdr:nvSpPr>
      <xdr:spPr>
        <a:xfrm>
          <a:off x="1371600" y="92046425"/>
          <a:ext cx="153352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463</xdr:row>
      <xdr:rowOff>0</xdr:rowOff>
    </xdr:from>
    <xdr:to>
      <xdr:col>4</xdr:col>
      <xdr:colOff>0</xdr:colOff>
      <xdr:row>471</xdr:row>
      <xdr:rowOff>133350</xdr:rowOff>
    </xdr:to>
    <xdr:sp>
      <xdr:nvSpPr>
        <xdr:cNvPr id="1313" name="矩形 3523" hidden="1"/>
        <xdr:cNvSpPr>
          <a:spLocks noChangeAspect="1" noChangeArrowheads="1"/>
        </xdr:cNvSpPr>
      </xdr:nvSpPr>
      <xdr:spPr>
        <a:xfrm>
          <a:off x="1371600" y="92046425"/>
          <a:ext cx="153352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463</xdr:row>
      <xdr:rowOff>0</xdr:rowOff>
    </xdr:from>
    <xdr:to>
      <xdr:col>4</xdr:col>
      <xdr:colOff>0</xdr:colOff>
      <xdr:row>471</xdr:row>
      <xdr:rowOff>133350</xdr:rowOff>
    </xdr:to>
    <xdr:sp>
      <xdr:nvSpPr>
        <xdr:cNvPr id="1312" name="矩形 3522" hidden="1"/>
        <xdr:cNvSpPr>
          <a:spLocks noChangeAspect="1" noChangeArrowheads="1"/>
        </xdr:cNvSpPr>
      </xdr:nvSpPr>
      <xdr:spPr>
        <a:xfrm>
          <a:off x="1371600" y="92046425"/>
          <a:ext cx="153352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463</xdr:row>
      <xdr:rowOff>0</xdr:rowOff>
    </xdr:from>
    <xdr:to>
      <xdr:col>4</xdr:col>
      <xdr:colOff>0</xdr:colOff>
      <xdr:row>471</xdr:row>
      <xdr:rowOff>133350</xdr:rowOff>
    </xdr:to>
    <xdr:sp>
      <xdr:nvSpPr>
        <xdr:cNvPr id="1311" name="矩形 3521" hidden="1"/>
        <xdr:cNvSpPr>
          <a:spLocks noChangeAspect="1" noChangeArrowheads="1"/>
        </xdr:cNvSpPr>
      </xdr:nvSpPr>
      <xdr:spPr>
        <a:xfrm>
          <a:off x="1371600" y="92046425"/>
          <a:ext cx="153352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463</xdr:row>
      <xdr:rowOff>0</xdr:rowOff>
    </xdr:from>
    <xdr:to>
      <xdr:col>4</xdr:col>
      <xdr:colOff>0</xdr:colOff>
      <xdr:row>471</xdr:row>
      <xdr:rowOff>133350</xdr:rowOff>
    </xdr:to>
    <xdr:sp>
      <xdr:nvSpPr>
        <xdr:cNvPr id="1310" name="矩形 3520" hidden="1"/>
        <xdr:cNvSpPr>
          <a:spLocks noChangeAspect="1" noChangeArrowheads="1"/>
        </xdr:cNvSpPr>
      </xdr:nvSpPr>
      <xdr:spPr>
        <a:xfrm>
          <a:off x="1371600" y="92046425"/>
          <a:ext cx="153352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463</xdr:row>
      <xdr:rowOff>0</xdr:rowOff>
    </xdr:from>
    <xdr:to>
      <xdr:col>4</xdr:col>
      <xdr:colOff>0</xdr:colOff>
      <xdr:row>471</xdr:row>
      <xdr:rowOff>133350</xdr:rowOff>
    </xdr:to>
    <xdr:sp>
      <xdr:nvSpPr>
        <xdr:cNvPr id="1309" name="矩形 3519" hidden="1"/>
        <xdr:cNvSpPr>
          <a:spLocks noChangeAspect="1" noChangeArrowheads="1"/>
        </xdr:cNvSpPr>
      </xdr:nvSpPr>
      <xdr:spPr>
        <a:xfrm>
          <a:off x="1371600" y="92046425"/>
          <a:ext cx="153352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463</xdr:row>
      <xdr:rowOff>0</xdr:rowOff>
    </xdr:from>
    <xdr:to>
      <xdr:col>4</xdr:col>
      <xdr:colOff>0</xdr:colOff>
      <xdr:row>471</xdr:row>
      <xdr:rowOff>133350</xdr:rowOff>
    </xdr:to>
    <xdr:sp>
      <xdr:nvSpPr>
        <xdr:cNvPr id="1308" name="矩形 3518" hidden="1"/>
        <xdr:cNvSpPr>
          <a:spLocks noChangeAspect="1" noChangeArrowheads="1"/>
        </xdr:cNvSpPr>
      </xdr:nvSpPr>
      <xdr:spPr>
        <a:xfrm>
          <a:off x="1371600" y="92046425"/>
          <a:ext cx="153352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463</xdr:row>
      <xdr:rowOff>0</xdr:rowOff>
    </xdr:from>
    <xdr:to>
      <xdr:col>4</xdr:col>
      <xdr:colOff>0</xdr:colOff>
      <xdr:row>471</xdr:row>
      <xdr:rowOff>133350</xdr:rowOff>
    </xdr:to>
    <xdr:sp>
      <xdr:nvSpPr>
        <xdr:cNvPr id="1307" name="矩形 3517" hidden="1"/>
        <xdr:cNvSpPr>
          <a:spLocks noChangeAspect="1" noChangeArrowheads="1"/>
        </xdr:cNvSpPr>
      </xdr:nvSpPr>
      <xdr:spPr>
        <a:xfrm>
          <a:off x="1371600" y="92046425"/>
          <a:ext cx="153352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463</xdr:row>
      <xdr:rowOff>0</xdr:rowOff>
    </xdr:from>
    <xdr:to>
      <xdr:col>4</xdr:col>
      <xdr:colOff>0</xdr:colOff>
      <xdr:row>471</xdr:row>
      <xdr:rowOff>133350</xdr:rowOff>
    </xdr:to>
    <xdr:sp>
      <xdr:nvSpPr>
        <xdr:cNvPr id="1306" name="矩形 3516" hidden="1"/>
        <xdr:cNvSpPr>
          <a:spLocks noChangeAspect="1" noChangeArrowheads="1"/>
        </xdr:cNvSpPr>
      </xdr:nvSpPr>
      <xdr:spPr>
        <a:xfrm>
          <a:off x="1371600" y="92046425"/>
          <a:ext cx="153352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463</xdr:row>
      <xdr:rowOff>0</xdr:rowOff>
    </xdr:from>
    <xdr:to>
      <xdr:col>4</xdr:col>
      <xdr:colOff>0</xdr:colOff>
      <xdr:row>471</xdr:row>
      <xdr:rowOff>133350</xdr:rowOff>
    </xdr:to>
    <xdr:sp>
      <xdr:nvSpPr>
        <xdr:cNvPr id="1305" name="矩形 3515" hidden="1"/>
        <xdr:cNvSpPr>
          <a:spLocks noChangeAspect="1" noChangeArrowheads="1"/>
        </xdr:cNvSpPr>
      </xdr:nvSpPr>
      <xdr:spPr>
        <a:xfrm>
          <a:off x="1371600" y="92046425"/>
          <a:ext cx="153352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465</xdr:row>
      <xdr:rowOff>152400</xdr:rowOff>
    </xdr:from>
    <xdr:to>
      <xdr:col>4</xdr:col>
      <xdr:colOff>0</xdr:colOff>
      <xdr:row>474</xdr:row>
      <xdr:rowOff>104775</xdr:rowOff>
    </xdr:to>
    <xdr:sp>
      <xdr:nvSpPr>
        <xdr:cNvPr id="1304" name="矩形 3514" hidden="1"/>
        <xdr:cNvSpPr>
          <a:spLocks noChangeAspect="1" noChangeArrowheads="1"/>
        </xdr:cNvSpPr>
      </xdr:nvSpPr>
      <xdr:spPr>
        <a:xfrm>
          <a:off x="1371600" y="925798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465</xdr:row>
      <xdr:rowOff>152400</xdr:rowOff>
    </xdr:from>
    <xdr:to>
      <xdr:col>4</xdr:col>
      <xdr:colOff>0</xdr:colOff>
      <xdr:row>474</xdr:row>
      <xdr:rowOff>104775</xdr:rowOff>
    </xdr:to>
    <xdr:sp>
      <xdr:nvSpPr>
        <xdr:cNvPr id="1303" name="矩形 3513" hidden="1"/>
        <xdr:cNvSpPr>
          <a:spLocks noChangeAspect="1" noChangeArrowheads="1"/>
        </xdr:cNvSpPr>
      </xdr:nvSpPr>
      <xdr:spPr>
        <a:xfrm>
          <a:off x="1371600" y="925798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465</xdr:row>
      <xdr:rowOff>152400</xdr:rowOff>
    </xdr:from>
    <xdr:to>
      <xdr:col>4</xdr:col>
      <xdr:colOff>0</xdr:colOff>
      <xdr:row>474</xdr:row>
      <xdr:rowOff>104775</xdr:rowOff>
    </xdr:to>
    <xdr:sp>
      <xdr:nvSpPr>
        <xdr:cNvPr id="1302" name="矩形 3512" hidden="1"/>
        <xdr:cNvSpPr>
          <a:spLocks noChangeAspect="1" noChangeArrowheads="1"/>
        </xdr:cNvSpPr>
      </xdr:nvSpPr>
      <xdr:spPr>
        <a:xfrm>
          <a:off x="1371600" y="925798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465</xdr:row>
      <xdr:rowOff>152400</xdr:rowOff>
    </xdr:from>
    <xdr:to>
      <xdr:col>4</xdr:col>
      <xdr:colOff>0</xdr:colOff>
      <xdr:row>474</xdr:row>
      <xdr:rowOff>104775</xdr:rowOff>
    </xdr:to>
    <xdr:sp>
      <xdr:nvSpPr>
        <xdr:cNvPr id="1301" name="矩形 3511" hidden="1"/>
        <xdr:cNvSpPr>
          <a:spLocks noChangeAspect="1" noChangeArrowheads="1"/>
        </xdr:cNvSpPr>
      </xdr:nvSpPr>
      <xdr:spPr>
        <a:xfrm>
          <a:off x="1371600" y="925798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465</xdr:row>
      <xdr:rowOff>152400</xdr:rowOff>
    </xdr:from>
    <xdr:to>
      <xdr:col>4</xdr:col>
      <xdr:colOff>0</xdr:colOff>
      <xdr:row>474</xdr:row>
      <xdr:rowOff>104775</xdr:rowOff>
    </xdr:to>
    <xdr:sp>
      <xdr:nvSpPr>
        <xdr:cNvPr id="1300" name="矩形 3510" hidden="1"/>
        <xdr:cNvSpPr>
          <a:spLocks noChangeAspect="1" noChangeArrowheads="1"/>
        </xdr:cNvSpPr>
      </xdr:nvSpPr>
      <xdr:spPr>
        <a:xfrm>
          <a:off x="1371600" y="925798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465</xdr:row>
      <xdr:rowOff>152400</xdr:rowOff>
    </xdr:from>
    <xdr:to>
      <xdr:col>4</xdr:col>
      <xdr:colOff>0</xdr:colOff>
      <xdr:row>474</xdr:row>
      <xdr:rowOff>104775</xdr:rowOff>
    </xdr:to>
    <xdr:sp>
      <xdr:nvSpPr>
        <xdr:cNvPr id="1299" name="矩形 3509" hidden="1"/>
        <xdr:cNvSpPr>
          <a:spLocks noChangeAspect="1" noChangeArrowheads="1"/>
        </xdr:cNvSpPr>
      </xdr:nvSpPr>
      <xdr:spPr>
        <a:xfrm>
          <a:off x="1371600" y="925798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465</xdr:row>
      <xdr:rowOff>152400</xdr:rowOff>
    </xdr:from>
    <xdr:to>
      <xdr:col>4</xdr:col>
      <xdr:colOff>0</xdr:colOff>
      <xdr:row>474</xdr:row>
      <xdr:rowOff>104775</xdr:rowOff>
    </xdr:to>
    <xdr:sp>
      <xdr:nvSpPr>
        <xdr:cNvPr id="1298" name="矩形 3508" hidden="1"/>
        <xdr:cNvSpPr>
          <a:spLocks noChangeAspect="1" noChangeArrowheads="1"/>
        </xdr:cNvSpPr>
      </xdr:nvSpPr>
      <xdr:spPr>
        <a:xfrm>
          <a:off x="1371600" y="925798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465</xdr:row>
      <xdr:rowOff>152400</xdr:rowOff>
    </xdr:from>
    <xdr:to>
      <xdr:col>4</xdr:col>
      <xdr:colOff>0</xdr:colOff>
      <xdr:row>474</xdr:row>
      <xdr:rowOff>104775</xdr:rowOff>
    </xdr:to>
    <xdr:sp>
      <xdr:nvSpPr>
        <xdr:cNvPr id="1297" name="矩形 3507" hidden="1"/>
        <xdr:cNvSpPr>
          <a:spLocks noChangeAspect="1" noChangeArrowheads="1"/>
        </xdr:cNvSpPr>
      </xdr:nvSpPr>
      <xdr:spPr>
        <a:xfrm>
          <a:off x="1371600" y="925798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465</xdr:row>
      <xdr:rowOff>152400</xdr:rowOff>
    </xdr:from>
    <xdr:to>
      <xdr:col>4</xdr:col>
      <xdr:colOff>0</xdr:colOff>
      <xdr:row>474</xdr:row>
      <xdr:rowOff>104775</xdr:rowOff>
    </xdr:to>
    <xdr:sp>
      <xdr:nvSpPr>
        <xdr:cNvPr id="1296" name="矩形 3506" hidden="1"/>
        <xdr:cNvSpPr>
          <a:spLocks noChangeAspect="1" noChangeArrowheads="1"/>
        </xdr:cNvSpPr>
      </xdr:nvSpPr>
      <xdr:spPr>
        <a:xfrm>
          <a:off x="1371600" y="925798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465</xdr:row>
      <xdr:rowOff>152400</xdr:rowOff>
    </xdr:from>
    <xdr:to>
      <xdr:col>4</xdr:col>
      <xdr:colOff>0</xdr:colOff>
      <xdr:row>474</xdr:row>
      <xdr:rowOff>104775</xdr:rowOff>
    </xdr:to>
    <xdr:sp>
      <xdr:nvSpPr>
        <xdr:cNvPr id="1295" name="矩形 3505" hidden="1"/>
        <xdr:cNvSpPr>
          <a:spLocks noChangeAspect="1" noChangeArrowheads="1"/>
        </xdr:cNvSpPr>
      </xdr:nvSpPr>
      <xdr:spPr>
        <a:xfrm>
          <a:off x="1371600" y="925798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465</xdr:row>
      <xdr:rowOff>152400</xdr:rowOff>
    </xdr:from>
    <xdr:to>
      <xdr:col>4</xdr:col>
      <xdr:colOff>0</xdr:colOff>
      <xdr:row>474</xdr:row>
      <xdr:rowOff>104775</xdr:rowOff>
    </xdr:to>
    <xdr:sp>
      <xdr:nvSpPr>
        <xdr:cNvPr id="1294" name="矩形 3504" hidden="1"/>
        <xdr:cNvSpPr>
          <a:spLocks noChangeAspect="1" noChangeArrowheads="1"/>
        </xdr:cNvSpPr>
      </xdr:nvSpPr>
      <xdr:spPr>
        <a:xfrm>
          <a:off x="1371600" y="925798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465</xdr:row>
      <xdr:rowOff>152400</xdr:rowOff>
    </xdr:from>
    <xdr:to>
      <xdr:col>4</xdr:col>
      <xdr:colOff>0</xdr:colOff>
      <xdr:row>474</xdr:row>
      <xdr:rowOff>104775</xdr:rowOff>
    </xdr:to>
    <xdr:sp>
      <xdr:nvSpPr>
        <xdr:cNvPr id="1293" name="矩形 3503" hidden="1"/>
        <xdr:cNvSpPr>
          <a:spLocks noChangeAspect="1" noChangeArrowheads="1"/>
        </xdr:cNvSpPr>
      </xdr:nvSpPr>
      <xdr:spPr>
        <a:xfrm>
          <a:off x="1371600" y="925798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465</xdr:row>
      <xdr:rowOff>152400</xdr:rowOff>
    </xdr:from>
    <xdr:to>
      <xdr:col>4</xdr:col>
      <xdr:colOff>0</xdr:colOff>
      <xdr:row>474</xdr:row>
      <xdr:rowOff>104775</xdr:rowOff>
    </xdr:to>
    <xdr:sp>
      <xdr:nvSpPr>
        <xdr:cNvPr id="1292" name="矩形 3502" hidden="1"/>
        <xdr:cNvSpPr>
          <a:spLocks noChangeAspect="1" noChangeArrowheads="1"/>
        </xdr:cNvSpPr>
      </xdr:nvSpPr>
      <xdr:spPr>
        <a:xfrm>
          <a:off x="1371600" y="925798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465</xdr:row>
      <xdr:rowOff>152400</xdr:rowOff>
    </xdr:from>
    <xdr:to>
      <xdr:col>4</xdr:col>
      <xdr:colOff>0</xdr:colOff>
      <xdr:row>474</xdr:row>
      <xdr:rowOff>104775</xdr:rowOff>
    </xdr:to>
    <xdr:sp>
      <xdr:nvSpPr>
        <xdr:cNvPr id="1291" name="矩形 3501" hidden="1"/>
        <xdr:cNvSpPr>
          <a:spLocks noChangeAspect="1" noChangeArrowheads="1"/>
        </xdr:cNvSpPr>
      </xdr:nvSpPr>
      <xdr:spPr>
        <a:xfrm>
          <a:off x="1371600" y="925798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471</xdr:row>
      <xdr:rowOff>95250</xdr:rowOff>
    </xdr:from>
    <xdr:to>
      <xdr:col>4</xdr:col>
      <xdr:colOff>0</xdr:colOff>
      <xdr:row>477</xdr:row>
      <xdr:rowOff>76200</xdr:rowOff>
    </xdr:to>
    <xdr:sp>
      <xdr:nvSpPr>
        <xdr:cNvPr id="1290" name="矩形 3500" hidden="1"/>
        <xdr:cNvSpPr>
          <a:spLocks noChangeAspect="1" noChangeArrowheads="1"/>
        </xdr:cNvSpPr>
      </xdr:nvSpPr>
      <xdr:spPr>
        <a:xfrm>
          <a:off x="1371600" y="93665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471</xdr:row>
      <xdr:rowOff>95250</xdr:rowOff>
    </xdr:from>
    <xdr:to>
      <xdr:col>4</xdr:col>
      <xdr:colOff>0</xdr:colOff>
      <xdr:row>477</xdr:row>
      <xdr:rowOff>76200</xdr:rowOff>
    </xdr:to>
    <xdr:sp>
      <xdr:nvSpPr>
        <xdr:cNvPr id="1289" name="矩形 3499" hidden="1"/>
        <xdr:cNvSpPr>
          <a:spLocks noChangeAspect="1" noChangeArrowheads="1"/>
        </xdr:cNvSpPr>
      </xdr:nvSpPr>
      <xdr:spPr>
        <a:xfrm>
          <a:off x="1371600" y="93665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471</xdr:row>
      <xdr:rowOff>95250</xdr:rowOff>
    </xdr:from>
    <xdr:to>
      <xdr:col>4</xdr:col>
      <xdr:colOff>0</xdr:colOff>
      <xdr:row>477</xdr:row>
      <xdr:rowOff>76200</xdr:rowOff>
    </xdr:to>
    <xdr:sp>
      <xdr:nvSpPr>
        <xdr:cNvPr id="1288" name="矩形 3498" hidden="1"/>
        <xdr:cNvSpPr>
          <a:spLocks noChangeAspect="1" noChangeArrowheads="1"/>
        </xdr:cNvSpPr>
      </xdr:nvSpPr>
      <xdr:spPr>
        <a:xfrm>
          <a:off x="1371600" y="93665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471</xdr:row>
      <xdr:rowOff>95250</xdr:rowOff>
    </xdr:from>
    <xdr:to>
      <xdr:col>4</xdr:col>
      <xdr:colOff>0</xdr:colOff>
      <xdr:row>477</xdr:row>
      <xdr:rowOff>76200</xdr:rowOff>
    </xdr:to>
    <xdr:sp>
      <xdr:nvSpPr>
        <xdr:cNvPr id="1287" name="矩形 3497" hidden="1"/>
        <xdr:cNvSpPr>
          <a:spLocks noChangeAspect="1" noChangeArrowheads="1"/>
        </xdr:cNvSpPr>
      </xdr:nvSpPr>
      <xdr:spPr>
        <a:xfrm>
          <a:off x="1371600" y="93665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471</xdr:row>
      <xdr:rowOff>95250</xdr:rowOff>
    </xdr:from>
    <xdr:to>
      <xdr:col>4</xdr:col>
      <xdr:colOff>0</xdr:colOff>
      <xdr:row>477</xdr:row>
      <xdr:rowOff>76200</xdr:rowOff>
    </xdr:to>
    <xdr:sp>
      <xdr:nvSpPr>
        <xdr:cNvPr id="1286" name="矩形 3496" hidden="1"/>
        <xdr:cNvSpPr>
          <a:spLocks noChangeAspect="1" noChangeArrowheads="1"/>
        </xdr:cNvSpPr>
      </xdr:nvSpPr>
      <xdr:spPr>
        <a:xfrm>
          <a:off x="1371600" y="93665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471</xdr:row>
      <xdr:rowOff>95250</xdr:rowOff>
    </xdr:from>
    <xdr:to>
      <xdr:col>4</xdr:col>
      <xdr:colOff>0</xdr:colOff>
      <xdr:row>477</xdr:row>
      <xdr:rowOff>76200</xdr:rowOff>
    </xdr:to>
    <xdr:sp>
      <xdr:nvSpPr>
        <xdr:cNvPr id="1285" name="矩形 3495" hidden="1"/>
        <xdr:cNvSpPr>
          <a:spLocks noChangeAspect="1" noChangeArrowheads="1"/>
        </xdr:cNvSpPr>
      </xdr:nvSpPr>
      <xdr:spPr>
        <a:xfrm>
          <a:off x="1371600" y="93665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471</xdr:row>
      <xdr:rowOff>95250</xdr:rowOff>
    </xdr:from>
    <xdr:to>
      <xdr:col>4</xdr:col>
      <xdr:colOff>0</xdr:colOff>
      <xdr:row>477</xdr:row>
      <xdr:rowOff>76200</xdr:rowOff>
    </xdr:to>
    <xdr:sp>
      <xdr:nvSpPr>
        <xdr:cNvPr id="1284" name="矩形 3494" hidden="1"/>
        <xdr:cNvSpPr>
          <a:spLocks noChangeAspect="1" noChangeArrowheads="1"/>
        </xdr:cNvSpPr>
      </xdr:nvSpPr>
      <xdr:spPr>
        <a:xfrm>
          <a:off x="1371600" y="93665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471</xdr:row>
      <xdr:rowOff>95250</xdr:rowOff>
    </xdr:from>
    <xdr:to>
      <xdr:col>4</xdr:col>
      <xdr:colOff>0</xdr:colOff>
      <xdr:row>477</xdr:row>
      <xdr:rowOff>76200</xdr:rowOff>
    </xdr:to>
    <xdr:sp>
      <xdr:nvSpPr>
        <xdr:cNvPr id="1283" name="矩形 3493" hidden="1"/>
        <xdr:cNvSpPr>
          <a:spLocks noChangeAspect="1" noChangeArrowheads="1"/>
        </xdr:cNvSpPr>
      </xdr:nvSpPr>
      <xdr:spPr>
        <a:xfrm>
          <a:off x="1371600" y="93665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471</xdr:row>
      <xdr:rowOff>95250</xdr:rowOff>
    </xdr:from>
    <xdr:to>
      <xdr:col>4</xdr:col>
      <xdr:colOff>0</xdr:colOff>
      <xdr:row>477</xdr:row>
      <xdr:rowOff>76200</xdr:rowOff>
    </xdr:to>
    <xdr:sp>
      <xdr:nvSpPr>
        <xdr:cNvPr id="1282" name="矩形 3492" hidden="1"/>
        <xdr:cNvSpPr>
          <a:spLocks noChangeAspect="1" noChangeArrowheads="1"/>
        </xdr:cNvSpPr>
      </xdr:nvSpPr>
      <xdr:spPr>
        <a:xfrm>
          <a:off x="1371600" y="93665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471</xdr:row>
      <xdr:rowOff>95250</xdr:rowOff>
    </xdr:from>
    <xdr:to>
      <xdr:col>4</xdr:col>
      <xdr:colOff>0</xdr:colOff>
      <xdr:row>477</xdr:row>
      <xdr:rowOff>76200</xdr:rowOff>
    </xdr:to>
    <xdr:sp>
      <xdr:nvSpPr>
        <xdr:cNvPr id="1281" name="矩形 3491" hidden="1"/>
        <xdr:cNvSpPr>
          <a:spLocks noChangeAspect="1" noChangeArrowheads="1"/>
        </xdr:cNvSpPr>
      </xdr:nvSpPr>
      <xdr:spPr>
        <a:xfrm>
          <a:off x="1371600" y="93665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471</xdr:row>
      <xdr:rowOff>95250</xdr:rowOff>
    </xdr:from>
    <xdr:to>
      <xdr:col>4</xdr:col>
      <xdr:colOff>0</xdr:colOff>
      <xdr:row>477</xdr:row>
      <xdr:rowOff>76200</xdr:rowOff>
    </xdr:to>
    <xdr:sp>
      <xdr:nvSpPr>
        <xdr:cNvPr id="1280" name="矩形 3490" hidden="1"/>
        <xdr:cNvSpPr>
          <a:spLocks noChangeAspect="1" noChangeArrowheads="1"/>
        </xdr:cNvSpPr>
      </xdr:nvSpPr>
      <xdr:spPr>
        <a:xfrm>
          <a:off x="1371600" y="93665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471</xdr:row>
      <xdr:rowOff>95250</xdr:rowOff>
    </xdr:from>
    <xdr:to>
      <xdr:col>4</xdr:col>
      <xdr:colOff>0</xdr:colOff>
      <xdr:row>477</xdr:row>
      <xdr:rowOff>76200</xdr:rowOff>
    </xdr:to>
    <xdr:sp>
      <xdr:nvSpPr>
        <xdr:cNvPr id="1279" name="矩形 3489" hidden="1"/>
        <xdr:cNvSpPr>
          <a:spLocks noChangeAspect="1" noChangeArrowheads="1"/>
        </xdr:cNvSpPr>
      </xdr:nvSpPr>
      <xdr:spPr>
        <a:xfrm>
          <a:off x="1371600" y="93665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471</xdr:row>
      <xdr:rowOff>95250</xdr:rowOff>
    </xdr:from>
    <xdr:to>
      <xdr:col>4</xdr:col>
      <xdr:colOff>0</xdr:colOff>
      <xdr:row>477</xdr:row>
      <xdr:rowOff>76200</xdr:rowOff>
    </xdr:to>
    <xdr:sp>
      <xdr:nvSpPr>
        <xdr:cNvPr id="1278" name="矩形 3488" hidden="1"/>
        <xdr:cNvSpPr>
          <a:spLocks noChangeAspect="1" noChangeArrowheads="1"/>
        </xdr:cNvSpPr>
      </xdr:nvSpPr>
      <xdr:spPr>
        <a:xfrm>
          <a:off x="1371600" y="93665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471</xdr:row>
      <xdr:rowOff>95250</xdr:rowOff>
    </xdr:from>
    <xdr:to>
      <xdr:col>4</xdr:col>
      <xdr:colOff>0</xdr:colOff>
      <xdr:row>477</xdr:row>
      <xdr:rowOff>76200</xdr:rowOff>
    </xdr:to>
    <xdr:sp>
      <xdr:nvSpPr>
        <xdr:cNvPr id="1277" name="矩形 3487" hidden="1"/>
        <xdr:cNvSpPr>
          <a:spLocks noChangeAspect="1" noChangeArrowheads="1"/>
        </xdr:cNvSpPr>
      </xdr:nvSpPr>
      <xdr:spPr>
        <a:xfrm>
          <a:off x="1371600" y="93665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474</xdr:row>
      <xdr:rowOff>66675</xdr:rowOff>
    </xdr:from>
    <xdr:to>
      <xdr:col>4</xdr:col>
      <xdr:colOff>0</xdr:colOff>
      <xdr:row>480</xdr:row>
      <xdr:rowOff>47625</xdr:rowOff>
    </xdr:to>
    <xdr:sp>
      <xdr:nvSpPr>
        <xdr:cNvPr id="1276" name="矩形 3486" hidden="1"/>
        <xdr:cNvSpPr>
          <a:spLocks noChangeAspect="1" noChangeArrowheads="1"/>
        </xdr:cNvSpPr>
      </xdr:nvSpPr>
      <xdr:spPr>
        <a:xfrm>
          <a:off x="1371600" y="942086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474</xdr:row>
      <xdr:rowOff>66675</xdr:rowOff>
    </xdr:from>
    <xdr:to>
      <xdr:col>4</xdr:col>
      <xdr:colOff>0</xdr:colOff>
      <xdr:row>480</xdr:row>
      <xdr:rowOff>47625</xdr:rowOff>
    </xdr:to>
    <xdr:sp>
      <xdr:nvSpPr>
        <xdr:cNvPr id="1275" name="矩形 3485" hidden="1"/>
        <xdr:cNvSpPr>
          <a:spLocks noChangeAspect="1" noChangeArrowheads="1"/>
        </xdr:cNvSpPr>
      </xdr:nvSpPr>
      <xdr:spPr>
        <a:xfrm>
          <a:off x="1371600" y="942086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474</xdr:row>
      <xdr:rowOff>66675</xdr:rowOff>
    </xdr:from>
    <xdr:to>
      <xdr:col>4</xdr:col>
      <xdr:colOff>0</xdr:colOff>
      <xdr:row>480</xdr:row>
      <xdr:rowOff>47625</xdr:rowOff>
    </xdr:to>
    <xdr:sp>
      <xdr:nvSpPr>
        <xdr:cNvPr id="1274" name="矩形 3484" hidden="1"/>
        <xdr:cNvSpPr>
          <a:spLocks noChangeAspect="1" noChangeArrowheads="1"/>
        </xdr:cNvSpPr>
      </xdr:nvSpPr>
      <xdr:spPr>
        <a:xfrm>
          <a:off x="1371600" y="942086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474</xdr:row>
      <xdr:rowOff>66675</xdr:rowOff>
    </xdr:from>
    <xdr:to>
      <xdr:col>4</xdr:col>
      <xdr:colOff>0</xdr:colOff>
      <xdr:row>480</xdr:row>
      <xdr:rowOff>47625</xdr:rowOff>
    </xdr:to>
    <xdr:sp>
      <xdr:nvSpPr>
        <xdr:cNvPr id="1273" name="矩形 3483" hidden="1"/>
        <xdr:cNvSpPr>
          <a:spLocks noChangeAspect="1" noChangeArrowheads="1"/>
        </xdr:cNvSpPr>
      </xdr:nvSpPr>
      <xdr:spPr>
        <a:xfrm>
          <a:off x="1371600" y="942086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474</xdr:row>
      <xdr:rowOff>66675</xdr:rowOff>
    </xdr:from>
    <xdr:to>
      <xdr:col>4</xdr:col>
      <xdr:colOff>0</xdr:colOff>
      <xdr:row>480</xdr:row>
      <xdr:rowOff>47625</xdr:rowOff>
    </xdr:to>
    <xdr:sp>
      <xdr:nvSpPr>
        <xdr:cNvPr id="1272" name="矩形 3482" hidden="1"/>
        <xdr:cNvSpPr>
          <a:spLocks noChangeAspect="1" noChangeArrowheads="1"/>
        </xdr:cNvSpPr>
      </xdr:nvSpPr>
      <xdr:spPr>
        <a:xfrm>
          <a:off x="1371600" y="942086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474</xdr:row>
      <xdr:rowOff>66675</xdr:rowOff>
    </xdr:from>
    <xdr:to>
      <xdr:col>4</xdr:col>
      <xdr:colOff>0</xdr:colOff>
      <xdr:row>480</xdr:row>
      <xdr:rowOff>47625</xdr:rowOff>
    </xdr:to>
    <xdr:sp>
      <xdr:nvSpPr>
        <xdr:cNvPr id="1271" name="矩形 3481" hidden="1"/>
        <xdr:cNvSpPr>
          <a:spLocks noChangeAspect="1" noChangeArrowheads="1"/>
        </xdr:cNvSpPr>
      </xdr:nvSpPr>
      <xdr:spPr>
        <a:xfrm>
          <a:off x="1371600" y="942086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474</xdr:row>
      <xdr:rowOff>66675</xdr:rowOff>
    </xdr:from>
    <xdr:to>
      <xdr:col>4</xdr:col>
      <xdr:colOff>0</xdr:colOff>
      <xdr:row>480</xdr:row>
      <xdr:rowOff>47625</xdr:rowOff>
    </xdr:to>
    <xdr:sp>
      <xdr:nvSpPr>
        <xdr:cNvPr id="1270" name="矩形 3480" hidden="1"/>
        <xdr:cNvSpPr>
          <a:spLocks noChangeAspect="1" noChangeArrowheads="1"/>
        </xdr:cNvSpPr>
      </xdr:nvSpPr>
      <xdr:spPr>
        <a:xfrm>
          <a:off x="1371600" y="942086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474</xdr:row>
      <xdr:rowOff>66675</xdr:rowOff>
    </xdr:from>
    <xdr:to>
      <xdr:col>4</xdr:col>
      <xdr:colOff>0</xdr:colOff>
      <xdr:row>480</xdr:row>
      <xdr:rowOff>47625</xdr:rowOff>
    </xdr:to>
    <xdr:sp>
      <xdr:nvSpPr>
        <xdr:cNvPr id="1269" name="矩形 3479" hidden="1"/>
        <xdr:cNvSpPr>
          <a:spLocks noChangeAspect="1" noChangeArrowheads="1"/>
        </xdr:cNvSpPr>
      </xdr:nvSpPr>
      <xdr:spPr>
        <a:xfrm>
          <a:off x="1371600" y="942086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474</xdr:row>
      <xdr:rowOff>66675</xdr:rowOff>
    </xdr:from>
    <xdr:to>
      <xdr:col>4</xdr:col>
      <xdr:colOff>0</xdr:colOff>
      <xdr:row>480</xdr:row>
      <xdr:rowOff>47625</xdr:rowOff>
    </xdr:to>
    <xdr:sp>
      <xdr:nvSpPr>
        <xdr:cNvPr id="1268" name="矩形 3478" hidden="1"/>
        <xdr:cNvSpPr>
          <a:spLocks noChangeAspect="1" noChangeArrowheads="1"/>
        </xdr:cNvSpPr>
      </xdr:nvSpPr>
      <xdr:spPr>
        <a:xfrm>
          <a:off x="1371600" y="942086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474</xdr:row>
      <xdr:rowOff>66675</xdr:rowOff>
    </xdr:from>
    <xdr:to>
      <xdr:col>4</xdr:col>
      <xdr:colOff>0</xdr:colOff>
      <xdr:row>480</xdr:row>
      <xdr:rowOff>47625</xdr:rowOff>
    </xdr:to>
    <xdr:sp>
      <xdr:nvSpPr>
        <xdr:cNvPr id="1267" name="矩形 3477" hidden="1"/>
        <xdr:cNvSpPr>
          <a:spLocks noChangeAspect="1" noChangeArrowheads="1"/>
        </xdr:cNvSpPr>
      </xdr:nvSpPr>
      <xdr:spPr>
        <a:xfrm>
          <a:off x="1371600" y="942086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474</xdr:row>
      <xdr:rowOff>66675</xdr:rowOff>
    </xdr:from>
    <xdr:to>
      <xdr:col>4</xdr:col>
      <xdr:colOff>0</xdr:colOff>
      <xdr:row>480</xdr:row>
      <xdr:rowOff>47625</xdr:rowOff>
    </xdr:to>
    <xdr:sp>
      <xdr:nvSpPr>
        <xdr:cNvPr id="1266" name="矩形 3476" hidden="1"/>
        <xdr:cNvSpPr>
          <a:spLocks noChangeAspect="1" noChangeArrowheads="1"/>
        </xdr:cNvSpPr>
      </xdr:nvSpPr>
      <xdr:spPr>
        <a:xfrm>
          <a:off x="1371600" y="942086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474</xdr:row>
      <xdr:rowOff>66675</xdr:rowOff>
    </xdr:from>
    <xdr:to>
      <xdr:col>4</xdr:col>
      <xdr:colOff>0</xdr:colOff>
      <xdr:row>480</xdr:row>
      <xdr:rowOff>47625</xdr:rowOff>
    </xdr:to>
    <xdr:sp>
      <xdr:nvSpPr>
        <xdr:cNvPr id="1265" name="矩形 3475" hidden="1"/>
        <xdr:cNvSpPr>
          <a:spLocks noChangeAspect="1" noChangeArrowheads="1"/>
        </xdr:cNvSpPr>
      </xdr:nvSpPr>
      <xdr:spPr>
        <a:xfrm>
          <a:off x="1371600" y="942086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474</xdr:row>
      <xdr:rowOff>66675</xdr:rowOff>
    </xdr:from>
    <xdr:to>
      <xdr:col>4</xdr:col>
      <xdr:colOff>0</xdr:colOff>
      <xdr:row>480</xdr:row>
      <xdr:rowOff>47625</xdr:rowOff>
    </xdr:to>
    <xdr:sp>
      <xdr:nvSpPr>
        <xdr:cNvPr id="1264" name="矩形 3474" hidden="1"/>
        <xdr:cNvSpPr>
          <a:spLocks noChangeAspect="1" noChangeArrowheads="1"/>
        </xdr:cNvSpPr>
      </xdr:nvSpPr>
      <xdr:spPr>
        <a:xfrm>
          <a:off x="1371600" y="942086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474</xdr:row>
      <xdr:rowOff>66675</xdr:rowOff>
    </xdr:from>
    <xdr:to>
      <xdr:col>4</xdr:col>
      <xdr:colOff>0</xdr:colOff>
      <xdr:row>480</xdr:row>
      <xdr:rowOff>47625</xdr:rowOff>
    </xdr:to>
    <xdr:sp>
      <xdr:nvSpPr>
        <xdr:cNvPr id="1263" name="矩形 3473" hidden="1"/>
        <xdr:cNvSpPr>
          <a:spLocks noChangeAspect="1" noChangeArrowheads="1"/>
        </xdr:cNvSpPr>
      </xdr:nvSpPr>
      <xdr:spPr>
        <a:xfrm>
          <a:off x="1371600" y="942086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477</xdr:row>
      <xdr:rowOff>38100</xdr:rowOff>
    </xdr:from>
    <xdr:to>
      <xdr:col>4</xdr:col>
      <xdr:colOff>0</xdr:colOff>
      <xdr:row>483</xdr:row>
      <xdr:rowOff>19050</xdr:rowOff>
    </xdr:to>
    <xdr:sp>
      <xdr:nvSpPr>
        <xdr:cNvPr id="1262" name="矩形 3472" hidden="1"/>
        <xdr:cNvSpPr>
          <a:spLocks noChangeAspect="1" noChangeArrowheads="1"/>
        </xdr:cNvSpPr>
      </xdr:nvSpPr>
      <xdr:spPr>
        <a:xfrm>
          <a:off x="1371600" y="947515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477</xdr:row>
      <xdr:rowOff>38100</xdr:rowOff>
    </xdr:from>
    <xdr:to>
      <xdr:col>4</xdr:col>
      <xdr:colOff>0</xdr:colOff>
      <xdr:row>483</xdr:row>
      <xdr:rowOff>19050</xdr:rowOff>
    </xdr:to>
    <xdr:sp>
      <xdr:nvSpPr>
        <xdr:cNvPr id="1261" name="矩形 3471" hidden="1"/>
        <xdr:cNvSpPr>
          <a:spLocks noChangeAspect="1" noChangeArrowheads="1"/>
        </xdr:cNvSpPr>
      </xdr:nvSpPr>
      <xdr:spPr>
        <a:xfrm>
          <a:off x="1371600" y="947515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477</xdr:row>
      <xdr:rowOff>38100</xdr:rowOff>
    </xdr:from>
    <xdr:to>
      <xdr:col>4</xdr:col>
      <xdr:colOff>0</xdr:colOff>
      <xdr:row>483</xdr:row>
      <xdr:rowOff>19050</xdr:rowOff>
    </xdr:to>
    <xdr:sp>
      <xdr:nvSpPr>
        <xdr:cNvPr id="1260" name="矩形 3470" hidden="1"/>
        <xdr:cNvSpPr>
          <a:spLocks noChangeAspect="1" noChangeArrowheads="1"/>
        </xdr:cNvSpPr>
      </xdr:nvSpPr>
      <xdr:spPr>
        <a:xfrm>
          <a:off x="1371600" y="947515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477</xdr:row>
      <xdr:rowOff>38100</xdr:rowOff>
    </xdr:from>
    <xdr:to>
      <xdr:col>4</xdr:col>
      <xdr:colOff>0</xdr:colOff>
      <xdr:row>483</xdr:row>
      <xdr:rowOff>19050</xdr:rowOff>
    </xdr:to>
    <xdr:sp>
      <xdr:nvSpPr>
        <xdr:cNvPr id="1259" name="矩形 3469" hidden="1"/>
        <xdr:cNvSpPr>
          <a:spLocks noChangeAspect="1" noChangeArrowheads="1"/>
        </xdr:cNvSpPr>
      </xdr:nvSpPr>
      <xdr:spPr>
        <a:xfrm>
          <a:off x="1371600" y="947515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477</xdr:row>
      <xdr:rowOff>38100</xdr:rowOff>
    </xdr:from>
    <xdr:to>
      <xdr:col>4</xdr:col>
      <xdr:colOff>0</xdr:colOff>
      <xdr:row>483</xdr:row>
      <xdr:rowOff>19050</xdr:rowOff>
    </xdr:to>
    <xdr:sp>
      <xdr:nvSpPr>
        <xdr:cNvPr id="1258" name="矩形 3468" hidden="1"/>
        <xdr:cNvSpPr>
          <a:spLocks noChangeAspect="1" noChangeArrowheads="1"/>
        </xdr:cNvSpPr>
      </xdr:nvSpPr>
      <xdr:spPr>
        <a:xfrm>
          <a:off x="1371600" y="947515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477</xdr:row>
      <xdr:rowOff>38100</xdr:rowOff>
    </xdr:from>
    <xdr:to>
      <xdr:col>4</xdr:col>
      <xdr:colOff>0</xdr:colOff>
      <xdr:row>483</xdr:row>
      <xdr:rowOff>19050</xdr:rowOff>
    </xdr:to>
    <xdr:sp>
      <xdr:nvSpPr>
        <xdr:cNvPr id="1257" name="矩形 3467" hidden="1"/>
        <xdr:cNvSpPr>
          <a:spLocks noChangeAspect="1" noChangeArrowheads="1"/>
        </xdr:cNvSpPr>
      </xdr:nvSpPr>
      <xdr:spPr>
        <a:xfrm>
          <a:off x="1371600" y="947515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477</xdr:row>
      <xdr:rowOff>38100</xdr:rowOff>
    </xdr:from>
    <xdr:to>
      <xdr:col>4</xdr:col>
      <xdr:colOff>0</xdr:colOff>
      <xdr:row>483</xdr:row>
      <xdr:rowOff>19050</xdr:rowOff>
    </xdr:to>
    <xdr:sp>
      <xdr:nvSpPr>
        <xdr:cNvPr id="1256" name="矩形 3466" hidden="1"/>
        <xdr:cNvSpPr>
          <a:spLocks noChangeAspect="1" noChangeArrowheads="1"/>
        </xdr:cNvSpPr>
      </xdr:nvSpPr>
      <xdr:spPr>
        <a:xfrm>
          <a:off x="1371600" y="947515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477</xdr:row>
      <xdr:rowOff>38100</xdr:rowOff>
    </xdr:from>
    <xdr:to>
      <xdr:col>4</xdr:col>
      <xdr:colOff>0</xdr:colOff>
      <xdr:row>483</xdr:row>
      <xdr:rowOff>19050</xdr:rowOff>
    </xdr:to>
    <xdr:sp>
      <xdr:nvSpPr>
        <xdr:cNvPr id="1255" name="矩形 3465" hidden="1"/>
        <xdr:cNvSpPr>
          <a:spLocks noChangeAspect="1" noChangeArrowheads="1"/>
        </xdr:cNvSpPr>
      </xdr:nvSpPr>
      <xdr:spPr>
        <a:xfrm>
          <a:off x="1371600" y="947515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477</xdr:row>
      <xdr:rowOff>38100</xdr:rowOff>
    </xdr:from>
    <xdr:to>
      <xdr:col>4</xdr:col>
      <xdr:colOff>0</xdr:colOff>
      <xdr:row>483</xdr:row>
      <xdr:rowOff>19050</xdr:rowOff>
    </xdr:to>
    <xdr:sp>
      <xdr:nvSpPr>
        <xdr:cNvPr id="1254" name="矩形 3464" hidden="1"/>
        <xdr:cNvSpPr>
          <a:spLocks noChangeAspect="1" noChangeArrowheads="1"/>
        </xdr:cNvSpPr>
      </xdr:nvSpPr>
      <xdr:spPr>
        <a:xfrm>
          <a:off x="1371600" y="947515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477</xdr:row>
      <xdr:rowOff>38100</xdr:rowOff>
    </xdr:from>
    <xdr:to>
      <xdr:col>4</xdr:col>
      <xdr:colOff>0</xdr:colOff>
      <xdr:row>483</xdr:row>
      <xdr:rowOff>19050</xdr:rowOff>
    </xdr:to>
    <xdr:sp>
      <xdr:nvSpPr>
        <xdr:cNvPr id="1253" name="矩形 3463" hidden="1"/>
        <xdr:cNvSpPr>
          <a:spLocks noChangeAspect="1" noChangeArrowheads="1"/>
        </xdr:cNvSpPr>
      </xdr:nvSpPr>
      <xdr:spPr>
        <a:xfrm>
          <a:off x="1371600" y="947515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477</xdr:row>
      <xdr:rowOff>38100</xdr:rowOff>
    </xdr:from>
    <xdr:to>
      <xdr:col>4</xdr:col>
      <xdr:colOff>0</xdr:colOff>
      <xdr:row>483</xdr:row>
      <xdr:rowOff>19050</xdr:rowOff>
    </xdr:to>
    <xdr:sp>
      <xdr:nvSpPr>
        <xdr:cNvPr id="1252" name="矩形 3462" hidden="1"/>
        <xdr:cNvSpPr>
          <a:spLocks noChangeAspect="1" noChangeArrowheads="1"/>
        </xdr:cNvSpPr>
      </xdr:nvSpPr>
      <xdr:spPr>
        <a:xfrm>
          <a:off x="1371600" y="947515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477</xdr:row>
      <xdr:rowOff>38100</xdr:rowOff>
    </xdr:from>
    <xdr:to>
      <xdr:col>4</xdr:col>
      <xdr:colOff>0</xdr:colOff>
      <xdr:row>483</xdr:row>
      <xdr:rowOff>19050</xdr:rowOff>
    </xdr:to>
    <xdr:sp>
      <xdr:nvSpPr>
        <xdr:cNvPr id="1251" name="矩形 3461" hidden="1"/>
        <xdr:cNvSpPr>
          <a:spLocks noChangeAspect="1" noChangeArrowheads="1"/>
        </xdr:cNvSpPr>
      </xdr:nvSpPr>
      <xdr:spPr>
        <a:xfrm>
          <a:off x="1371600" y="947515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477</xdr:row>
      <xdr:rowOff>38100</xdr:rowOff>
    </xdr:from>
    <xdr:to>
      <xdr:col>4</xdr:col>
      <xdr:colOff>0</xdr:colOff>
      <xdr:row>483</xdr:row>
      <xdr:rowOff>19050</xdr:rowOff>
    </xdr:to>
    <xdr:sp>
      <xdr:nvSpPr>
        <xdr:cNvPr id="1250" name="矩形 3460" hidden="1"/>
        <xdr:cNvSpPr>
          <a:spLocks noChangeAspect="1" noChangeArrowheads="1"/>
        </xdr:cNvSpPr>
      </xdr:nvSpPr>
      <xdr:spPr>
        <a:xfrm>
          <a:off x="1371600" y="947515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477</xdr:row>
      <xdr:rowOff>38100</xdr:rowOff>
    </xdr:from>
    <xdr:to>
      <xdr:col>4</xdr:col>
      <xdr:colOff>0</xdr:colOff>
      <xdr:row>483</xdr:row>
      <xdr:rowOff>19050</xdr:rowOff>
    </xdr:to>
    <xdr:sp>
      <xdr:nvSpPr>
        <xdr:cNvPr id="1249" name="矩形 3459" hidden="1"/>
        <xdr:cNvSpPr>
          <a:spLocks noChangeAspect="1" noChangeArrowheads="1"/>
        </xdr:cNvSpPr>
      </xdr:nvSpPr>
      <xdr:spPr>
        <a:xfrm>
          <a:off x="1371600" y="947515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480</xdr:row>
      <xdr:rowOff>9525</xdr:rowOff>
    </xdr:from>
    <xdr:to>
      <xdr:col>4</xdr:col>
      <xdr:colOff>0</xdr:colOff>
      <xdr:row>485</xdr:row>
      <xdr:rowOff>171450</xdr:rowOff>
    </xdr:to>
    <xdr:sp>
      <xdr:nvSpPr>
        <xdr:cNvPr id="1248" name="矩形 3458" hidden="1"/>
        <xdr:cNvSpPr>
          <a:spLocks noChangeAspect="1" noChangeArrowheads="1"/>
        </xdr:cNvSpPr>
      </xdr:nvSpPr>
      <xdr:spPr>
        <a:xfrm>
          <a:off x="1371600" y="95294450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480</xdr:row>
      <xdr:rowOff>9525</xdr:rowOff>
    </xdr:from>
    <xdr:to>
      <xdr:col>4</xdr:col>
      <xdr:colOff>0</xdr:colOff>
      <xdr:row>485</xdr:row>
      <xdr:rowOff>171450</xdr:rowOff>
    </xdr:to>
    <xdr:sp>
      <xdr:nvSpPr>
        <xdr:cNvPr id="1247" name="矩形 3457" hidden="1"/>
        <xdr:cNvSpPr>
          <a:spLocks noChangeAspect="1" noChangeArrowheads="1"/>
        </xdr:cNvSpPr>
      </xdr:nvSpPr>
      <xdr:spPr>
        <a:xfrm>
          <a:off x="1371600" y="95294450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480</xdr:row>
      <xdr:rowOff>9525</xdr:rowOff>
    </xdr:from>
    <xdr:to>
      <xdr:col>4</xdr:col>
      <xdr:colOff>0</xdr:colOff>
      <xdr:row>485</xdr:row>
      <xdr:rowOff>171450</xdr:rowOff>
    </xdr:to>
    <xdr:sp>
      <xdr:nvSpPr>
        <xdr:cNvPr id="1246" name="矩形 3456" hidden="1"/>
        <xdr:cNvSpPr>
          <a:spLocks noChangeAspect="1" noChangeArrowheads="1"/>
        </xdr:cNvSpPr>
      </xdr:nvSpPr>
      <xdr:spPr>
        <a:xfrm>
          <a:off x="1371600" y="95294450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480</xdr:row>
      <xdr:rowOff>9525</xdr:rowOff>
    </xdr:from>
    <xdr:to>
      <xdr:col>4</xdr:col>
      <xdr:colOff>0</xdr:colOff>
      <xdr:row>485</xdr:row>
      <xdr:rowOff>171450</xdr:rowOff>
    </xdr:to>
    <xdr:sp>
      <xdr:nvSpPr>
        <xdr:cNvPr id="1245" name="矩形 3455" hidden="1"/>
        <xdr:cNvSpPr>
          <a:spLocks noChangeAspect="1" noChangeArrowheads="1"/>
        </xdr:cNvSpPr>
      </xdr:nvSpPr>
      <xdr:spPr>
        <a:xfrm>
          <a:off x="1371600" y="95294450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480</xdr:row>
      <xdr:rowOff>9525</xdr:rowOff>
    </xdr:from>
    <xdr:to>
      <xdr:col>4</xdr:col>
      <xdr:colOff>0</xdr:colOff>
      <xdr:row>485</xdr:row>
      <xdr:rowOff>171450</xdr:rowOff>
    </xdr:to>
    <xdr:sp>
      <xdr:nvSpPr>
        <xdr:cNvPr id="1244" name="矩形 3454" hidden="1"/>
        <xdr:cNvSpPr>
          <a:spLocks noChangeAspect="1" noChangeArrowheads="1"/>
        </xdr:cNvSpPr>
      </xdr:nvSpPr>
      <xdr:spPr>
        <a:xfrm>
          <a:off x="1371600" y="95294450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480</xdr:row>
      <xdr:rowOff>9525</xdr:rowOff>
    </xdr:from>
    <xdr:to>
      <xdr:col>4</xdr:col>
      <xdr:colOff>0</xdr:colOff>
      <xdr:row>485</xdr:row>
      <xdr:rowOff>171450</xdr:rowOff>
    </xdr:to>
    <xdr:sp>
      <xdr:nvSpPr>
        <xdr:cNvPr id="1243" name="矩形 3453" hidden="1"/>
        <xdr:cNvSpPr>
          <a:spLocks noChangeAspect="1" noChangeArrowheads="1"/>
        </xdr:cNvSpPr>
      </xdr:nvSpPr>
      <xdr:spPr>
        <a:xfrm>
          <a:off x="1371600" y="95294450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480</xdr:row>
      <xdr:rowOff>9525</xdr:rowOff>
    </xdr:from>
    <xdr:to>
      <xdr:col>4</xdr:col>
      <xdr:colOff>0</xdr:colOff>
      <xdr:row>485</xdr:row>
      <xdr:rowOff>171450</xdr:rowOff>
    </xdr:to>
    <xdr:sp>
      <xdr:nvSpPr>
        <xdr:cNvPr id="1242" name="矩形 3452" hidden="1"/>
        <xdr:cNvSpPr>
          <a:spLocks noChangeAspect="1" noChangeArrowheads="1"/>
        </xdr:cNvSpPr>
      </xdr:nvSpPr>
      <xdr:spPr>
        <a:xfrm>
          <a:off x="1371600" y="95294450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480</xdr:row>
      <xdr:rowOff>9525</xdr:rowOff>
    </xdr:from>
    <xdr:to>
      <xdr:col>4</xdr:col>
      <xdr:colOff>0</xdr:colOff>
      <xdr:row>485</xdr:row>
      <xdr:rowOff>171450</xdr:rowOff>
    </xdr:to>
    <xdr:sp>
      <xdr:nvSpPr>
        <xdr:cNvPr id="1241" name="矩形 3451" hidden="1"/>
        <xdr:cNvSpPr>
          <a:spLocks noChangeAspect="1" noChangeArrowheads="1"/>
        </xdr:cNvSpPr>
      </xdr:nvSpPr>
      <xdr:spPr>
        <a:xfrm>
          <a:off x="1371600" y="95294450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480</xdr:row>
      <xdr:rowOff>9525</xdr:rowOff>
    </xdr:from>
    <xdr:to>
      <xdr:col>4</xdr:col>
      <xdr:colOff>0</xdr:colOff>
      <xdr:row>485</xdr:row>
      <xdr:rowOff>171450</xdr:rowOff>
    </xdr:to>
    <xdr:sp>
      <xdr:nvSpPr>
        <xdr:cNvPr id="1240" name="矩形 3450" hidden="1"/>
        <xdr:cNvSpPr>
          <a:spLocks noChangeAspect="1" noChangeArrowheads="1"/>
        </xdr:cNvSpPr>
      </xdr:nvSpPr>
      <xdr:spPr>
        <a:xfrm>
          <a:off x="1371600" y="95294450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480</xdr:row>
      <xdr:rowOff>9525</xdr:rowOff>
    </xdr:from>
    <xdr:to>
      <xdr:col>4</xdr:col>
      <xdr:colOff>0</xdr:colOff>
      <xdr:row>485</xdr:row>
      <xdr:rowOff>171450</xdr:rowOff>
    </xdr:to>
    <xdr:sp>
      <xdr:nvSpPr>
        <xdr:cNvPr id="1239" name="矩形 3449" hidden="1"/>
        <xdr:cNvSpPr>
          <a:spLocks noChangeAspect="1" noChangeArrowheads="1"/>
        </xdr:cNvSpPr>
      </xdr:nvSpPr>
      <xdr:spPr>
        <a:xfrm>
          <a:off x="1371600" y="95294450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480</xdr:row>
      <xdr:rowOff>9525</xdr:rowOff>
    </xdr:from>
    <xdr:to>
      <xdr:col>4</xdr:col>
      <xdr:colOff>0</xdr:colOff>
      <xdr:row>485</xdr:row>
      <xdr:rowOff>171450</xdr:rowOff>
    </xdr:to>
    <xdr:sp>
      <xdr:nvSpPr>
        <xdr:cNvPr id="1238" name="矩形 3448" hidden="1"/>
        <xdr:cNvSpPr>
          <a:spLocks noChangeAspect="1" noChangeArrowheads="1"/>
        </xdr:cNvSpPr>
      </xdr:nvSpPr>
      <xdr:spPr>
        <a:xfrm>
          <a:off x="1371600" y="95294450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480</xdr:row>
      <xdr:rowOff>9525</xdr:rowOff>
    </xdr:from>
    <xdr:to>
      <xdr:col>4</xdr:col>
      <xdr:colOff>0</xdr:colOff>
      <xdr:row>485</xdr:row>
      <xdr:rowOff>171450</xdr:rowOff>
    </xdr:to>
    <xdr:sp>
      <xdr:nvSpPr>
        <xdr:cNvPr id="1237" name="矩形 3447" hidden="1"/>
        <xdr:cNvSpPr>
          <a:spLocks noChangeAspect="1" noChangeArrowheads="1"/>
        </xdr:cNvSpPr>
      </xdr:nvSpPr>
      <xdr:spPr>
        <a:xfrm>
          <a:off x="1371600" y="95294450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480</xdr:row>
      <xdr:rowOff>9525</xdr:rowOff>
    </xdr:from>
    <xdr:to>
      <xdr:col>4</xdr:col>
      <xdr:colOff>0</xdr:colOff>
      <xdr:row>485</xdr:row>
      <xdr:rowOff>171450</xdr:rowOff>
    </xdr:to>
    <xdr:sp>
      <xdr:nvSpPr>
        <xdr:cNvPr id="1236" name="矩形 3446" hidden="1"/>
        <xdr:cNvSpPr>
          <a:spLocks noChangeAspect="1" noChangeArrowheads="1"/>
        </xdr:cNvSpPr>
      </xdr:nvSpPr>
      <xdr:spPr>
        <a:xfrm>
          <a:off x="1371600" y="95294450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480</xdr:row>
      <xdr:rowOff>9525</xdr:rowOff>
    </xdr:from>
    <xdr:to>
      <xdr:col>4</xdr:col>
      <xdr:colOff>0</xdr:colOff>
      <xdr:row>485</xdr:row>
      <xdr:rowOff>171450</xdr:rowOff>
    </xdr:to>
    <xdr:sp>
      <xdr:nvSpPr>
        <xdr:cNvPr id="1235" name="矩形 3445" hidden="1"/>
        <xdr:cNvSpPr>
          <a:spLocks noChangeAspect="1" noChangeArrowheads="1"/>
        </xdr:cNvSpPr>
      </xdr:nvSpPr>
      <xdr:spPr>
        <a:xfrm>
          <a:off x="1371600" y="95294450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482</xdr:row>
      <xdr:rowOff>161925</xdr:rowOff>
    </xdr:from>
    <xdr:to>
      <xdr:col>4</xdr:col>
      <xdr:colOff>0</xdr:colOff>
      <xdr:row>491</xdr:row>
      <xdr:rowOff>114300</xdr:rowOff>
    </xdr:to>
    <xdr:sp>
      <xdr:nvSpPr>
        <xdr:cNvPr id="1234" name="矩形 3444" hidden="1"/>
        <xdr:cNvSpPr>
          <a:spLocks noChangeAspect="1" noChangeArrowheads="1"/>
        </xdr:cNvSpPr>
      </xdr:nvSpPr>
      <xdr:spPr>
        <a:xfrm>
          <a:off x="1371600" y="9582785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482</xdr:row>
      <xdr:rowOff>161925</xdr:rowOff>
    </xdr:from>
    <xdr:to>
      <xdr:col>4</xdr:col>
      <xdr:colOff>0</xdr:colOff>
      <xdr:row>491</xdr:row>
      <xdr:rowOff>114300</xdr:rowOff>
    </xdr:to>
    <xdr:sp>
      <xdr:nvSpPr>
        <xdr:cNvPr id="1233" name="矩形 3443" hidden="1"/>
        <xdr:cNvSpPr>
          <a:spLocks noChangeAspect="1" noChangeArrowheads="1"/>
        </xdr:cNvSpPr>
      </xdr:nvSpPr>
      <xdr:spPr>
        <a:xfrm>
          <a:off x="1371600" y="9582785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482</xdr:row>
      <xdr:rowOff>161925</xdr:rowOff>
    </xdr:from>
    <xdr:to>
      <xdr:col>4</xdr:col>
      <xdr:colOff>0</xdr:colOff>
      <xdr:row>491</xdr:row>
      <xdr:rowOff>114300</xdr:rowOff>
    </xdr:to>
    <xdr:sp>
      <xdr:nvSpPr>
        <xdr:cNvPr id="1232" name="矩形 3442" hidden="1"/>
        <xdr:cNvSpPr>
          <a:spLocks noChangeAspect="1" noChangeArrowheads="1"/>
        </xdr:cNvSpPr>
      </xdr:nvSpPr>
      <xdr:spPr>
        <a:xfrm>
          <a:off x="1371600" y="9582785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482</xdr:row>
      <xdr:rowOff>161925</xdr:rowOff>
    </xdr:from>
    <xdr:to>
      <xdr:col>4</xdr:col>
      <xdr:colOff>0</xdr:colOff>
      <xdr:row>491</xdr:row>
      <xdr:rowOff>114300</xdr:rowOff>
    </xdr:to>
    <xdr:sp>
      <xdr:nvSpPr>
        <xdr:cNvPr id="1231" name="矩形 3441" hidden="1"/>
        <xdr:cNvSpPr>
          <a:spLocks noChangeAspect="1" noChangeArrowheads="1"/>
        </xdr:cNvSpPr>
      </xdr:nvSpPr>
      <xdr:spPr>
        <a:xfrm>
          <a:off x="1371600" y="9582785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482</xdr:row>
      <xdr:rowOff>161925</xdr:rowOff>
    </xdr:from>
    <xdr:to>
      <xdr:col>4</xdr:col>
      <xdr:colOff>0</xdr:colOff>
      <xdr:row>491</xdr:row>
      <xdr:rowOff>114300</xdr:rowOff>
    </xdr:to>
    <xdr:sp>
      <xdr:nvSpPr>
        <xdr:cNvPr id="1230" name="矩形 3440" hidden="1"/>
        <xdr:cNvSpPr>
          <a:spLocks noChangeAspect="1" noChangeArrowheads="1"/>
        </xdr:cNvSpPr>
      </xdr:nvSpPr>
      <xdr:spPr>
        <a:xfrm>
          <a:off x="1371600" y="9582785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482</xdr:row>
      <xdr:rowOff>161925</xdr:rowOff>
    </xdr:from>
    <xdr:to>
      <xdr:col>4</xdr:col>
      <xdr:colOff>0</xdr:colOff>
      <xdr:row>491</xdr:row>
      <xdr:rowOff>114300</xdr:rowOff>
    </xdr:to>
    <xdr:sp>
      <xdr:nvSpPr>
        <xdr:cNvPr id="1229" name="矩形 3439" hidden="1"/>
        <xdr:cNvSpPr>
          <a:spLocks noChangeAspect="1" noChangeArrowheads="1"/>
        </xdr:cNvSpPr>
      </xdr:nvSpPr>
      <xdr:spPr>
        <a:xfrm>
          <a:off x="1371600" y="9582785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482</xdr:row>
      <xdr:rowOff>161925</xdr:rowOff>
    </xdr:from>
    <xdr:to>
      <xdr:col>4</xdr:col>
      <xdr:colOff>0</xdr:colOff>
      <xdr:row>491</xdr:row>
      <xdr:rowOff>114300</xdr:rowOff>
    </xdr:to>
    <xdr:sp>
      <xdr:nvSpPr>
        <xdr:cNvPr id="1228" name="矩形 3438" hidden="1"/>
        <xdr:cNvSpPr>
          <a:spLocks noChangeAspect="1" noChangeArrowheads="1"/>
        </xdr:cNvSpPr>
      </xdr:nvSpPr>
      <xdr:spPr>
        <a:xfrm>
          <a:off x="1371600" y="9582785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482</xdr:row>
      <xdr:rowOff>161925</xdr:rowOff>
    </xdr:from>
    <xdr:to>
      <xdr:col>4</xdr:col>
      <xdr:colOff>0</xdr:colOff>
      <xdr:row>491</xdr:row>
      <xdr:rowOff>114300</xdr:rowOff>
    </xdr:to>
    <xdr:sp>
      <xdr:nvSpPr>
        <xdr:cNvPr id="1227" name="矩形 3437" hidden="1"/>
        <xdr:cNvSpPr>
          <a:spLocks noChangeAspect="1" noChangeArrowheads="1"/>
        </xdr:cNvSpPr>
      </xdr:nvSpPr>
      <xdr:spPr>
        <a:xfrm>
          <a:off x="1371600" y="9582785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482</xdr:row>
      <xdr:rowOff>161925</xdr:rowOff>
    </xdr:from>
    <xdr:to>
      <xdr:col>4</xdr:col>
      <xdr:colOff>0</xdr:colOff>
      <xdr:row>491</xdr:row>
      <xdr:rowOff>114300</xdr:rowOff>
    </xdr:to>
    <xdr:sp>
      <xdr:nvSpPr>
        <xdr:cNvPr id="1226" name="矩形 3436" hidden="1"/>
        <xdr:cNvSpPr>
          <a:spLocks noChangeAspect="1" noChangeArrowheads="1"/>
        </xdr:cNvSpPr>
      </xdr:nvSpPr>
      <xdr:spPr>
        <a:xfrm>
          <a:off x="1371600" y="9582785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482</xdr:row>
      <xdr:rowOff>161925</xdr:rowOff>
    </xdr:from>
    <xdr:to>
      <xdr:col>4</xdr:col>
      <xdr:colOff>0</xdr:colOff>
      <xdr:row>491</xdr:row>
      <xdr:rowOff>114300</xdr:rowOff>
    </xdr:to>
    <xdr:sp>
      <xdr:nvSpPr>
        <xdr:cNvPr id="1225" name="矩形 3435" hidden="1"/>
        <xdr:cNvSpPr>
          <a:spLocks noChangeAspect="1" noChangeArrowheads="1"/>
        </xdr:cNvSpPr>
      </xdr:nvSpPr>
      <xdr:spPr>
        <a:xfrm>
          <a:off x="1371600" y="9582785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482</xdr:row>
      <xdr:rowOff>161925</xdr:rowOff>
    </xdr:from>
    <xdr:to>
      <xdr:col>4</xdr:col>
      <xdr:colOff>0</xdr:colOff>
      <xdr:row>491</xdr:row>
      <xdr:rowOff>114300</xdr:rowOff>
    </xdr:to>
    <xdr:sp>
      <xdr:nvSpPr>
        <xdr:cNvPr id="1224" name="矩形 3434" hidden="1"/>
        <xdr:cNvSpPr>
          <a:spLocks noChangeAspect="1" noChangeArrowheads="1"/>
        </xdr:cNvSpPr>
      </xdr:nvSpPr>
      <xdr:spPr>
        <a:xfrm>
          <a:off x="1371600" y="9582785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482</xdr:row>
      <xdr:rowOff>161925</xdr:rowOff>
    </xdr:from>
    <xdr:to>
      <xdr:col>4</xdr:col>
      <xdr:colOff>0</xdr:colOff>
      <xdr:row>491</xdr:row>
      <xdr:rowOff>114300</xdr:rowOff>
    </xdr:to>
    <xdr:sp>
      <xdr:nvSpPr>
        <xdr:cNvPr id="1223" name="矩形 3433" hidden="1"/>
        <xdr:cNvSpPr>
          <a:spLocks noChangeAspect="1" noChangeArrowheads="1"/>
        </xdr:cNvSpPr>
      </xdr:nvSpPr>
      <xdr:spPr>
        <a:xfrm>
          <a:off x="1371600" y="9582785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482</xdr:row>
      <xdr:rowOff>161925</xdr:rowOff>
    </xdr:from>
    <xdr:to>
      <xdr:col>4</xdr:col>
      <xdr:colOff>0</xdr:colOff>
      <xdr:row>491</xdr:row>
      <xdr:rowOff>114300</xdr:rowOff>
    </xdr:to>
    <xdr:sp>
      <xdr:nvSpPr>
        <xdr:cNvPr id="1222" name="矩形 3432" hidden="1"/>
        <xdr:cNvSpPr>
          <a:spLocks noChangeAspect="1" noChangeArrowheads="1"/>
        </xdr:cNvSpPr>
      </xdr:nvSpPr>
      <xdr:spPr>
        <a:xfrm>
          <a:off x="1371600" y="9582785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482</xdr:row>
      <xdr:rowOff>161925</xdr:rowOff>
    </xdr:from>
    <xdr:to>
      <xdr:col>4</xdr:col>
      <xdr:colOff>0</xdr:colOff>
      <xdr:row>491</xdr:row>
      <xdr:rowOff>114300</xdr:rowOff>
    </xdr:to>
    <xdr:sp>
      <xdr:nvSpPr>
        <xdr:cNvPr id="1221" name="矩形 3431" hidden="1"/>
        <xdr:cNvSpPr>
          <a:spLocks noChangeAspect="1" noChangeArrowheads="1"/>
        </xdr:cNvSpPr>
      </xdr:nvSpPr>
      <xdr:spPr>
        <a:xfrm>
          <a:off x="1371600" y="9582785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494</xdr:row>
      <xdr:rowOff>47625</xdr:rowOff>
    </xdr:to>
    <xdr:sp>
      <xdr:nvSpPr>
        <xdr:cNvPr id="1220" name="矩形 3430" hidden="1"/>
        <xdr:cNvSpPr>
          <a:spLocks noChangeAspect="1" noChangeArrowheads="1"/>
        </xdr:cNvSpPr>
      </xdr:nvSpPr>
      <xdr:spPr>
        <a:xfrm>
          <a:off x="1371600" y="96370775"/>
          <a:ext cx="1533525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494</xdr:row>
      <xdr:rowOff>47625</xdr:rowOff>
    </xdr:to>
    <xdr:sp>
      <xdr:nvSpPr>
        <xdr:cNvPr id="1219" name="矩形 3429" hidden="1"/>
        <xdr:cNvSpPr>
          <a:spLocks noChangeAspect="1" noChangeArrowheads="1"/>
        </xdr:cNvSpPr>
      </xdr:nvSpPr>
      <xdr:spPr>
        <a:xfrm>
          <a:off x="1371600" y="96370775"/>
          <a:ext cx="1533525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494</xdr:row>
      <xdr:rowOff>47625</xdr:rowOff>
    </xdr:to>
    <xdr:sp>
      <xdr:nvSpPr>
        <xdr:cNvPr id="1218" name="矩形 3428" hidden="1"/>
        <xdr:cNvSpPr>
          <a:spLocks noChangeAspect="1" noChangeArrowheads="1"/>
        </xdr:cNvSpPr>
      </xdr:nvSpPr>
      <xdr:spPr>
        <a:xfrm>
          <a:off x="1371600" y="96370775"/>
          <a:ext cx="1533525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494</xdr:row>
      <xdr:rowOff>47625</xdr:rowOff>
    </xdr:to>
    <xdr:sp>
      <xdr:nvSpPr>
        <xdr:cNvPr id="1217" name="矩形 3427" hidden="1"/>
        <xdr:cNvSpPr>
          <a:spLocks noChangeAspect="1" noChangeArrowheads="1"/>
        </xdr:cNvSpPr>
      </xdr:nvSpPr>
      <xdr:spPr>
        <a:xfrm>
          <a:off x="1371600" y="96370775"/>
          <a:ext cx="1533525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494</xdr:row>
      <xdr:rowOff>47625</xdr:rowOff>
    </xdr:to>
    <xdr:sp>
      <xdr:nvSpPr>
        <xdr:cNvPr id="1216" name="矩形 3426" hidden="1"/>
        <xdr:cNvSpPr>
          <a:spLocks noChangeAspect="1" noChangeArrowheads="1"/>
        </xdr:cNvSpPr>
      </xdr:nvSpPr>
      <xdr:spPr>
        <a:xfrm>
          <a:off x="1371600" y="96370775"/>
          <a:ext cx="1533525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494</xdr:row>
      <xdr:rowOff>47625</xdr:rowOff>
    </xdr:to>
    <xdr:sp>
      <xdr:nvSpPr>
        <xdr:cNvPr id="1215" name="矩形 3425" hidden="1"/>
        <xdr:cNvSpPr>
          <a:spLocks noChangeAspect="1" noChangeArrowheads="1"/>
        </xdr:cNvSpPr>
      </xdr:nvSpPr>
      <xdr:spPr>
        <a:xfrm>
          <a:off x="1371600" y="96370775"/>
          <a:ext cx="1533525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494</xdr:row>
      <xdr:rowOff>47625</xdr:rowOff>
    </xdr:to>
    <xdr:sp>
      <xdr:nvSpPr>
        <xdr:cNvPr id="1214" name="矩形 3424" hidden="1"/>
        <xdr:cNvSpPr>
          <a:spLocks noChangeAspect="1" noChangeArrowheads="1"/>
        </xdr:cNvSpPr>
      </xdr:nvSpPr>
      <xdr:spPr>
        <a:xfrm>
          <a:off x="1371600" y="96370775"/>
          <a:ext cx="1533525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494</xdr:row>
      <xdr:rowOff>47625</xdr:rowOff>
    </xdr:to>
    <xdr:sp>
      <xdr:nvSpPr>
        <xdr:cNvPr id="1213" name="矩形 3423" hidden="1"/>
        <xdr:cNvSpPr>
          <a:spLocks noChangeAspect="1" noChangeArrowheads="1"/>
        </xdr:cNvSpPr>
      </xdr:nvSpPr>
      <xdr:spPr>
        <a:xfrm>
          <a:off x="1371600" y="96370775"/>
          <a:ext cx="1533525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494</xdr:row>
      <xdr:rowOff>47625</xdr:rowOff>
    </xdr:to>
    <xdr:sp>
      <xdr:nvSpPr>
        <xdr:cNvPr id="1212" name="矩形 3422" hidden="1"/>
        <xdr:cNvSpPr>
          <a:spLocks noChangeAspect="1" noChangeArrowheads="1"/>
        </xdr:cNvSpPr>
      </xdr:nvSpPr>
      <xdr:spPr>
        <a:xfrm>
          <a:off x="1371600" y="96370775"/>
          <a:ext cx="1533525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494</xdr:row>
      <xdr:rowOff>47625</xdr:rowOff>
    </xdr:to>
    <xdr:sp>
      <xdr:nvSpPr>
        <xdr:cNvPr id="1211" name="矩形 3421" hidden="1"/>
        <xdr:cNvSpPr>
          <a:spLocks noChangeAspect="1" noChangeArrowheads="1"/>
        </xdr:cNvSpPr>
      </xdr:nvSpPr>
      <xdr:spPr>
        <a:xfrm>
          <a:off x="1371600" y="96370775"/>
          <a:ext cx="1533525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494</xdr:row>
      <xdr:rowOff>47625</xdr:rowOff>
    </xdr:to>
    <xdr:sp>
      <xdr:nvSpPr>
        <xdr:cNvPr id="1210" name="矩形 3420" hidden="1"/>
        <xdr:cNvSpPr>
          <a:spLocks noChangeAspect="1" noChangeArrowheads="1"/>
        </xdr:cNvSpPr>
      </xdr:nvSpPr>
      <xdr:spPr>
        <a:xfrm>
          <a:off x="1371600" y="96370775"/>
          <a:ext cx="1533525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494</xdr:row>
      <xdr:rowOff>47625</xdr:rowOff>
    </xdr:to>
    <xdr:sp>
      <xdr:nvSpPr>
        <xdr:cNvPr id="1209" name="矩形 3419" hidden="1"/>
        <xdr:cNvSpPr>
          <a:spLocks noChangeAspect="1" noChangeArrowheads="1"/>
        </xdr:cNvSpPr>
      </xdr:nvSpPr>
      <xdr:spPr>
        <a:xfrm>
          <a:off x="1371600" y="96370775"/>
          <a:ext cx="1533525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494</xdr:row>
      <xdr:rowOff>47625</xdr:rowOff>
    </xdr:to>
    <xdr:sp>
      <xdr:nvSpPr>
        <xdr:cNvPr id="1208" name="矩形 3418" hidden="1"/>
        <xdr:cNvSpPr>
          <a:spLocks noChangeAspect="1" noChangeArrowheads="1"/>
        </xdr:cNvSpPr>
      </xdr:nvSpPr>
      <xdr:spPr>
        <a:xfrm>
          <a:off x="1371600" y="96370775"/>
          <a:ext cx="1533525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494</xdr:row>
      <xdr:rowOff>47625</xdr:rowOff>
    </xdr:to>
    <xdr:sp>
      <xdr:nvSpPr>
        <xdr:cNvPr id="1207" name="矩形 3417" hidden="1"/>
        <xdr:cNvSpPr>
          <a:spLocks noChangeAspect="1" noChangeArrowheads="1"/>
        </xdr:cNvSpPr>
      </xdr:nvSpPr>
      <xdr:spPr>
        <a:xfrm>
          <a:off x="1371600" y="96370775"/>
          <a:ext cx="1533525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491</xdr:row>
      <xdr:rowOff>114300</xdr:rowOff>
    </xdr:to>
    <xdr:sp>
      <xdr:nvSpPr>
        <xdr:cNvPr id="1206" name="矩形 3416" hidden="1"/>
        <xdr:cNvSpPr>
          <a:spLocks noChangeAspect="1" noChangeArrowheads="1"/>
        </xdr:cNvSpPr>
      </xdr:nvSpPr>
      <xdr:spPr>
        <a:xfrm>
          <a:off x="1371600" y="963707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491</xdr:row>
      <xdr:rowOff>114300</xdr:rowOff>
    </xdr:to>
    <xdr:sp>
      <xdr:nvSpPr>
        <xdr:cNvPr id="1205" name="矩形 3415" hidden="1"/>
        <xdr:cNvSpPr>
          <a:spLocks noChangeAspect="1" noChangeArrowheads="1"/>
        </xdr:cNvSpPr>
      </xdr:nvSpPr>
      <xdr:spPr>
        <a:xfrm>
          <a:off x="1371600" y="963707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491</xdr:row>
      <xdr:rowOff>114300</xdr:rowOff>
    </xdr:to>
    <xdr:sp>
      <xdr:nvSpPr>
        <xdr:cNvPr id="1204" name="矩形 3414" hidden="1"/>
        <xdr:cNvSpPr>
          <a:spLocks noChangeAspect="1" noChangeArrowheads="1"/>
        </xdr:cNvSpPr>
      </xdr:nvSpPr>
      <xdr:spPr>
        <a:xfrm>
          <a:off x="1371600" y="963707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491</xdr:row>
      <xdr:rowOff>114300</xdr:rowOff>
    </xdr:to>
    <xdr:sp>
      <xdr:nvSpPr>
        <xdr:cNvPr id="1203" name="矩形 3413" hidden="1"/>
        <xdr:cNvSpPr>
          <a:spLocks noChangeAspect="1" noChangeArrowheads="1"/>
        </xdr:cNvSpPr>
      </xdr:nvSpPr>
      <xdr:spPr>
        <a:xfrm>
          <a:off x="1371600" y="963707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491</xdr:row>
      <xdr:rowOff>114300</xdr:rowOff>
    </xdr:to>
    <xdr:sp>
      <xdr:nvSpPr>
        <xdr:cNvPr id="1202" name="矩形 3412" hidden="1"/>
        <xdr:cNvSpPr>
          <a:spLocks noChangeAspect="1" noChangeArrowheads="1"/>
        </xdr:cNvSpPr>
      </xdr:nvSpPr>
      <xdr:spPr>
        <a:xfrm>
          <a:off x="1371600" y="963707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491</xdr:row>
      <xdr:rowOff>114300</xdr:rowOff>
    </xdr:to>
    <xdr:sp>
      <xdr:nvSpPr>
        <xdr:cNvPr id="1201" name="矩形 3411" hidden="1"/>
        <xdr:cNvSpPr>
          <a:spLocks noChangeAspect="1" noChangeArrowheads="1"/>
        </xdr:cNvSpPr>
      </xdr:nvSpPr>
      <xdr:spPr>
        <a:xfrm>
          <a:off x="1371600" y="963707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491</xdr:row>
      <xdr:rowOff>114300</xdr:rowOff>
    </xdr:to>
    <xdr:sp>
      <xdr:nvSpPr>
        <xdr:cNvPr id="1200" name="矩形 3410" hidden="1"/>
        <xdr:cNvSpPr>
          <a:spLocks noChangeAspect="1" noChangeArrowheads="1"/>
        </xdr:cNvSpPr>
      </xdr:nvSpPr>
      <xdr:spPr>
        <a:xfrm>
          <a:off x="1371600" y="963707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491</xdr:row>
      <xdr:rowOff>114300</xdr:rowOff>
    </xdr:to>
    <xdr:sp>
      <xdr:nvSpPr>
        <xdr:cNvPr id="1199" name="矩形 3409" hidden="1"/>
        <xdr:cNvSpPr>
          <a:spLocks noChangeAspect="1" noChangeArrowheads="1"/>
        </xdr:cNvSpPr>
      </xdr:nvSpPr>
      <xdr:spPr>
        <a:xfrm>
          <a:off x="1371600" y="963707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491</xdr:row>
      <xdr:rowOff>114300</xdr:rowOff>
    </xdr:to>
    <xdr:sp>
      <xdr:nvSpPr>
        <xdr:cNvPr id="1198" name="矩形 3408" hidden="1"/>
        <xdr:cNvSpPr>
          <a:spLocks noChangeAspect="1" noChangeArrowheads="1"/>
        </xdr:cNvSpPr>
      </xdr:nvSpPr>
      <xdr:spPr>
        <a:xfrm>
          <a:off x="1371600" y="963707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491</xdr:row>
      <xdr:rowOff>114300</xdr:rowOff>
    </xdr:to>
    <xdr:sp>
      <xdr:nvSpPr>
        <xdr:cNvPr id="1197" name="矩形 3407" hidden="1"/>
        <xdr:cNvSpPr>
          <a:spLocks noChangeAspect="1" noChangeArrowheads="1"/>
        </xdr:cNvSpPr>
      </xdr:nvSpPr>
      <xdr:spPr>
        <a:xfrm>
          <a:off x="1371600" y="963707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491</xdr:row>
      <xdr:rowOff>114300</xdr:rowOff>
    </xdr:to>
    <xdr:sp>
      <xdr:nvSpPr>
        <xdr:cNvPr id="1196" name="矩形 3406" hidden="1"/>
        <xdr:cNvSpPr>
          <a:spLocks noChangeAspect="1" noChangeArrowheads="1"/>
        </xdr:cNvSpPr>
      </xdr:nvSpPr>
      <xdr:spPr>
        <a:xfrm>
          <a:off x="1371600" y="963707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491</xdr:row>
      <xdr:rowOff>114300</xdr:rowOff>
    </xdr:to>
    <xdr:sp>
      <xdr:nvSpPr>
        <xdr:cNvPr id="1195" name="矩形 3405" hidden="1"/>
        <xdr:cNvSpPr>
          <a:spLocks noChangeAspect="1" noChangeArrowheads="1"/>
        </xdr:cNvSpPr>
      </xdr:nvSpPr>
      <xdr:spPr>
        <a:xfrm>
          <a:off x="1371600" y="963707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491</xdr:row>
      <xdr:rowOff>114300</xdr:rowOff>
    </xdr:to>
    <xdr:sp>
      <xdr:nvSpPr>
        <xdr:cNvPr id="1194" name="矩形 3404" hidden="1"/>
        <xdr:cNvSpPr>
          <a:spLocks noChangeAspect="1" noChangeArrowheads="1"/>
        </xdr:cNvSpPr>
      </xdr:nvSpPr>
      <xdr:spPr>
        <a:xfrm>
          <a:off x="1371600" y="963707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485</xdr:row>
      <xdr:rowOff>133350</xdr:rowOff>
    </xdr:from>
    <xdr:to>
      <xdr:col>4</xdr:col>
      <xdr:colOff>0</xdr:colOff>
      <xdr:row>491</xdr:row>
      <xdr:rowOff>114300</xdr:rowOff>
    </xdr:to>
    <xdr:sp>
      <xdr:nvSpPr>
        <xdr:cNvPr id="1193" name="矩形 3403" hidden="1"/>
        <xdr:cNvSpPr>
          <a:spLocks noChangeAspect="1" noChangeArrowheads="1"/>
        </xdr:cNvSpPr>
      </xdr:nvSpPr>
      <xdr:spPr>
        <a:xfrm>
          <a:off x="1371600" y="963707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497</xdr:row>
      <xdr:rowOff>57150</xdr:rowOff>
    </xdr:to>
    <xdr:sp>
      <xdr:nvSpPr>
        <xdr:cNvPr id="1192" name="矩形 3402" hidden="1"/>
        <xdr:cNvSpPr>
          <a:spLocks noChangeAspect="1" noChangeArrowheads="1"/>
        </xdr:cNvSpPr>
      </xdr:nvSpPr>
      <xdr:spPr>
        <a:xfrm>
          <a:off x="1371600" y="97999550"/>
          <a:ext cx="15335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497</xdr:row>
      <xdr:rowOff>57150</xdr:rowOff>
    </xdr:to>
    <xdr:sp>
      <xdr:nvSpPr>
        <xdr:cNvPr id="1191" name="矩形 3401" hidden="1"/>
        <xdr:cNvSpPr>
          <a:spLocks noChangeAspect="1" noChangeArrowheads="1"/>
        </xdr:cNvSpPr>
      </xdr:nvSpPr>
      <xdr:spPr>
        <a:xfrm>
          <a:off x="1371600" y="97999550"/>
          <a:ext cx="15335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497</xdr:row>
      <xdr:rowOff>57150</xdr:rowOff>
    </xdr:to>
    <xdr:sp>
      <xdr:nvSpPr>
        <xdr:cNvPr id="1190" name="矩形 3400" hidden="1"/>
        <xdr:cNvSpPr>
          <a:spLocks noChangeAspect="1" noChangeArrowheads="1"/>
        </xdr:cNvSpPr>
      </xdr:nvSpPr>
      <xdr:spPr>
        <a:xfrm>
          <a:off x="1371600" y="97999550"/>
          <a:ext cx="15335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497</xdr:row>
      <xdr:rowOff>57150</xdr:rowOff>
    </xdr:to>
    <xdr:sp>
      <xdr:nvSpPr>
        <xdr:cNvPr id="1189" name="矩形 3399" hidden="1"/>
        <xdr:cNvSpPr>
          <a:spLocks noChangeAspect="1" noChangeArrowheads="1"/>
        </xdr:cNvSpPr>
      </xdr:nvSpPr>
      <xdr:spPr>
        <a:xfrm>
          <a:off x="1371600" y="97999550"/>
          <a:ext cx="15335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497</xdr:row>
      <xdr:rowOff>57150</xdr:rowOff>
    </xdr:to>
    <xdr:sp>
      <xdr:nvSpPr>
        <xdr:cNvPr id="1188" name="矩形 3398" hidden="1"/>
        <xdr:cNvSpPr>
          <a:spLocks noChangeAspect="1" noChangeArrowheads="1"/>
        </xdr:cNvSpPr>
      </xdr:nvSpPr>
      <xdr:spPr>
        <a:xfrm>
          <a:off x="1371600" y="97999550"/>
          <a:ext cx="15335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497</xdr:row>
      <xdr:rowOff>57150</xdr:rowOff>
    </xdr:to>
    <xdr:sp>
      <xdr:nvSpPr>
        <xdr:cNvPr id="1187" name="矩形 3397" hidden="1"/>
        <xdr:cNvSpPr>
          <a:spLocks noChangeAspect="1" noChangeArrowheads="1"/>
        </xdr:cNvSpPr>
      </xdr:nvSpPr>
      <xdr:spPr>
        <a:xfrm>
          <a:off x="1371600" y="97999550"/>
          <a:ext cx="15335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497</xdr:row>
      <xdr:rowOff>57150</xdr:rowOff>
    </xdr:to>
    <xdr:sp>
      <xdr:nvSpPr>
        <xdr:cNvPr id="1186" name="矩形 3396" hidden="1"/>
        <xdr:cNvSpPr>
          <a:spLocks noChangeAspect="1" noChangeArrowheads="1"/>
        </xdr:cNvSpPr>
      </xdr:nvSpPr>
      <xdr:spPr>
        <a:xfrm>
          <a:off x="1371600" y="97999550"/>
          <a:ext cx="15335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497</xdr:row>
      <xdr:rowOff>57150</xdr:rowOff>
    </xdr:to>
    <xdr:sp>
      <xdr:nvSpPr>
        <xdr:cNvPr id="1185" name="矩形 3395" hidden="1"/>
        <xdr:cNvSpPr>
          <a:spLocks noChangeAspect="1" noChangeArrowheads="1"/>
        </xdr:cNvSpPr>
      </xdr:nvSpPr>
      <xdr:spPr>
        <a:xfrm>
          <a:off x="1371600" y="97999550"/>
          <a:ext cx="15335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497</xdr:row>
      <xdr:rowOff>57150</xdr:rowOff>
    </xdr:to>
    <xdr:sp>
      <xdr:nvSpPr>
        <xdr:cNvPr id="1184" name="矩形 3394" hidden="1"/>
        <xdr:cNvSpPr>
          <a:spLocks noChangeAspect="1" noChangeArrowheads="1"/>
        </xdr:cNvSpPr>
      </xdr:nvSpPr>
      <xdr:spPr>
        <a:xfrm>
          <a:off x="1371600" y="97999550"/>
          <a:ext cx="15335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497</xdr:row>
      <xdr:rowOff>57150</xdr:rowOff>
    </xdr:to>
    <xdr:sp>
      <xdr:nvSpPr>
        <xdr:cNvPr id="1183" name="矩形 3393" hidden="1"/>
        <xdr:cNvSpPr>
          <a:spLocks noChangeAspect="1" noChangeArrowheads="1"/>
        </xdr:cNvSpPr>
      </xdr:nvSpPr>
      <xdr:spPr>
        <a:xfrm>
          <a:off x="1371600" y="97999550"/>
          <a:ext cx="15335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497</xdr:row>
      <xdr:rowOff>57150</xdr:rowOff>
    </xdr:to>
    <xdr:sp>
      <xdr:nvSpPr>
        <xdr:cNvPr id="1182" name="矩形 3392" hidden="1"/>
        <xdr:cNvSpPr>
          <a:spLocks noChangeAspect="1" noChangeArrowheads="1"/>
        </xdr:cNvSpPr>
      </xdr:nvSpPr>
      <xdr:spPr>
        <a:xfrm>
          <a:off x="1371600" y="97999550"/>
          <a:ext cx="15335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497</xdr:row>
      <xdr:rowOff>57150</xdr:rowOff>
    </xdr:to>
    <xdr:sp>
      <xdr:nvSpPr>
        <xdr:cNvPr id="1181" name="矩形 3391" hidden="1"/>
        <xdr:cNvSpPr>
          <a:spLocks noChangeAspect="1" noChangeArrowheads="1"/>
        </xdr:cNvSpPr>
      </xdr:nvSpPr>
      <xdr:spPr>
        <a:xfrm>
          <a:off x="1371600" y="97999550"/>
          <a:ext cx="15335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497</xdr:row>
      <xdr:rowOff>57150</xdr:rowOff>
    </xdr:to>
    <xdr:sp>
      <xdr:nvSpPr>
        <xdr:cNvPr id="1180" name="矩形 3390" hidden="1"/>
        <xdr:cNvSpPr>
          <a:spLocks noChangeAspect="1" noChangeArrowheads="1"/>
        </xdr:cNvSpPr>
      </xdr:nvSpPr>
      <xdr:spPr>
        <a:xfrm>
          <a:off x="1371600" y="97999550"/>
          <a:ext cx="15335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497</xdr:row>
      <xdr:rowOff>57150</xdr:rowOff>
    </xdr:to>
    <xdr:sp>
      <xdr:nvSpPr>
        <xdr:cNvPr id="1179" name="矩形 3389" hidden="1"/>
        <xdr:cNvSpPr>
          <a:spLocks noChangeAspect="1" noChangeArrowheads="1"/>
        </xdr:cNvSpPr>
      </xdr:nvSpPr>
      <xdr:spPr>
        <a:xfrm>
          <a:off x="1371600" y="97999550"/>
          <a:ext cx="15335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500</xdr:row>
      <xdr:rowOff>28575</xdr:rowOff>
    </xdr:to>
    <xdr:sp>
      <xdr:nvSpPr>
        <xdr:cNvPr id="1178" name="矩形 3388" hidden="1"/>
        <xdr:cNvSpPr>
          <a:spLocks noChangeAspect="1" noChangeArrowheads="1"/>
        </xdr:cNvSpPr>
      </xdr:nvSpPr>
      <xdr:spPr>
        <a:xfrm>
          <a:off x="1371600" y="979995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500</xdr:row>
      <xdr:rowOff>28575</xdr:rowOff>
    </xdr:to>
    <xdr:sp>
      <xdr:nvSpPr>
        <xdr:cNvPr id="1177" name="矩形 3387" hidden="1"/>
        <xdr:cNvSpPr>
          <a:spLocks noChangeAspect="1" noChangeArrowheads="1"/>
        </xdr:cNvSpPr>
      </xdr:nvSpPr>
      <xdr:spPr>
        <a:xfrm>
          <a:off x="1371600" y="979995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500</xdr:row>
      <xdr:rowOff>28575</xdr:rowOff>
    </xdr:to>
    <xdr:sp>
      <xdr:nvSpPr>
        <xdr:cNvPr id="1176" name="矩形 3386" hidden="1"/>
        <xdr:cNvSpPr>
          <a:spLocks noChangeAspect="1" noChangeArrowheads="1"/>
        </xdr:cNvSpPr>
      </xdr:nvSpPr>
      <xdr:spPr>
        <a:xfrm>
          <a:off x="1371600" y="979995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500</xdr:row>
      <xdr:rowOff>28575</xdr:rowOff>
    </xdr:to>
    <xdr:sp>
      <xdr:nvSpPr>
        <xdr:cNvPr id="1175" name="矩形 3385" hidden="1"/>
        <xdr:cNvSpPr>
          <a:spLocks noChangeAspect="1" noChangeArrowheads="1"/>
        </xdr:cNvSpPr>
      </xdr:nvSpPr>
      <xdr:spPr>
        <a:xfrm>
          <a:off x="1371600" y="979995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500</xdr:row>
      <xdr:rowOff>28575</xdr:rowOff>
    </xdr:to>
    <xdr:sp>
      <xdr:nvSpPr>
        <xdr:cNvPr id="1174" name="矩形 3384" hidden="1"/>
        <xdr:cNvSpPr>
          <a:spLocks noChangeAspect="1" noChangeArrowheads="1"/>
        </xdr:cNvSpPr>
      </xdr:nvSpPr>
      <xdr:spPr>
        <a:xfrm>
          <a:off x="1371600" y="979995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500</xdr:row>
      <xdr:rowOff>28575</xdr:rowOff>
    </xdr:to>
    <xdr:sp>
      <xdr:nvSpPr>
        <xdr:cNvPr id="1173" name="矩形 3383" hidden="1"/>
        <xdr:cNvSpPr>
          <a:spLocks noChangeAspect="1" noChangeArrowheads="1"/>
        </xdr:cNvSpPr>
      </xdr:nvSpPr>
      <xdr:spPr>
        <a:xfrm>
          <a:off x="1371600" y="979995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500</xdr:row>
      <xdr:rowOff>28575</xdr:rowOff>
    </xdr:to>
    <xdr:sp>
      <xdr:nvSpPr>
        <xdr:cNvPr id="1172" name="矩形 3382" hidden="1"/>
        <xdr:cNvSpPr>
          <a:spLocks noChangeAspect="1" noChangeArrowheads="1"/>
        </xdr:cNvSpPr>
      </xdr:nvSpPr>
      <xdr:spPr>
        <a:xfrm>
          <a:off x="1371600" y="979995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500</xdr:row>
      <xdr:rowOff>28575</xdr:rowOff>
    </xdr:to>
    <xdr:sp>
      <xdr:nvSpPr>
        <xdr:cNvPr id="1171" name="矩形 3381" hidden="1"/>
        <xdr:cNvSpPr>
          <a:spLocks noChangeAspect="1" noChangeArrowheads="1"/>
        </xdr:cNvSpPr>
      </xdr:nvSpPr>
      <xdr:spPr>
        <a:xfrm>
          <a:off x="1371600" y="979995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500</xdr:row>
      <xdr:rowOff>28575</xdr:rowOff>
    </xdr:to>
    <xdr:sp>
      <xdr:nvSpPr>
        <xdr:cNvPr id="1170" name="矩形 3380" hidden="1"/>
        <xdr:cNvSpPr>
          <a:spLocks noChangeAspect="1" noChangeArrowheads="1"/>
        </xdr:cNvSpPr>
      </xdr:nvSpPr>
      <xdr:spPr>
        <a:xfrm>
          <a:off x="1371600" y="979995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500</xdr:row>
      <xdr:rowOff>28575</xdr:rowOff>
    </xdr:to>
    <xdr:sp>
      <xdr:nvSpPr>
        <xdr:cNvPr id="1169" name="矩形 3379" hidden="1"/>
        <xdr:cNvSpPr>
          <a:spLocks noChangeAspect="1" noChangeArrowheads="1"/>
        </xdr:cNvSpPr>
      </xdr:nvSpPr>
      <xdr:spPr>
        <a:xfrm>
          <a:off x="1371600" y="979995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500</xdr:row>
      <xdr:rowOff>28575</xdr:rowOff>
    </xdr:to>
    <xdr:sp>
      <xdr:nvSpPr>
        <xdr:cNvPr id="1168" name="矩形 3378" hidden="1"/>
        <xdr:cNvSpPr>
          <a:spLocks noChangeAspect="1" noChangeArrowheads="1"/>
        </xdr:cNvSpPr>
      </xdr:nvSpPr>
      <xdr:spPr>
        <a:xfrm>
          <a:off x="1371600" y="979995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500</xdr:row>
      <xdr:rowOff>28575</xdr:rowOff>
    </xdr:to>
    <xdr:sp>
      <xdr:nvSpPr>
        <xdr:cNvPr id="1167" name="矩形 3377" hidden="1"/>
        <xdr:cNvSpPr>
          <a:spLocks noChangeAspect="1" noChangeArrowheads="1"/>
        </xdr:cNvSpPr>
      </xdr:nvSpPr>
      <xdr:spPr>
        <a:xfrm>
          <a:off x="1371600" y="979995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500</xdr:row>
      <xdr:rowOff>28575</xdr:rowOff>
    </xdr:to>
    <xdr:sp>
      <xdr:nvSpPr>
        <xdr:cNvPr id="1166" name="矩形 3376" hidden="1"/>
        <xdr:cNvSpPr>
          <a:spLocks noChangeAspect="1" noChangeArrowheads="1"/>
        </xdr:cNvSpPr>
      </xdr:nvSpPr>
      <xdr:spPr>
        <a:xfrm>
          <a:off x="1371600" y="979995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494</xdr:row>
      <xdr:rowOff>47625</xdr:rowOff>
    </xdr:from>
    <xdr:to>
      <xdr:col>4</xdr:col>
      <xdr:colOff>0</xdr:colOff>
      <xdr:row>500</xdr:row>
      <xdr:rowOff>28575</xdr:rowOff>
    </xdr:to>
    <xdr:sp>
      <xdr:nvSpPr>
        <xdr:cNvPr id="1165" name="矩形 3375" hidden="1"/>
        <xdr:cNvSpPr>
          <a:spLocks noChangeAspect="1" noChangeArrowheads="1"/>
        </xdr:cNvSpPr>
      </xdr:nvSpPr>
      <xdr:spPr>
        <a:xfrm>
          <a:off x="1371600" y="979995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497</xdr:row>
      <xdr:rowOff>19050</xdr:rowOff>
    </xdr:from>
    <xdr:to>
      <xdr:col>4</xdr:col>
      <xdr:colOff>0</xdr:colOff>
      <xdr:row>503</xdr:row>
      <xdr:rowOff>0</xdr:rowOff>
    </xdr:to>
    <xdr:sp>
      <xdr:nvSpPr>
        <xdr:cNvPr id="1164" name="矩形 3374" hidden="1"/>
        <xdr:cNvSpPr>
          <a:spLocks noChangeAspect="1" noChangeArrowheads="1"/>
        </xdr:cNvSpPr>
      </xdr:nvSpPr>
      <xdr:spPr>
        <a:xfrm>
          <a:off x="1371600" y="985424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497</xdr:row>
      <xdr:rowOff>19050</xdr:rowOff>
    </xdr:from>
    <xdr:to>
      <xdr:col>4</xdr:col>
      <xdr:colOff>0</xdr:colOff>
      <xdr:row>503</xdr:row>
      <xdr:rowOff>0</xdr:rowOff>
    </xdr:to>
    <xdr:sp>
      <xdr:nvSpPr>
        <xdr:cNvPr id="1163" name="矩形 3373" hidden="1"/>
        <xdr:cNvSpPr>
          <a:spLocks noChangeAspect="1" noChangeArrowheads="1"/>
        </xdr:cNvSpPr>
      </xdr:nvSpPr>
      <xdr:spPr>
        <a:xfrm>
          <a:off x="1371600" y="985424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497</xdr:row>
      <xdr:rowOff>19050</xdr:rowOff>
    </xdr:from>
    <xdr:to>
      <xdr:col>4</xdr:col>
      <xdr:colOff>0</xdr:colOff>
      <xdr:row>503</xdr:row>
      <xdr:rowOff>0</xdr:rowOff>
    </xdr:to>
    <xdr:sp>
      <xdr:nvSpPr>
        <xdr:cNvPr id="1162" name="矩形 3372" hidden="1"/>
        <xdr:cNvSpPr>
          <a:spLocks noChangeAspect="1" noChangeArrowheads="1"/>
        </xdr:cNvSpPr>
      </xdr:nvSpPr>
      <xdr:spPr>
        <a:xfrm>
          <a:off x="1371600" y="985424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497</xdr:row>
      <xdr:rowOff>19050</xdr:rowOff>
    </xdr:from>
    <xdr:to>
      <xdr:col>4</xdr:col>
      <xdr:colOff>0</xdr:colOff>
      <xdr:row>503</xdr:row>
      <xdr:rowOff>0</xdr:rowOff>
    </xdr:to>
    <xdr:sp>
      <xdr:nvSpPr>
        <xdr:cNvPr id="1161" name="矩形 3371" hidden="1"/>
        <xdr:cNvSpPr>
          <a:spLocks noChangeAspect="1" noChangeArrowheads="1"/>
        </xdr:cNvSpPr>
      </xdr:nvSpPr>
      <xdr:spPr>
        <a:xfrm>
          <a:off x="1371600" y="985424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497</xdr:row>
      <xdr:rowOff>19050</xdr:rowOff>
    </xdr:from>
    <xdr:to>
      <xdr:col>4</xdr:col>
      <xdr:colOff>0</xdr:colOff>
      <xdr:row>503</xdr:row>
      <xdr:rowOff>0</xdr:rowOff>
    </xdr:to>
    <xdr:sp>
      <xdr:nvSpPr>
        <xdr:cNvPr id="1160" name="矩形 3370" hidden="1"/>
        <xdr:cNvSpPr>
          <a:spLocks noChangeAspect="1" noChangeArrowheads="1"/>
        </xdr:cNvSpPr>
      </xdr:nvSpPr>
      <xdr:spPr>
        <a:xfrm>
          <a:off x="1371600" y="985424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497</xdr:row>
      <xdr:rowOff>19050</xdr:rowOff>
    </xdr:from>
    <xdr:to>
      <xdr:col>4</xdr:col>
      <xdr:colOff>0</xdr:colOff>
      <xdr:row>503</xdr:row>
      <xdr:rowOff>0</xdr:rowOff>
    </xdr:to>
    <xdr:sp>
      <xdr:nvSpPr>
        <xdr:cNvPr id="1159" name="矩形 3369" hidden="1"/>
        <xdr:cNvSpPr>
          <a:spLocks noChangeAspect="1" noChangeArrowheads="1"/>
        </xdr:cNvSpPr>
      </xdr:nvSpPr>
      <xdr:spPr>
        <a:xfrm>
          <a:off x="1371600" y="985424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497</xdr:row>
      <xdr:rowOff>19050</xdr:rowOff>
    </xdr:from>
    <xdr:to>
      <xdr:col>4</xdr:col>
      <xdr:colOff>0</xdr:colOff>
      <xdr:row>503</xdr:row>
      <xdr:rowOff>0</xdr:rowOff>
    </xdr:to>
    <xdr:sp>
      <xdr:nvSpPr>
        <xdr:cNvPr id="1158" name="矩形 3368" hidden="1"/>
        <xdr:cNvSpPr>
          <a:spLocks noChangeAspect="1" noChangeArrowheads="1"/>
        </xdr:cNvSpPr>
      </xdr:nvSpPr>
      <xdr:spPr>
        <a:xfrm>
          <a:off x="1371600" y="985424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497</xdr:row>
      <xdr:rowOff>19050</xdr:rowOff>
    </xdr:from>
    <xdr:to>
      <xdr:col>4</xdr:col>
      <xdr:colOff>0</xdr:colOff>
      <xdr:row>503</xdr:row>
      <xdr:rowOff>0</xdr:rowOff>
    </xdr:to>
    <xdr:sp>
      <xdr:nvSpPr>
        <xdr:cNvPr id="1157" name="矩形 3367" hidden="1"/>
        <xdr:cNvSpPr>
          <a:spLocks noChangeAspect="1" noChangeArrowheads="1"/>
        </xdr:cNvSpPr>
      </xdr:nvSpPr>
      <xdr:spPr>
        <a:xfrm>
          <a:off x="1371600" y="985424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497</xdr:row>
      <xdr:rowOff>19050</xdr:rowOff>
    </xdr:from>
    <xdr:to>
      <xdr:col>4</xdr:col>
      <xdr:colOff>0</xdr:colOff>
      <xdr:row>503</xdr:row>
      <xdr:rowOff>0</xdr:rowOff>
    </xdr:to>
    <xdr:sp>
      <xdr:nvSpPr>
        <xdr:cNvPr id="1156" name="矩形 3366" hidden="1"/>
        <xdr:cNvSpPr>
          <a:spLocks noChangeAspect="1" noChangeArrowheads="1"/>
        </xdr:cNvSpPr>
      </xdr:nvSpPr>
      <xdr:spPr>
        <a:xfrm>
          <a:off x="1371600" y="985424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497</xdr:row>
      <xdr:rowOff>19050</xdr:rowOff>
    </xdr:from>
    <xdr:to>
      <xdr:col>4</xdr:col>
      <xdr:colOff>0</xdr:colOff>
      <xdr:row>503</xdr:row>
      <xdr:rowOff>0</xdr:rowOff>
    </xdr:to>
    <xdr:sp>
      <xdr:nvSpPr>
        <xdr:cNvPr id="1155" name="矩形 3365" hidden="1"/>
        <xdr:cNvSpPr>
          <a:spLocks noChangeAspect="1" noChangeArrowheads="1"/>
        </xdr:cNvSpPr>
      </xdr:nvSpPr>
      <xdr:spPr>
        <a:xfrm>
          <a:off x="1371600" y="985424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497</xdr:row>
      <xdr:rowOff>19050</xdr:rowOff>
    </xdr:from>
    <xdr:to>
      <xdr:col>4</xdr:col>
      <xdr:colOff>0</xdr:colOff>
      <xdr:row>503</xdr:row>
      <xdr:rowOff>0</xdr:rowOff>
    </xdr:to>
    <xdr:sp>
      <xdr:nvSpPr>
        <xdr:cNvPr id="1154" name="矩形 3364" hidden="1"/>
        <xdr:cNvSpPr>
          <a:spLocks noChangeAspect="1" noChangeArrowheads="1"/>
        </xdr:cNvSpPr>
      </xdr:nvSpPr>
      <xdr:spPr>
        <a:xfrm>
          <a:off x="1371600" y="985424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497</xdr:row>
      <xdr:rowOff>19050</xdr:rowOff>
    </xdr:from>
    <xdr:to>
      <xdr:col>4</xdr:col>
      <xdr:colOff>0</xdr:colOff>
      <xdr:row>503</xdr:row>
      <xdr:rowOff>0</xdr:rowOff>
    </xdr:to>
    <xdr:sp>
      <xdr:nvSpPr>
        <xdr:cNvPr id="1153" name="矩形 3363" hidden="1"/>
        <xdr:cNvSpPr>
          <a:spLocks noChangeAspect="1" noChangeArrowheads="1"/>
        </xdr:cNvSpPr>
      </xdr:nvSpPr>
      <xdr:spPr>
        <a:xfrm>
          <a:off x="1371600" y="985424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497</xdr:row>
      <xdr:rowOff>19050</xdr:rowOff>
    </xdr:from>
    <xdr:to>
      <xdr:col>4</xdr:col>
      <xdr:colOff>0</xdr:colOff>
      <xdr:row>503</xdr:row>
      <xdr:rowOff>0</xdr:rowOff>
    </xdr:to>
    <xdr:sp>
      <xdr:nvSpPr>
        <xdr:cNvPr id="1152" name="矩形 3362" hidden="1"/>
        <xdr:cNvSpPr>
          <a:spLocks noChangeAspect="1" noChangeArrowheads="1"/>
        </xdr:cNvSpPr>
      </xdr:nvSpPr>
      <xdr:spPr>
        <a:xfrm>
          <a:off x="1371600" y="985424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497</xdr:row>
      <xdr:rowOff>19050</xdr:rowOff>
    </xdr:from>
    <xdr:to>
      <xdr:col>4</xdr:col>
      <xdr:colOff>0</xdr:colOff>
      <xdr:row>503</xdr:row>
      <xdr:rowOff>0</xdr:rowOff>
    </xdr:to>
    <xdr:sp>
      <xdr:nvSpPr>
        <xdr:cNvPr id="1151" name="矩形 3361" hidden="1"/>
        <xdr:cNvSpPr>
          <a:spLocks noChangeAspect="1" noChangeArrowheads="1"/>
        </xdr:cNvSpPr>
      </xdr:nvSpPr>
      <xdr:spPr>
        <a:xfrm>
          <a:off x="1371600" y="985424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499</xdr:row>
      <xdr:rowOff>171450</xdr:rowOff>
    </xdr:from>
    <xdr:to>
      <xdr:col>4</xdr:col>
      <xdr:colOff>0</xdr:colOff>
      <xdr:row>505</xdr:row>
      <xdr:rowOff>152400</xdr:rowOff>
    </xdr:to>
    <xdr:sp>
      <xdr:nvSpPr>
        <xdr:cNvPr id="1150" name="矩形 3360" hidden="1"/>
        <xdr:cNvSpPr>
          <a:spLocks noChangeAspect="1" noChangeArrowheads="1"/>
        </xdr:cNvSpPr>
      </xdr:nvSpPr>
      <xdr:spPr>
        <a:xfrm>
          <a:off x="1371600" y="99075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499</xdr:row>
      <xdr:rowOff>171450</xdr:rowOff>
    </xdr:from>
    <xdr:to>
      <xdr:col>4</xdr:col>
      <xdr:colOff>0</xdr:colOff>
      <xdr:row>505</xdr:row>
      <xdr:rowOff>152400</xdr:rowOff>
    </xdr:to>
    <xdr:sp>
      <xdr:nvSpPr>
        <xdr:cNvPr id="1149" name="矩形 3359" hidden="1"/>
        <xdr:cNvSpPr>
          <a:spLocks noChangeAspect="1" noChangeArrowheads="1"/>
        </xdr:cNvSpPr>
      </xdr:nvSpPr>
      <xdr:spPr>
        <a:xfrm>
          <a:off x="1371600" y="99075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499</xdr:row>
      <xdr:rowOff>171450</xdr:rowOff>
    </xdr:from>
    <xdr:to>
      <xdr:col>4</xdr:col>
      <xdr:colOff>0</xdr:colOff>
      <xdr:row>505</xdr:row>
      <xdr:rowOff>152400</xdr:rowOff>
    </xdr:to>
    <xdr:sp>
      <xdr:nvSpPr>
        <xdr:cNvPr id="1148" name="矩形 3358" hidden="1"/>
        <xdr:cNvSpPr>
          <a:spLocks noChangeAspect="1" noChangeArrowheads="1"/>
        </xdr:cNvSpPr>
      </xdr:nvSpPr>
      <xdr:spPr>
        <a:xfrm>
          <a:off x="1371600" y="99075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499</xdr:row>
      <xdr:rowOff>171450</xdr:rowOff>
    </xdr:from>
    <xdr:to>
      <xdr:col>4</xdr:col>
      <xdr:colOff>0</xdr:colOff>
      <xdr:row>505</xdr:row>
      <xdr:rowOff>152400</xdr:rowOff>
    </xdr:to>
    <xdr:sp>
      <xdr:nvSpPr>
        <xdr:cNvPr id="1147" name="矩形 3357" hidden="1"/>
        <xdr:cNvSpPr>
          <a:spLocks noChangeAspect="1" noChangeArrowheads="1"/>
        </xdr:cNvSpPr>
      </xdr:nvSpPr>
      <xdr:spPr>
        <a:xfrm>
          <a:off x="1371600" y="99075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499</xdr:row>
      <xdr:rowOff>171450</xdr:rowOff>
    </xdr:from>
    <xdr:to>
      <xdr:col>4</xdr:col>
      <xdr:colOff>0</xdr:colOff>
      <xdr:row>505</xdr:row>
      <xdr:rowOff>152400</xdr:rowOff>
    </xdr:to>
    <xdr:sp>
      <xdr:nvSpPr>
        <xdr:cNvPr id="1146" name="矩形 3356" hidden="1"/>
        <xdr:cNvSpPr>
          <a:spLocks noChangeAspect="1" noChangeArrowheads="1"/>
        </xdr:cNvSpPr>
      </xdr:nvSpPr>
      <xdr:spPr>
        <a:xfrm>
          <a:off x="1371600" y="99075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499</xdr:row>
      <xdr:rowOff>171450</xdr:rowOff>
    </xdr:from>
    <xdr:to>
      <xdr:col>4</xdr:col>
      <xdr:colOff>0</xdr:colOff>
      <xdr:row>505</xdr:row>
      <xdr:rowOff>152400</xdr:rowOff>
    </xdr:to>
    <xdr:sp>
      <xdr:nvSpPr>
        <xdr:cNvPr id="1145" name="矩形 3355" hidden="1"/>
        <xdr:cNvSpPr>
          <a:spLocks noChangeAspect="1" noChangeArrowheads="1"/>
        </xdr:cNvSpPr>
      </xdr:nvSpPr>
      <xdr:spPr>
        <a:xfrm>
          <a:off x="1371600" y="99075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499</xdr:row>
      <xdr:rowOff>171450</xdr:rowOff>
    </xdr:from>
    <xdr:to>
      <xdr:col>4</xdr:col>
      <xdr:colOff>0</xdr:colOff>
      <xdr:row>505</xdr:row>
      <xdr:rowOff>152400</xdr:rowOff>
    </xdr:to>
    <xdr:sp>
      <xdr:nvSpPr>
        <xdr:cNvPr id="1144" name="矩形 3354" hidden="1"/>
        <xdr:cNvSpPr>
          <a:spLocks noChangeAspect="1" noChangeArrowheads="1"/>
        </xdr:cNvSpPr>
      </xdr:nvSpPr>
      <xdr:spPr>
        <a:xfrm>
          <a:off x="1371600" y="99075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499</xdr:row>
      <xdr:rowOff>171450</xdr:rowOff>
    </xdr:from>
    <xdr:to>
      <xdr:col>4</xdr:col>
      <xdr:colOff>0</xdr:colOff>
      <xdr:row>505</xdr:row>
      <xdr:rowOff>152400</xdr:rowOff>
    </xdr:to>
    <xdr:sp>
      <xdr:nvSpPr>
        <xdr:cNvPr id="1143" name="矩形 3353" hidden="1"/>
        <xdr:cNvSpPr>
          <a:spLocks noChangeAspect="1" noChangeArrowheads="1"/>
        </xdr:cNvSpPr>
      </xdr:nvSpPr>
      <xdr:spPr>
        <a:xfrm>
          <a:off x="1371600" y="99075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499</xdr:row>
      <xdr:rowOff>171450</xdr:rowOff>
    </xdr:from>
    <xdr:to>
      <xdr:col>4</xdr:col>
      <xdr:colOff>0</xdr:colOff>
      <xdr:row>505</xdr:row>
      <xdr:rowOff>152400</xdr:rowOff>
    </xdr:to>
    <xdr:sp>
      <xdr:nvSpPr>
        <xdr:cNvPr id="1142" name="矩形 3352" hidden="1"/>
        <xdr:cNvSpPr>
          <a:spLocks noChangeAspect="1" noChangeArrowheads="1"/>
        </xdr:cNvSpPr>
      </xdr:nvSpPr>
      <xdr:spPr>
        <a:xfrm>
          <a:off x="1371600" y="99075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499</xdr:row>
      <xdr:rowOff>171450</xdr:rowOff>
    </xdr:from>
    <xdr:to>
      <xdr:col>4</xdr:col>
      <xdr:colOff>0</xdr:colOff>
      <xdr:row>505</xdr:row>
      <xdr:rowOff>152400</xdr:rowOff>
    </xdr:to>
    <xdr:sp>
      <xdr:nvSpPr>
        <xdr:cNvPr id="1141" name="矩形 3351" hidden="1"/>
        <xdr:cNvSpPr>
          <a:spLocks noChangeAspect="1" noChangeArrowheads="1"/>
        </xdr:cNvSpPr>
      </xdr:nvSpPr>
      <xdr:spPr>
        <a:xfrm>
          <a:off x="1371600" y="99075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499</xdr:row>
      <xdr:rowOff>171450</xdr:rowOff>
    </xdr:from>
    <xdr:to>
      <xdr:col>4</xdr:col>
      <xdr:colOff>0</xdr:colOff>
      <xdr:row>505</xdr:row>
      <xdr:rowOff>152400</xdr:rowOff>
    </xdr:to>
    <xdr:sp>
      <xdr:nvSpPr>
        <xdr:cNvPr id="1140" name="矩形 3350" hidden="1"/>
        <xdr:cNvSpPr>
          <a:spLocks noChangeAspect="1" noChangeArrowheads="1"/>
        </xdr:cNvSpPr>
      </xdr:nvSpPr>
      <xdr:spPr>
        <a:xfrm>
          <a:off x="1371600" y="99075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499</xdr:row>
      <xdr:rowOff>171450</xdr:rowOff>
    </xdr:from>
    <xdr:to>
      <xdr:col>4</xdr:col>
      <xdr:colOff>0</xdr:colOff>
      <xdr:row>505</xdr:row>
      <xdr:rowOff>152400</xdr:rowOff>
    </xdr:to>
    <xdr:sp>
      <xdr:nvSpPr>
        <xdr:cNvPr id="1139" name="矩形 3349" hidden="1"/>
        <xdr:cNvSpPr>
          <a:spLocks noChangeAspect="1" noChangeArrowheads="1"/>
        </xdr:cNvSpPr>
      </xdr:nvSpPr>
      <xdr:spPr>
        <a:xfrm>
          <a:off x="1371600" y="99075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499</xdr:row>
      <xdr:rowOff>171450</xdr:rowOff>
    </xdr:from>
    <xdr:to>
      <xdr:col>4</xdr:col>
      <xdr:colOff>0</xdr:colOff>
      <xdr:row>505</xdr:row>
      <xdr:rowOff>152400</xdr:rowOff>
    </xdr:to>
    <xdr:sp>
      <xdr:nvSpPr>
        <xdr:cNvPr id="1138" name="矩形 3348" hidden="1"/>
        <xdr:cNvSpPr>
          <a:spLocks noChangeAspect="1" noChangeArrowheads="1"/>
        </xdr:cNvSpPr>
      </xdr:nvSpPr>
      <xdr:spPr>
        <a:xfrm>
          <a:off x="1371600" y="99075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499</xdr:row>
      <xdr:rowOff>171450</xdr:rowOff>
    </xdr:from>
    <xdr:to>
      <xdr:col>4</xdr:col>
      <xdr:colOff>0</xdr:colOff>
      <xdr:row>505</xdr:row>
      <xdr:rowOff>152400</xdr:rowOff>
    </xdr:to>
    <xdr:sp>
      <xdr:nvSpPr>
        <xdr:cNvPr id="1137" name="矩形 3347" hidden="1"/>
        <xdr:cNvSpPr>
          <a:spLocks noChangeAspect="1" noChangeArrowheads="1"/>
        </xdr:cNvSpPr>
      </xdr:nvSpPr>
      <xdr:spPr>
        <a:xfrm>
          <a:off x="1371600" y="990758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502</xdr:row>
      <xdr:rowOff>142875</xdr:rowOff>
    </xdr:from>
    <xdr:to>
      <xdr:col>4</xdr:col>
      <xdr:colOff>0</xdr:colOff>
      <xdr:row>511</xdr:row>
      <xdr:rowOff>95250</xdr:rowOff>
    </xdr:to>
    <xdr:sp>
      <xdr:nvSpPr>
        <xdr:cNvPr id="1136" name="矩形 3346" hidden="1"/>
        <xdr:cNvSpPr>
          <a:spLocks noChangeAspect="1" noChangeArrowheads="1"/>
        </xdr:cNvSpPr>
      </xdr:nvSpPr>
      <xdr:spPr>
        <a:xfrm>
          <a:off x="1371600" y="9961880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502</xdr:row>
      <xdr:rowOff>142875</xdr:rowOff>
    </xdr:from>
    <xdr:to>
      <xdr:col>4</xdr:col>
      <xdr:colOff>0</xdr:colOff>
      <xdr:row>511</xdr:row>
      <xdr:rowOff>95250</xdr:rowOff>
    </xdr:to>
    <xdr:sp>
      <xdr:nvSpPr>
        <xdr:cNvPr id="1135" name="矩形 3345" hidden="1"/>
        <xdr:cNvSpPr>
          <a:spLocks noChangeAspect="1" noChangeArrowheads="1"/>
        </xdr:cNvSpPr>
      </xdr:nvSpPr>
      <xdr:spPr>
        <a:xfrm>
          <a:off x="1371600" y="9961880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502</xdr:row>
      <xdr:rowOff>142875</xdr:rowOff>
    </xdr:from>
    <xdr:to>
      <xdr:col>4</xdr:col>
      <xdr:colOff>0</xdr:colOff>
      <xdr:row>511</xdr:row>
      <xdr:rowOff>95250</xdr:rowOff>
    </xdr:to>
    <xdr:sp>
      <xdr:nvSpPr>
        <xdr:cNvPr id="1134" name="矩形 3344" hidden="1"/>
        <xdr:cNvSpPr>
          <a:spLocks noChangeAspect="1" noChangeArrowheads="1"/>
        </xdr:cNvSpPr>
      </xdr:nvSpPr>
      <xdr:spPr>
        <a:xfrm>
          <a:off x="1371600" y="9961880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502</xdr:row>
      <xdr:rowOff>142875</xdr:rowOff>
    </xdr:from>
    <xdr:to>
      <xdr:col>4</xdr:col>
      <xdr:colOff>0</xdr:colOff>
      <xdr:row>511</xdr:row>
      <xdr:rowOff>95250</xdr:rowOff>
    </xdr:to>
    <xdr:sp>
      <xdr:nvSpPr>
        <xdr:cNvPr id="1133" name="矩形 3343" hidden="1"/>
        <xdr:cNvSpPr>
          <a:spLocks noChangeAspect="1" noChangeArrowheads="1"/>
        </xdr:cNvSpPr>
      </xdr:nvSpPr>
      <xdr:spPr>
        <a:xfrm>
          <a:off x="1371600" y="9961880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502</xdr:row>
      <xdr:rowOff>142875</xdr:rowOff>
    </xdr:from>
    <xdr:to>
      <xdr:col>4</xdr:col>
      <xdr:colOff>0</xdr:colOff>
      <xdr:row>511</xdr:row>
      <xdr:rowOff>95250</xdr:rowOff>
    </xdr:to>
    <xdr:sp>
      <xdr:nvSpPr>
        <xdr:cNvPr id="1132" name="矩形 3342" hidden="1"/>
        <xdr:cNvSpPr>
          <a:spLocks noChangeAspect="1" noChangeArrowheads="1"/>
        </xdr:cNvSpPr>
      </xdr:nvSpPr>
      <xdr:spPr>
        <a:xfrm>
          <a:off x="1371600" y="9961880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502</xdr:row>
      <xdr:rowOff>142875</xdr:rowOff>
    </xdr:from>
    <xdr:to>
      <xdr:col>4</xdr:col>
      <xdr:colOff>0</xdr:colOff>
      <xdr:row>511</xdr:row>
      <xdr:rowOff>95250</xdr:rowOff>
    </xdr:to>
    <xdr:sp>
      <xdr:nvSpPr>
        <xdr:cNvPr id="1131" name="矩形 3341" hidden="1"/>
        <xdr:cNvSpPr>
          <a:spLocks noChangeAspect="1" noChangeArrowheads="1"/>
        </xdr:cNvSpPr>
      </xdr:nvSpPr>
      <xdr:spPr>
        <a:xfrm>
          <a:off x="1371600" y="9961880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502</xdr:row>
      <xdr:rowOff>142875</xdr:rowOff>
    </xdr:from>
    <xdr:to>
      <xdr:col>4</xdr:col>
      <xdr:colOff>0</xdr:colOff>
      <xdr:row>511</xdr:row>
      <xdr:rowOff>95250</xdr:rowOff>
    </xdr:to>
    <xdr:sp>
      <xdr:nvSpPr>
        <xdr:cNvPr id="1130" name="矩形 3340" hidden="1"/>
        <xdr:cNvSpPr>
          <a:spLocks noChangeAspect="1" noChangeArrowheads="1"/>
        </xdr:cNvSpPr>
      </xdr:nvSpPr>
      <xdr:spPr>
        <a:xfrm>
          <a:off x="1371600" y="9961880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502</xdr:row>
      <xdr:rowOff>142875</xdr:rowOff>
    </xdr:from>
    <xdr:to>
      <xdr:col>4</xdr:col>
      <xdr:colOff>0</xdr:colOff>
      <xdr:row>511</xdr:row>
      <xdr:rowOff>95250</xdr:rowOff>
    </xdr:to>
    <xdr:sp>
      <xdr:nvSpPr>
        <xdr:cNvPr id="1129" name="矩形 3339" hidden="1"/>
        <xdr:cNvSpPr>
          <a:spLocks noChangeAspect="1" noChangeArrowheads="1"/>
        </xdr:cNvSpPr>
      </xdr:nvSpPr>
      <xdr:spPr>
        <a:xfrm>
          <a:off x="1371600" y="9961880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502</xdr:row>
      <xdr:rowOff>142875</xdr:rowOff>
    </xdr:from>
    <xdr:to>
      <xdr:col>4</xdr:col>
      <xdr:colOff>0</xdr:colOff>
      <xdr:row>511</xdr:row>
      <xdr:rowOff>95250</xdr:rowOff>
    </xdr:to>
    <xdr:sp>
      <xdr:nvSpPr>
        <xdr:cNvPr id="1128" name="矩形 3338" hidden="1"/>
        <xdr:cNvSpPr>
          <a:spLocks noChangeAspect="1" noChangeArrowheads="1"/>
        </xdr:cNvSpPr>
      </xdr:nvSpPr>
      <xdr:spPr>
        <a:xfrm>
          <a:off x="1371600" y="9961880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502</xdr:row>
      <xdr:rowOff>142875</xdr:rowOff>
    </xdr:from>
    <xdr:to>
      <xdr:col>4</xdr:col>
      <xdr:colOff>0</xdr:colOff>
      <xdr:row>511</xdr:row>
      <xdr:rowOff>95250</xdr:rowOff>
    </xdr:to>
    <xdr:sp>
      <xdr:nvSpPr>
        <xdr:cNvPr id="1127" name="矩形 3337" hidden="1"/>
        <xdr:cNvSpPr>
          <a:spLocks noChangeAspect="1" noChangeArrowheads="1"/>
        </xdr:cNvSpPr>
      </xdr:nvSpPr>
      <xdr:spPr>
        <a:xfrm>
          <a:off x="1371600" y="9961880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502</xdr:row>
      <xdr:rowOff>142875</xdr:rowOff>
    </xdr:from>
    <xdr:to>
      <xdr:col>4</xdr:col>
      <xdr:colOff>0</xdr:colOff>
      <xdr:row>511</xdr:row>
      <xdr:rowOff>95250</xdr:rowOff>
    </xdr:to>
    <xdr:sp>
      <xdr:nvSpPr>
        <xdr:cNvPr id="1126" name="矩形 3336" hidden="1"/>
        <xdr:cNvSpPr>
          <a:spLocks noChangeAspect="1" noChangeArrowheads="1"/>
        </xdr:cNvSpPr>
      </xdr:nvSpPr>
      <xdr:spPr>
        <a:xfrm>
          <a:off x="1371600" y="9961880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502</xdr:row>
      <xdr:rowOff>142875</xdr:rowOff>
    </xdr:from>
    <xdr:to>
      <xdr:col>4</xdr:col>
      <xdr:colOff>0</xdr:colOff>
      <xdr:row>511</xdr:row>
      <xdr:rowOff>95250</xdr:rowOff>
    </xdr:to>
    <xdr:sp>
      <xdr:nvSpPr>
        <xdr:cNvPr id="1125" name="矩形 3335" hidden="1"/>
        <xdr:cNvSpPr>
          <a:spLocks noChangeAspect="1" noChangeArrowheads="1"/>
        </xdr:cNvSpPr>
      </xdr:nvSpPr>
      <xdr:spPr>
        <a:xfrm>
          <a:off x="1371600" y="9961880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502</xdr:row>
      <xdr:rowOff>142875</xdr:rowOff>
    </xdr:from>
    <xdr:to>
      <xdr:col>4</xdr:col>
      <xdr:colOff>0</xdr:colOff>
      <xdr:row>511</xdr:row>
      <xdr:rowOff>95250</xdr:rowOff>
    </xdr:to>
    <xdr:sp>
      <xdr:nvSpPr>
        <xdr:cNvPr id="1124" name="矩形 3334" hidden="1"/>
        <xdr:cNvSpPr>
          <a:spLocks noChangeAspect="1" noChangeArrowheads="1"/>
        </xdr:cNvSpPr>
      </xdr:nvSpPr>
      <xdr:spPr>
        <a:xfrm>
          <a:off x="1371600" y="9961880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502</xdr:row>
      <xdr:rowOff>142875</xdr:rowOff>
    </xdr:from>
    <xdr:to>
      <xdr:col>4</xdr:col>
      <xdr:colOff>0</xdr:colOff>
      <xdr:row>511</xdr:row>
      <xdr:rowOff>95250</xdr:rowOff>
    </xdr:to>
    <xdr:sp>
      <xdr:nvSpPr>
        <xdr:cNvPr id="1123" name="矩形 3333" hidden="1"/>
        <xdr:cNvSpPr>
          <a:spLocks noChangeAspect="1" noChangeArrowheads="1"/>
        </xdr:cNvSpPr>
      </xdr:nvSpPr>
      <xdr:spPr>
        <a:xfrm>
          <a:off x="1371600" y="99618800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505</xdr:row>
      <xdr:rowOff>114300</xdr:rowOff>
    </xdr:from>
    <xdr:to>
      <xdr:col>4</xdr:col>
      <xdr:colOff>0</xdr:colOff>
      <xdr:row>514</xdr:row>
      <xdr:rowOff>66675</xdr:rowOff>
    </xdr:to>
    <xdr:sp>
      <xdr:nvSpPr>
        <xdr:cNvPr id="1122" name="矩形 3332" hidden="1"/>
        <xdr:cNvSpPr>
          <a:spLocks noChangeAspect="1" noChangeArrowheads="1"/>
        </xdr:cNvSpPr>
      </xdr:nvSpPr>
      <xdr:spPr>
        <a:xfrm>
          <a:off x="1371600" y="1001617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505</xdr:row>
      <xdr:rowOff>114300</xdr:rowOff>
    </xdr:from>
    <xdr:to>
      <xdr:col>4</xdr:col>
      <xdr:colOff>0</xdr:colOff>
      <xdr:row>514</xdr:row>
      <xdr:rowOff>66675</xdr:rowOff>
    </xdr:to>
    <xdr:sp>
      <xdr:nvSpPr>
        <xdr:cNvPr id="1121" name="矩形 3331" hidden="1"/>
        <xdr:cNvSpPr>
          <a:spLocks noChangeAspect="1" noChangeArrowheads="1"/>
        </xdr:cNvSpPr>
      </xdr:nvSpPr>
      <xdr:spPr>
        <a:xfrm>
          <a:off x="1371600" y="1001617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505</xdr:row>
      <xdr:rowOff>114300</xdr:rowOff>
    </xdr:from>
    <xdr:to>
      <xdr:col>4</xdr:col>
      <xdr:colOff>0</xdr:colOff>
      <xdr:row>514</xdr:row>
      <xdr:rowOff>66675</xdr:rowOff>
    </xdr:to>
    <xdr:sp>
      <xdr:nvSpPr>
        <xdr:cNvPr id="1120" name="矩形 3330" hidden="1"/>
        <xdr:cNvSpPr>
          <a:spLocks noChangeAspect="1" noChangeArrowheads="1"/>
        </xdr:cNvSpPr>
      </xdr:nvSpPr>
      <xdr:spPr>
        <a:xfrm>
          <a:off x="1371600" y="1001617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505</xdr:row>
      <xdr:rowOff>114300</xdr:rowOff>
    </xdr:from>
    <xdr:to>
      <xdr:col>4</xdr:col>
      <xdr:colOff>0</xdr:colOff>
      <xdr:row>514</xdr:row>
      <xdr:rowOff>66675</xdr:rowOff>
    </xdr:to>
    <xdr:sp>
      <xdr:nvSpPr>
        <xdr:cNvPr id="1119" name="矩形 3329" hidden="1"/>
        <xdr:cNvSpPr>
          <a:spLocks noChangeAspect="1" noChangeArrowheads="1"/>
        </xdr:cNvSpPr>
      </xdr:nvSpPr>
      <xdr:spPr>
        <a:xfrm>
          <a:off x="1371600" y="1001617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505</xdr:row>
      <xdr:rowOff>114300</xdr:rowOff>
    </xdr:from>
    <xdr:to>
      <xdr:col>4</xdr:col>
      <xdr:colOff>0</xdr:colOff>
      <xdr:row>514</xdr:row>
      <xdr:rowOff>66675</xdr:rowOff>
    </xdr:to>
    <xdr:sp>
      <xdr:nvSpPr>
        <xdr:cNvPr id="1118" name="矩形 3328" hidden="1"/>
        <xdr:cNvSpPr>
          <a:spLocks noChangeAspect="1" noChangeArrowheads="1"/>
        </xdr:cNvSpPr>
      </xdr:nvSpPr>
      <xdr:spPr>
        <a:xfrm>
          <a:off x="1371600" y="1001617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505</xdr:row>
      <xdr:rowOff>114300</xdr:rowOff>
    </xdr:from>
    <xdr:to>
      <xdr:col>4</xdr:col>
      <xdr:colOff>0</xdr:colOff>
      <xdr:row>514</xdr:row>
      <xdr:rowOff>66675</xdr:rowOff>
    </xdr:to>
    <xdr:sp>
      <xdr:nvSpPr>
        <xdr:cNvPr id="1117" name="矩形 3327" hidden="1"/>
        <xdr:cNvSpPr>
          <a:spLocks noChangeAspect="1" noChangeArrowheads="1"/>
        </xdr:cNvSpPr>
      </xdr:nvSpPr>
      <xdr:spPr>
        <a:xfrm>
          <a:off x="1371600" y="1001617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505</xdr:row>
      <xdr:rowOff>114300</xdr:rowOff>
    </xdr:from>
    <xdr:to>
      <xdr:col>4</xdr:col>
      <xdr:colOff>0</xdr:colOff>
      <xdr:row>514</xdr:row>
      <xdr:rowOff>66675</xdr:rowOff>
    </xdr:to>
    <xdr:sp>
      <xdr:nvSpPr>
        <xdr:cNvPr id="1116" name="矩形 3326" hidden="1"/>
        <xdr:cNvSpPr>
          <a:spLocks noChangeAspect="1" noChangeArrowheads="1"/>
        </xdr:cNvSpPr>
      </xdr:nvSpPr>
      <xdr:spPr>
        <a:xfrm>
          <a:off x="1371600" y="1001617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505</xdr:row>
      <xdr:rowOff>114300</xdr:rowOff>
    </xdr:from>
    <xdr:to>
      <xdr:col>4</xdr:col>
      <xdr:colOff>0</xdr:colOff>
      <xdr:row>514</xdr:row>
      <xdr:rowOff>66675</xdr:rowOff>
    </xdr:to>
    <xdr:sp>
      <xdr:nvSpPr>
        <xdr:cNvPr id="1115" name="矩形 3325" hidden="1"/>
        <xdr:cNvSpPr>
          <a:spLocks noChangeAspect="1" noChangeArrowheads="1"/>
        </xdr:cNvSpPr>
      </xdr:nvSpPr>
      <xdr:spPr>
        <a:xfrm>
          <a:off x="1371600" y="1001617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505</xdr:row>
      <xdr:rowOff>114300</xdr:rowOff>
    </xdr:from>
    <xdr:to>
      <xdr:col>4</xdr:col>
      <xdr:colOff>0</xdr:colOff>
      <xdr:row>514</xdr:row>
      <xdr:rowOff>66675</xdr:rowOff>
    </xdr:to>
    <xdr:sp>
      <xdr:nvSpPr>
        <xdr:cNvPr id="1114" name="矩形 3324" hidden="1"/>
        <xdr:cNvSpPr>
          <a:spLocks noChangeAspect="1" noChangeArrowheads="1"/>
        </xdr:cNvSpPr>
      </xdr:nvSpPr>
      <xdr:spPr>
        <a:xfrm>
          <a:off x="1371600" y="1001617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505</xdr:row>
      <xdr:rowOff>114300</xdr:rowOff>
    </xdr:from>
    <xdr:to>
      <xdr:col>4</xdr:col>
      <xdr:colOff>0</xdr:colOff>
      <xdr:row>514</xdr:row>
      <xdr:rowOff>66675</xdr:rowOff>
    </xdr:to>
    <xdr:sp>
      <xdr:nvSpPr>
        <xdr:cNvPr id="1113" name="矩形 3323" hidden="1"/>
        <xdr:cNvSpPr>
          <a:spLocks noChangeAspect="1" noChangeArrowheads="1"/>
        </xdr:cNvSpPr>
      </xdr:nvSpPr>
      <xdr:spPr>
        <a:xfrm>
          <a:off x="1371600" y="1001617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505</xdr:row>
      <xdr:rowOff>114300</xdr:rowOff>
    </xdr:from>
    <xdr:to>
      <xdr:col>4</xdr:col>
      <xdr:colOff>0</xdr:colOff>
      <xdr:row>514</xdr:row>
      <xdr:rowOff>66675</xdr:rowOff>
    </xdr:to>
    <xdr:sp>
      <xdr:nvSpPr>
        <xdr:cNvPr id="1112" name="矩形 3322" hidden="1"/>
        <xdr:cNvSpPr>
          <a:spLocks noChangeAspect="1" noChangeArrowheads="1"/>
        </xdr:cNvSpPr>
      </xdr:nvSpPr>
      <xdr:spPr>
        <a:xfrm>
          <a:off x="1371600" y="1001617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505</xdr:row>
      <xdr:rowOff>114300</xdr:rowOff>
    </xdr:from>
    <xdr:to>
      <xdr:col>4</xdr:col>
      <xdr:colOff>0</xdr:colOff>
      <xdr:row>514</xdr:row>
      <xdr:rowOff>66675</xdr:rowOff>
    </xdr:to>
    <xdr:sp>
      <xdr:nvSpPr>
        <xdr:cNvPr id="1111" name="矩形 3321" hidden="1"/>
        <xdr:cNvSpPr>
          <a:spLocks noChangeAspect="1" noChangeArrowheads="1"/>
        </xdr:cNvSpPr>
      </xdr:nvSpPr>
      <xdr:spPr>
        <a:xfrm>
          <a:off x="1371600" y="1001617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505</xdr:row>
      <xdr:rowOff>114300</xdr:rowOff>
    </xdr:from>
    <xdr:to>
      <xdr:col>4</xdr:col>
      <xdr:colOff>0</xdr:colOff>
      <xdr:row>514</xdr:row>
      <xdr:rowOff>66675</xdr:rowOff>
    </xdr:to>
    <xdr:sp>
      <xdr:nvSpPr>
        <xdr:cNvPr id="1110" name="矩形 3320" hidden="1"/>
        <xdr:cNvSpPr>
          <a:spLocks noChangeAspect="1" noChangeArrowheads="1"/>
        </xdr:cNvSpPr>
      </xdr:nvSpPr>
      <xdr:spPr>
        <a:xfrm>
          <a:off x="1371600" y="1001617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505</xdr:row>
      <xdr:rowOff>114300</xdr:rowOff>
    </xdr:from>
    <xdr:to>
      <xdr:col>4</xdr:col>
      <xdr:colOff>0</xdr:colOff>
      <xdr:row>514</xdr:row>
      <xdr:rowOff>66675</xdr:rowOff>
    </xdr:to>
    <xdr:sp>
      <xdr:nvSpPr>
        <xdr:cNvPr id="1109" name="矩形 3319" hidden="1"/>
        <xdr:cNvSpPr>
          <a:spLocks noChangeAspect="1" noChangeArrowheads="1"/>
        </xdr:cNvSpPr>
      </xdr:nvSpPr>
      <xdr:spPr>
        <a:xfrm>
          <a:off x="1371600" y="100161725"/>
          <a:ext cx="153352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511</xdr:row>
      <xdr:rowOff>57150</xdr:rowOff>
    </xdr:from>
    <xdr:to>
      <xdr:col>4</xdr:col>
      <xdr:colOff>0</xdr:colOff>
      <xdr:row>517</xdr:row>
      <xdr:rowOff>38100</xdr:rowOff>
    </xdr:to>
    <xdr:sp>
      <xdr:nvSpPr>
        <xdr:cNvPr id="1108" name="矩形 3318" hidden="1"/>
        <xdr:cNvSpPr>
          <a:spLocks noChangeAspect="1" noChangeArrowheads="1"/>
        </xdr:cNvSpPr>
      </xdr:nvSpPr>
      <xdr:spPr>
        <a:xfrm>
          <a:off x="1371600" y="101247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511</xdr:row>
      <xdr:rowOff>57150</xdr:rowOff>
    </xdr:from>
    <xdr:to>
      <xdr:col>4</xdr:col>
      <xdr:colOff>0</xdr:colOff>
      <xdr:row>517</xdr:row>
      <xdr:rowOff>38100</xdr:rowOff>
    </xdr:to>
    <xdr:sp>
      <xdr:nvSpPr>
        <xdr:cNvPr id="1107" name="矩形 3317" hidden="1"/>
        <xdr:cNvSpPr>
          <a:spLocks noChangeAspect="1" noChangeArrowheads="1"/>
        </xdr:cNvSpPr>
      </xdr:nvSpPr>
      <xdr:spPr>
        <a:xfrm>
          <a:off x="1371600" y="101247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511</xdr:row>
      <xdr:rowOff>57150</xdr:rowOff>
    </xdr:from>
    <xdr:to>
      <xdr:col>4</xdr:col>
      <xdr:colOff>0</xdr:colOff>
      <xdr:row>517</xdr:row>
      <xdr:rowOff>38100</xdr:rowOff>
    </xdr:to>
    <xdr:sp>
      <xdr:nvSpPr>
        <xdr:cNvPr id="1106" name="矩形 3316" hidden="1"/>
        <xdr:cNvSpPr>
          <a:spLocks noChangeAspect="1" noChangeArrowheads="1"/>
        </xdr:cNvSpPr>
      </xdr:nvSpPr>
      <xdr:spPr>
        <a:xfrm>
          <a:off x="1371600" y="101247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511</xdr:row>
      <xdr:rowOff>57150</xdr:rowOff>
    </xdr:from>
    <xdr:to>
      <xdr:col>4</xdr:col>
      <xdr:colOff>0</xdr:colOff>
      <xdr:row>517</xdr:row>
      <xdr:rowOff>38100</xdr:rowOff>
    </xdr:to>
    <xdr:sp>
      <xdr:nvSpPr>
        <xdr:cNvPr id="1105" name="矩形 3315" hidden="1"/>
        <xdr:cNvSpPr>
          <a:spLocks noChangeAspect="1" noChangeArrowheads="1"/>
        </xdr:cNvSpPr>
      </xdr:nvSpPr>
      <xdr:spPr>
        <a:xfrm>
          <a:off x="1371600" y="101247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511</xdr:row>
      <xdr:rowOff>57150</xdr:rowOff>
    </xdr:from>
    <xdr:to>
      <xdr:col>4</xdr:col>
      <xdr:colOff>0</xdr:colOff>
      <xdr:row>517</xdr:row>
      <xdr:rowOff>38100</xdr:rowOff>
    </xdr:to>
    <xdr:sp>
      <xdr:nvSpPr>
        <xdr:cNvPr id="1104" name="矩形 3314" hidden="1"/>
        <xdr:cNvSpPr>
          <a:spLocks noChangeAspect="1" noChangeArrowheads="1"/>
        </xdr:cNvSpPr>
      </xdr:nvSpPr>
      <xdr:spPr>
        <a:xfrm>
          <a:off x="1371600" y="101247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511</xdr:row>
      <xdr:rowOff>57150</xdr:rowOff>
    </xdr:from>
    <xdr:to>
      <xdr:col>4</xdr:col>
      <xdr:colOff>0</xdr:colOff>
      <xdr:row>517</xdr:row>
      <xdr:rowOff>38100</xdr:rowOff>
    </xdr:to>
    <xdr:sp>
      <xdr:nvSpPr>
        <xdr:cNvPr id="1103" name="矩形 3313" hidden="1"/>
        <xdr:cNvSpPr>
          <a:spLocks noChangeAspect="1" noChangeArrowheads="1"/>
        </xdr:cNvSpPr>
      </xdr:nvSpPr>
      <xdr:spPr>
        <a:xfrm>
          <a:off x="1371600" y="101247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511</xdr:row>
      <xdr:rowOff>57150</xdr:rowOff>
    </xdr:from>
    <xdr:to>
      <xdr:col>4</xdr:col>
      <xdr:colOff>0</xdr:colOff>
      <xdr:row>517</xdr:row>
      <xdr:rowOff>38100</xdr:rowOff>
    </xdr:to>
    <xdr:sp>
      <xdr:nvSpPr>
        <xdr:cNvPr id="1102" name="矩形 3312" hidden="1"/>
        <xdr:cNvSpPr>
          <a:spLocks noChangeAspect="1" noChangeArrowheads="1"/>
        </xdr:cNvSpPr>
      </xdr:nvSpPr>
      <xdr:spPr>
        <a:xfrm>
          <a:off x="1371600" y="101247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511</xdr:row>
      <xdr:rowOff>57150</xdr:rowOff>
    </xdr:from>
    <xdr:to>
      <xdr:col>4</xdr:col>
      <xdr:colOff>0</xdr:colOff>
      <xdr:row>517</xdr:row>
      <xdr:rowOff>38100</xdr:rowOff>
    </xdr:to>
    <xdr:sp>
      <xdr:nvSpPr>
        <xdr:cNvPr id="1101" name="矩形 3311" hidden="1"/>
        <xdr:cNvSpPr>
          <a:spLocks noChangeAspect="1" noChangeArrowheads="1"/>
        </xdr:cNvSpPr>
      </xdr:nvSpPr>
      <xdr:spPr>
        <a:xfrm>
          <a:off x="1371600" y="101247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511</xdr:row>
      <xdr:rowOff>57150</xdr:rowOff>
    </xdr:from>
    <xdr:to>
      <xdr:col>4</xdr:col>
      <xdr:colOff>0</xdr:colOff>
      <xdr:row>517</xdr:row>
      <xdr:rowOff>38100</xdr:rowOff>
    </xdr:to>
    <xdr:sp>
      <xdr:nvSpPr>
        <xdr:cNvPr id="1100" name="矩形 3310" hidden="1"/>
        <xdr:cNvSpPr>
          <a:spLocks noChangeAspect="1" noChangeArrowheads="1"/>
        </xdr:cNvSpPr>
      </xdr:nvSpPr>
      <xdr:spPr>
        <a:xfrm>
          <a:off x="1371600" y="101247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511</xdr:row>
      <xdr:rowOff>57150</xdr:rowOff>
    </xdr:from>
    <xdr:to>
      <xdr:col>4</xdr:col>
      <xdr:colOff>0</xdr:colOff>
      <xdr:row>517</xdr:row>
      <xdr:rowOff>38100</xdr:rowOff>
    </xdr:to>
    <xdr:sp>
      <xdr:nvSpPr>
        <xdr:cNvPr id="1099" name="矩形 3309" hidden="1"/>
        <xdr:cNvSpPr>
          <a:spLocks noChangeAspect="1" noChangeArrowheads="1"/>
        </xdr:cNvSpPr>
      </xdr:nvSpPr>
      <xdr:spPr>
        <a:xfrm>
          <a:off x="1371600" y="101247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511</xdr:row>
      <xdr:rowOff>57150</xdr:rowOff>
    </xdr:from>
    <xdr:to>
      <xdr:col>4</xdr:col>
      <xdr:colOff>0</xdr:colOff>
      <xdr:row>517</xdr:row>
      <xdr:rowOff>38100</xdr:rowOff>
    </xdr:to>
    <xdr:sp>
      <xdr:nvSpPr>
        <xdr:cNvPr id="1098" name="矩形 3308" hidden="1"/>
        <xdr:cNvSpPr>
          <a:spLocks noChangeAspect="1" noChangeArrowheads="1"/>
        </xdr:cNvSpPr>
      </xdr:nvSpPr>
      <xdr:spPr>
        <a:xfrm>
          <a:off x="1371600" y="101247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511</xdr:row>
      <xdr:rowOff>57150</xdr:rowOff>
    </xdr:from>
    <xdr:to>
      <xdr:col>4</xdr:col>
      <xdr:colOff>0</xdr:colOff>
      <xdr:row>517</xdr:row>
      <xdr:rowOff>38100</xdr:rowOff>
    </xdr:to>
    <xdr:sp>
      <xdr:nvSpPr>
        <xdr:cNvPr id="1097" name="矩形 3307" hidden="1"/>
        <xdr:cNvSpPr>
          <a:spLocks noChangeAspect="1" noChangeArrowheads="1"/>
        </xdr:cNvSpPr>
      </xdr:nvSpPr>
      <xdr:spPr>
        <a:xfrm>
          <a:off x="1371600" y="101247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511</xdr:row>
      <xdr:rowOff>57150</xdr:rowOff>
    </xdr:from>
    <xdr:to>
      <xdr:col>4</xdr:col>
      <xdr:colOff>0</xdr:colOff>
      <xdr:row>517</xdr:row>
      <xdr:rowOff>38100</xdr:rowOff>
    </xdr:to>
    <xdr:sp>
      <xdr:nvSpPr>
        <xdr:cNvPr id="1096" name="矩形 3306" hidden="1"/>
        <xdr:cNvSpPr>
          <a:spLocks noChangeAspect="1" noChangeArrowheads="1"/>
        </xdr:cNvSpPr>
      </xdr:nvSpPr>
      <xdr:spPr>
        <a:xfrm>
          <a:off x="1371600" y="101247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511</xdr:row>
      <xdr:rowOff>57150</xdr:rowOff>
    </xdr:from>
    <xdr:to>
      <xdr:col>4</xdr:col>
      <xdr:colOff>0</xdr:colOff>
      <xdr:row>517</xdr:row>
      <xdr:rowOff>38100</xdr:rowOff>
    </xdr:to>
    <xdr:sp>
      <xdr:nvSpPr>
        <xdr:cNvPr id="1095" name="矩形 3305" hidden="1"/>
        <xdr:cNvSpPr>
          <a:spLocks noChangeAspect="1" noChangeArrowheads="1"/>
        </xdr:cNvSpPr>
      </xdr:nvSpPr>
      <xdr:spPr>
        <a:xfrm>
          <a:off x="1371600" y="1012475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514</xdr:row>
      <xdr:rowOff>28575</xdr:rowOff>
    </xdr:from>
    <xdr:to>
      <xdr:col>4</xdr:col>
      <xdr:colOff>0</xdr:colOff>
      <xdr:row>520</xdr:row>
      <xdr:rowOff>9525</xdr:rowOff>
    </xdr:to>
    <xdr:sp>
      <xdr:nvSpPr>
        <xdr:cNvPr id="1094" name="矩形 3304" hidden="1"/>
        <xdr:cNvSpPr>
          <a:spLocks noChangeAspect="1" noChangeArrowheads="1"/>
        </xdr:cNvSpPr>
      </xdr:nvSpPr>
      <xdr:spPr>
        <a:xfrm>
          <a:off x="1371600" y="101790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514</xdr:row>
      <xdr:rowOff>28575</xdr:rowOff>
    </xdr:from>
    <xdr:to>
      <xdr:col>4</xdr:col>
      <xdr:colOff>0</xdr:colOff>
      <xdr:row>520</xdr:row>
      <xdr:rowOff>9525</xdr:rowOff>
    </xdr:to>
    <xdr:sp>
      <xdr:nvSpPr>
        <xdr:cNvPr id="1093" name="矩形 3303" hidden="1"/>
        <xdr:cNvSpPr>
          <a:spLocks noChangeAspect="1" noChangeArrowheads="1"/>
        </xdr:cNvSpPr>
      </xdr:nvSpPr>
      <xdr:spPr>
        <a:xfrm>
          <a:off x="1371600" y="101790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514</xdr:row>
      <xdr:rowOff>28575</xdr:rowOff>
    </xdr:from>
    <xdr:to>
      <xdr:col>4</xdr:col>
      <xdr:colOff>0</xdr:colOff>
      <xdr:row>520</xdr:row>
      <xdr:rowOff>9525</xdr:rowOff>
    </xdr:to>
    <xdr:sp>
      <xdr:nvSpPr>
        <xdr:cNvPr id="1092" name="矩形 3302" hidden="1"/>
        <xdr:cNvSpPr>
          <a:spLocks noChangeAspect="1" noChangeArrowheads="1"/>
        </xdr:cNvSpPr>
      </xdr:nvSpPr>
      <xdr:spPr>
        <a:xfrm>
          <a:off x="1371600" y="101790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514</xdr:row>
      <xdr:rowOff>28575</xdr:rowOff>
    </xdr:from>
    <xdr:to>
      <xdr:col>4</xdr:col>
      <xdr:colOff>0</xdr:colOff>
      <xdr:row>520</xdr:row>
      <xdr:rowOff>9525</xdr:rowOff>
    </xdr:to>
    <xdr:sp>
      <xdr:nvSpPr>
        <xdr:cNvPr id="1091" name="矩形 3301" hidden="1"/>
        <xdr:cNvSpPr>
          <a:spLocks noChangeAspect="1" noChangeArrowheads="1"/>
        </xdr:cNvSpPr>
      </xdr:nvSpPr>
      <xdr:spPr>
        <a:xfrm>
          <a:off x="1371600" y="101790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514</xdr:row>
      <xdr:rowOff>28575</xdr:rowOff>
    </xdr:from>
    <xdr:to>
      <xdr:col>4</xdr:col>
      <xdr:colOff>0</xdr:colOff>
      <xdr:row>520</xdr:row>
      <xdr:rowOff>9525</xdr:rowOff>
    </xdr:to>
    <xdr:sp>
      <xdr:nvSpPr>
        <xdr:cNvPr id="1090" name="矩形 3300" hidden="1"/>
        <xdr:cNvSpPr>
          <a:spLocks noChangeAspect="1" noChangeArrowheads="1"/>
        </xdr:cNvSpPr>
      </xdr:nvSpPr>
      <xdr:spPr>
        <a:xfrm>
          <a:off x="1371600" y="101790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514</xdr:row>
      <xdr:rowOff>28575</xdr:rowOff>
    </xdr:from>
    <xdr:to>
      <xdr:col>4</xdr:col>
      <xdr:colOff>0</xdr:colOff>
      <xdr:row>520</xdr:row>
      <xdr:rowOff>9525</xdr:rowOff>
    </xdr:to>
    <xdr:sp>
      <xdr:nvSpPr>
        <xdr:cNvPr id="1089" name="矩形 3299" hidden="1"/>
        <xdr:cNvSpPr>
          <a:spLocks noChangeAspect="1" noChangeArrowheads="1"/>
        </xdr:cNvSpPr>
      </xdr:nvSpPr>
      <xdr:spPr>
        <a:xfrm>
          <a:off x="1371600" y="101790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514</xdr:row>
      <xdr:rowOff>28575</xdr:rowOff>
    </xdr:from>
    <xdr:to>
      <xdr:col>4</xdr:col>
      <xdr:colOff>0</xdr:colOff>
      <xdr:row>520</xdr:row>
      <xdr:rowOff>9525</xdr:rowOff>
    </xdr:to>
    <xdr:sp>
      <xdr:nvSpPr>
        <xdr:cNvPr id="1088" name="矩形 3298" hidden="1"/>
        <xdr:cNvSpPr>
          <a:spLocks noChangeAspect="1" noChangeArrowheads="1"/>
        </xdr:cNvSpPr>
      </xdr:nvSpPr>
      <xdr:spPr>
        <a:xfrm>
          <a:off x="1371600" y="101790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514</xdr:row>
      <xdr:rowOff>28575</xdr:rowOff>
    </xdr:from>
    <xdr:to>
      <xdr:col>4</xdr:col>
      <xdr:colOff>0</xdr:colOff>
      <xdr:row>520</xdr:row>
      <xdr:rowOff>9525</xdr:rowOff>
    </xdr:to>
    <xdr:sp>
      <xdr:nvSpPr>
        <xdr:cNvPr id="1087" name="矩形 3297" hidden="1"/>
        <xdr:cNvSpPr>
          <a:spLocks noChangeAspect="1" noChangeArrowheads="1"/>
        </xdr:cNvSpPr>
      </xdr:nvSpPr>
      <xdr:spPr>
        <a:xfrm>
          <a:off x="1371600" y="101790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514</xdr:row>
      <xdr:rowOff>28575</xdr:rowOff>
    </xdr:from>
    <xdr:to>
      <xdr:col>4</xdr:col>
      <xdr:colOff>0</xdr:colOff>
      <xdr:row>520</xdr:row>
      <xdr:rowOff>9525</xdr:rowOff>
    </xdr:to>
    <xdr:sp>
      <xdr:nvSpPr>
        <xdr:cNvPr id="1086" name="矩形 3296" hidden="1"/>
        <xdr:cNvSpPr>
          <a:spLocks noChangeAspect="1" noChangeArrowheads="1"/>
        </xdr:cNvSpPr>
      </xdr:nvSpPr>
      <xdr:spPr>
        <a:xfrm>
          <a:off x="1371600" y="101790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514</xdr:row>
      <xdr:rowOff>28575</xdr:rowOff>
    </xdr:from>
    <xdr:to>
      <xdr:col>4</xdr:col>
      <xdr:colOff>0</xdr:colOff>
      <xdr:row>520</xdr:row>
      <xdr:rowOff>9525</xdr:rowOff>
    </xdr:to>
    <xdr:sp>
      <xdr:nvSpPr>
        <xdr:cNvPr id="1085" name="矩形 3295" hidden="1"/>
        <xdr:cNvSpPr>
          <a:spLocks noChangeAspect="1" noChangeArrowheads="1"/>
        </xdr:cNvSpPr>
      </xdr:nvSpPr>
      <xdr:spPr>
        <a:xfrm>
          <a:off x="1371600" y="101790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514</xdr:row>
      <xdr:rowOff>28575</xdr:rowOff>
    </xdr:from>
    <xdr:to>
      <xdr:col>4</xdr:col>
      <xdr:colOff>0</xdr:colOff>
      <xdr:row>520</xdr:row>
      <xdr:rowOff>9525</xdr:rowOff>
    </xdr:to>
    <xdr:sp>
      <xdr:nvSpPr>
        <xdr:cNvPr id="1084" name="矩形 3294" hidden="1"/>
        <xdr:cNvSpPr>
          <a:spLocks noChangeAspect="1" noChangeArrowheads="1"/>
        </xdr:cNvSpPr>
      </xdr:nvSpPr>
      <xdr:spPr>
        <a:xfrm>
          <a:off x="1371600" y="101790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514</xdr:row>
      <xdr:rowOff>28575</xdr:rowOff>
    </xdr:from>
    <xdr:to>
      <xdr:col>4</xdr:col>
      <xdr:colOff>0</xdr:colOff>
      <xdr:row>520</xdr:row>
      <xdr:rowOff>9525</xdr:rowOff>
    </xdr:to>
    <xdr:sp>
      <xdr:nvSpPr>
        <xdr:cNvPr id="1083" name="矩形 3293" hidden="1"/>
        <xdr:cNvSpPr>
          <a:spLocks noChangeAspect="1" noChangeArrowheads="1"/>
        </xdr:cNvSpPr>
      </xdr:nvSpPr>
      <xdr:spPr>
        <a:xfrm>
          <a:off x="1371600" y="101790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514</xdr:row>
      <xdr:rowOff>28575</xdr:rowOff>
    </xdr:from>
    <xdr:to>
      <xdr:col>4</xdr:col>
      <xdr:colOff>0</xdr:colOff>
      <xdr:row>520</xdr:row>
      <xdr:rowOff>9525</xdr:rowOff>
    </xdr:to>
    <xdr:sp>
      <xdr:nvSpPr>
        <xdr:cNvPr id="1082" name="矩形 3292" hidden="1"/>
        <xdr:cNvSpPr>
          <a:spLocks noChangeAspect="1" noChangeArrowheads="1"/>
        </xdr:cNvSpPr>
      </xdr:nvSpPr>
      <xdr:spPr>
        <a:xfrm>
          <a:off x="1371600" y="101790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514</xdr:row>
      <xdr:rowOff>28575</xdr:rowOff>
    </xdr:from>
    <xdr:to>
      <xdr:col>4</xdr:col>
      <xdr:colOff>0</xdr:colOff>
      <xdr:row>520</xdr:row>
      <xdr:rowOff>9525</xdr:rowOff>
    </xdr:to>
    <xdr:sp>
      <xdr:nvSpPr>
        <xdr:cNvPr id="1081" name="矩形 3291" hidden="1"/>
        <xdr:cNvSpPr>
          <a:spLocks noChangeAspect="1" noChangeArrowheads="1"/>
        </xdr:cNvSpPr>
      </xdr:nvSpPr>
      <xdr:spPr>
        <a:xfrm>
          <a:off x="1371600" y="10179050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517</xdr:row>
      <xdr:rowOff>0</xdr:rowOff>
    </xdr:from>
    <xdr:to>
      <xdr:col>4</xdr:col>
      <xdr:colOff>0</xdr:colOff>
      <xdr:row>522</xdr:row>
      <xdr:rowOff>161925</xdr:rowOff>
    </xdr:to>
    <xdr:sp>
      <xdr:nvSpPr>
        <xdr:cNvPr id="1080" name="矩形 3290" hidden="1"/>
        <xdr:cNvSpPr>
          <a:spLocks noChangeAspect="1" noChangeArrowheads="1"/>
        </xdr:cNvSpPr>
      </xdr:nvSpPr>
      <xdr:spPr>
        <a:xfrm>
          <a:off x="1371600" y="102333425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517</xdr:row>
      <xdr:rowOff>0</xdr:rowOff>
    </xdr:from>
    <xdr:to>
      <xdr:col>4</xdr:col>
      <xdr:colOff>0</xdr:colOff>
      <xdr:row>522</xdr:row>
      <xdr:rowOff>161925</xdr:rowOff>
    </xdr:to>
    <xdr:sp>
      <xdr:nvSpPr>
        <xdr:cNvPr id="1079" name="矩形 3289" hidden="1"/>
        <xdr:cNvSpPr>
          <a:spLocks noChangeAspect="1" noChangeArrowheads="1"/>
        </xdr:cNvSpPr>
      </xdr:nvSpPr>
      <xdr:spPr>
        <a:xfrm>
          <a:off x="1371600" y="102333425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517</xdr:row>
      <xdr:rowOff>0</xdr:rowOff>
    </xdr:from>
    <xdr:to>
      <xdr:col>4</xdr:col>
      <xdr:colOff>0</xdr:colOff>
      <xdr:row>522</xdr:row>
      <xdr:rowOff>161925</xdr:rowOff>
    </xdr:to>
    <xdr:sp>
      <xdr:nvSpPr>
        <xdr:cNvPr id="1078" name="矩形 3288" hidden="1"/>
        <xdr:cNvSpPr>
          <a:spLocks noChangeAspect="1" noChangeArrowheads="1"/>
        </xdr:cNvSpPr>
      </xdr:nvSpPr>
      <xdr:spPr>
        <a:xfrm>
          <a:off x="1371600" y="102333425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517</xdr:row>
      <xdr:rowOff>0</xdr:rowOff>
    </xdr:from>
    <xdr:to>
      <xdr:col>4</xdr:col>
      <xdr:colOff>0</xdr:colOff>
      <xdr:row>522</xdr:row>
      <xdr:rowOff>161925</xdr:rowOff>
    </xdr:to>
    <xdr:sp>
      <xdr:nvSpPr>
        <xdr:cNvPr id="1077" name="矩形 3287" hidden="1"/>
        <xdr:cNvSpPr>
          <a:spLocks noChangeAspect="1" noChangeArrowheads="1"/>
        </xdr:cNvSpPr>
      </xdr:nvSpPr>
      <xdr:spPr>
        <a:xfrm>
          <a:off x="1371600" y="102333425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517</xdr:row>
      <xdr:rowOff>0</xdr:rowOff>
    </xdr:from>
    <xdr:to>
      <xdr:col>4</xdr:col>
      <xdr:colOff>0</xdr:colOff>
      <xdr:row>522</xdr:row>
      <xdr:rowOff>161925</xdr:rowOff>
    </xdr:to>
    <xdr:sp>
      <xdr:nvSpPr>
        <xdr:cNvPr id="1076" name="矩形 3286" hidden="1"/>
        <xdr:cNvSpPr>
          <a:spLocks noChangeAspect="1" noChangeArrowheads="1"/>
        </xdr:cNvSpPr>
      </xdr:nvSpPr>
      <xdr:spPr>
        <a:xfrm>
          <a:off x="1371600" y="102333425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517</xdr:row>
      <xdr:rowOff>0</xdr:rowOff>
    </xdr:from>
    <xdr:to>
      <xdr:col>4</xdr:col>
      <xdr:colOff>0</xdr:colOff>
      <xdr:row>522</xdr:row>
      <xdr:rowOff>161925</xdr:rowOff>
    </xdr:to>
    <xdr:sp>
      <xdr:nvSpPr>
        <xdr:cNvPr id="1075" name="矩形 3285" hidden="1"/>
        <xdr:cNvSpPr>
          <a:spLocks noChangeAspect="1" noChangeArrowheads="1"/>
        </xdr:cNvSpPr>
      </xdr:nvSpPr>
      <xdr:spPr>
        <a:xfrm>
          <a:off x="1371600" y="102333425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517</xdr:row>
      <xdr:rowOff>0</xdr:rowOff>
    </xdr:from>
    <xdr:to>
      <xdr:col>4</xdr:col>
      <xdr:colOff>0</xdr:colOff>
      <xdr:row>522</xdr:row>
      <xdr:rowOff>161925</xdr:rowOff>
    </xdr:to>
    <xdr:sp>
      <xdr:nvSpPr>
        <xdr:cNvPr id="1074" name="矩形 3284" hidden="1"/>
        <xdr:cNvSpPr>
          <a:spLocks noChangeAspect="1" noChangeArrowheads="1"/>
        </xdr:cNvSpPr>
      </xdr:nvSpPr>
      <xdr:spPr>
        <a:xfrm>
          <a:off x="1371600" y="102333425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517</xdr:row>
      <xdr:rowOff>0</xdr:rowOff>
    </xdr:from>
    <xdr:to>
      <xdr:col>4</xdr:col>
      <xdr:colOff>0</xdr:colOff>
      <xdr:row>522</xdr:row>
      <xdr:rowOff>161925</xdr:rowOff>
    </xdr:to>
    <xdr:sp>
      <xdr:nvSpPr>
        <xdr:cNvPr id="1073" name="矩形 3283" hidden="1"/>
        <xdr:cNvSpPr>
          <a:spLocks noChangeAspect="1" noChangeArrowheads="1"/>
        </xdr:cNvSpPr>
      </xdr:nvSpPr>
      <xdr:spPr>
        <a:xfrm>
          <a:off x="1371600" y="102333425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517</xdr:row>
      <xdr:rowOff>0</xdr:rowOff>
    </xdr:from>
    <xdr:to>
      <xdr:col>4</xdr:col>
      <xdr:colOff>0</xdr:colOff>
      <xdr:row>522</xdr:row>
      <xdr:rowOff>161925</xdr:rowOff>
    </xdr:to>
    <xdr:sp>
      <xdr:nvSpPr>
        <xdr:cNvPr id="1072" name="矩形 3282" hidden="1"/>
        <xdr:cNvSpPr>
          <a:spLocks noChangeAspect="1" noChangeArrowheads="1"/>
        </xdr:cNvSpPr>
      </xdr:nvSpPr>
      <xdr:spPr>
        <a:xfrm>
          <a:off x="1371600" y="102333425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517</xdr:row>
      <xdr:rowOff>0</xdr:rowOff>
    </xdr:from>
    <xdr:to>
      <xdr:col>4</xdr:col>
      <xdr:colOff>0</xdr:colOff>
      <xdr:row>522</xdr:row>
      <xdr:rowOff>161925</xdr:rowOff>
    </xdr:to>
    <xdr:sp>
      <xdr:nvSpPr>
        <xdr:cNvPr id="1071" name="矩形 3281" hidden="1"/>
        <xdr:cNvSpPr>
          <a:spLocks noChangeAspect="1" noChangeArrowheads="1"/>
        </xdr:cNvSpPr>
      </xdr:nvSpPr>
      <xdr:spPr>
        <a:xfrm>
          <a:off x="1371600" y="102333425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517</xdr:row>
      <xdr:rowOff>0</xdr:rowOff>
    </xdr:from>
    <xdr:to>
      <xdr:col>4</xdr:col>
      <xdr:colOff>0</xdr:colOff>
      <xdr:row>522</xdr:row>
      <xdr:rowOff>161925</xdr:rowOff>
    </xdr:to>
    <xdr:sp>
      <xdr:nvSpPr>
        <xdr:cNvPr id="1070" name="矩形 3280" hidden="1"/>
        <xdr:cNvSpPr>
          <a:spLocks noChangeAspect="1" noChangeArrowheads="1"/>
        </xdr:cNvSpPr>
      </xdr:nvSpPr>
      <xdr:spPr>
        <a:xfrm>
          <a:off x="1371600" y="102333425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517</xdr:row>
      <xdr:rowOff>0</xdr:rowOff>
    </xdr:from>
    <xdr:to>
      <xdr:col>4</xdr:col>
      <xdr:colOff>0</xdr:colOff>
      <xdr:row>522</xdr:row>
      <xdr:rowOff>161925</xdr:rowOff>
    </xdr:to>
    <xdr:sp>
      <xdr:nvSpPr>
        <xdr:cNvPr id="1069" name="矩形 3279" hidden="1"/>
        <xdr:cNvSpPr>
          <a:spLocks noChangeAspect="1" noChangeArrowheads="1"/>
        </xdr:cNvSpPr>
      </xdr:nvSpPr>
      <xdr:spPr>
        <a:xfrm>
          <a:off x="1371600" y="102333425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517</xdr:row>
      <xdr:rowOff>0</xdr:rowOff>
    </xdr:from>
    <xdr:to>
      <xdr:col>4</xdr:col>
      <xdr:colOff>0</xdr:colOff>
      <xdr:row>522</xdr:row>
      <xdr:rowOff>161925</xdr:rowOff>
    </xdr:to>
    <xdr:sp>
      <xdr:nvSpPr>
        <xdr:cNvPr id="1068" name="矩形 3278" hidden="1"/>
        <xdr:cNvSpPr>
          <a:spLocks noChangeAspect="1" noChangeArrowheads="1"/>
        </xdr:cNvSpPr>
      </xdr:nvSpPr>
      <xdr:spPr>
        <a:xfrm>
          <a:off x="1371600" y="102333425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517</xdr:row>
      <xdr:rowOff>0</xdr:rowOff>
    </xdr:from>
    <xdr:to>
      <xdr:col>4</xdr:col>
      <xdr:colOff>0</xdr:colOff>
      <xdr:row>522</xdr:row>
      <xdr:rowOff>161925</xdr:rowOff>
    </xdr:to>
    <xdr:sp>
      <xdr:nvSpPr>
        <xdr:cNvPr id="1067" name="矩形 3277" hidden="1"/>
        <xdr:cNvSpPr>
          <a:spLocks noChangeAspect="1" noChangeArrowheads="1"/>
        </xdr:cNvSpPr>
      </xdr:nvSpPr>
      <xdr:spPr>
        <a:xfrm>
          <a:off x="1371600" y="102333425"/>
          <a:ext cx="1533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519</xdr:row>
      <xdr:rowOff>152400</xdr:rowOff>
    </xdr:from>
    <xdr:to>
      <xdr:col>4</xdr:col>
      <xdr:colOff>0</xdr:colOff>
      <xdr:row>525</xdr:row>
      <xdr:rowOff>133350</xdr:rowOff>
    </xdr:to>
    <xdr:sp>
      <xdr:nvSpPr>
        <xdr:cNvPr id="1066" name="矩形 3276" hidden="1"/>
        <xdr:cNvSpPr>
          <a:spLocks noChangeAspect="1" noChangeArrowheads="1"/>
        </xdr:cNvSpPr>
      </xdr:nvSpPr>
      <xdr:spPr>
        <a:xfrm>
          <a:off x="1371600" y="1028668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519</xdr:row>
      <xdr:rowOff>152400</xdr:rowOff>
    </xdr:from>
    <xdr:to>
      <xdr:col>4</xdr:col>
      <xdr:colOff>0</xdr:colOff>
      <xdr:row>525</xdr:row>
      <xdr:rowOff>133350</xdr:rowOff>
    </xdr:to>
    <xdr:sp>
      <xdr:nvSpPr>
        <xdr:cNvPr id="1065" name="矩形 3275" hidden="1"/>
        <xdr:cNvSpPr>
          <a:spLocks noChangeAspect="1" noChangeArrowheads="1"/>
        </xdr:cNvSpPr>
      </xdr:nvSpPr>
      <xdr:spPr>
        <a:xfrm>
          <a:off x="1371600" y="1028668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519</xdr:row>
      <xdr:rowOff>152400</xdr:rowOff>
    </xdr:from>
    <xdr:to>
      <xdr:col>4</xdr:col>
      <xdr:colOff>0</xdr:colOff>
      <xdr:row>525</xdr:row>
      <xdr:rowOff>133350</xdr:rowOff>
    </xdr:to>
    <xdr:sp>
      <xdr:nvSpPr>
        <xdr:cNvPr id="1064" name="矩形 3274" hidden="1"/>
        <xdr:cNvSpPr>
          <a:spLocks noChangeAspect="1" noChangeArrowheads="1"/>
        </xdr:cNvSpPr>
      </xdr:nvSpPr>
      <xdr:spPr>
        <a:xfrm>
          <a:off x="1371600" y="1028668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519</xdr:row>
      <xdr:rowOff>152400</xdr:rowOff>
    </xdr:from>
    <xdr:to>
      <xdr:col>4</xdr:col>
      <xdr:colOff>0</xdr:colOff>
      <xdr:row>525</xdr:row>
      <xdr:rowOff>133350</xdr:rowOff>
    </xdr:to>
    <xdr:sp>
      <xdr:nvSpPr>
        <xdr:cNvPr id="1063" name="矩形 3273" hidden="1"/>
        <xdr:cNvSpPr>
          <a:spLocks noChangeAspect="1" noChangeArrowheads="1"/>
        </xdr:cNvSpPr>
      </xdr:nvSpPr>
      <xdr:spPr>
        <a:xfrm>
          <a:off x="1371600" y="1028668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519</xdr:row>
      <xdr:rowOff>152400</xdr:rowOff>
    </xdr:from>
    <xdr:to>
      <xdr:col>4</xdr:col>
      <xdr:colOff>0</xdr:colOff>
      <xdr:row>525</xdr:row>
      <xdr:rowOff>133350</xdr:rowOff>
    </xdr:to>
    <xdr:sp>
      <xdr:nvSpPr>
        <xdr:cNvPr id="1062" name="矩形 3272" hidden="1"/>
        <xdr:cNvSpPr>
          <a:spLocks noChangeAspect="1" noChangeArrowheads="1"/>
        </xdr:cNvSpPr>
      </xdr:nvSpPr>
      <xdr:spPr>
        <a:xfrm>
          <a:off x="1371600" y="1028668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519</xdr:row>
      <xdr:rowOff>152400</xdr:rowOff>
    </xdr:from>
    <xdr:to>
      <xdr:col>4</xdr:col>
      <xdr:colOff>0</xdr:colOff>
      <xdr:row>525</xdr:row>
      <xdr:rowOff>133350</xdr:rowOff>
    </xdr:to>
    <xdr:sp>
      <xdr:nvSpPr>
        <xdr:cNvPr id="1061" name="矩形 3271" hidden="1"/>
        <xdr:cNvSpPr>
          <a:spLocks noChangeAspect="1" noChangeArrowheads="1"/>
        </xdr:cNvSpPr>
      </xdr:nvSpPr>
      <xdr:spPr>
        <a:xfrm>
          <a:off x="1371600" y="1028668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519</xdr:row>
      <xdr:rowOff>152400</xdr:rowOff>
    </xdr:from>
    <xdr:to>
      <xdr:col>4</xdr:col>
      <xdr:colOff>0</xdr:colOff>
      <xdr:row>525</xdr:row>
      <xdr:rowOff>133350</xdr:rowOff>
    </xdr:to>
    <xdr:sp>
      <xdr:nvSpPr>
        <xdr:cNvPr id="1060" name="矩形 3270" hidden="1"/>
        <xdr:cNvSpPr>
          <a:spLocks noChangeAspect="1" noChangeArrowheads="1"/>
        </xdr:cNvSpPr>
      </xdr:nvSpPr>
      <xdr:spPr>
        <a:xfrm>
          <a:off x="1371600" y="1028668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519</xdr:row>
      <xdr:rowOff>152400</xdr:rowOff>
    </xdr:from>
    <xdr:to>
      <xdr:col>4</xdr:col>
      <xdr:colOff>0</xdr:colOff>
      <xdr:row>525</xdr:row>
      <xdr:rowOff>133350</xdr:rowOff>
    </xdr:to>
    <xdr:sp>
      <xdr:nvSpPr>
        <xdr:cNvPr id="1059" name="矩形 3269" hidden="1"/>
        <xdr:cNvSpPr>
          <a:spLocks noChangeAspect="1" noChangeArrowheads="1"/>
        </xdr:cNvSpPr>
      </xdr:nvSpPr>
      <xdr:spPr>
        <a:xfrm>
          <a:off x="1371600" y="1028668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519</xdr:row>
      <xdr:rowOff>152400</xdr:rowOff>
    </xdr:from>
    <xdr:to>
      <xdr:col>4</xdr:col>
      <xdr:colOff>0</xdr:colOff>
      <xdr:row>525</xdr:row>
      <xdr:rowOff>133350</xdr:rowOff>
    </xdr:to>
    <xdr:sp>
      <xdr:nvSpPr>
        <xdr:cNvPr id="1058" name="矩形 3268" hidden="1"/>
        <xdr:cNvSpPr>
          <a:spLocks noChangeAspect="1" noChangeArrowheads="1"/>
        </xdr:cNvSpPr>
      </xdr:nvSpPr>
      <xdr:spPr>
        <a:xfrm>
          <a:off x="1371600" y="1028668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519</xdr:row>
      <xdr:rowOff>152400</xdr:rowOff>
    </xdr:from>
    <xdr:to>
      <xdr:col>4</xdr:col>
      <xdr:colOff>0</xdr:colOff>
      <xdr:row>525</xdr:row>
      <xdr:rowOff>133350</xdr:rowOff>
    </xdr:to>
    <xdr:sp>
      <xdr:nvSpPr>
        <xdr:cNvPr id="1057" name="矩形 3267" hidden="1"/>
        <xdr:cNvSpPr>
          <a:spLocks noChangeAspect="1" noChangeArrowheads="1"/>
        </xdr:cNvSpPr>
      </xdr:nvSpPr>
      <xdr:spPr>
        <a:xfrm>
          <a:off x="1371600" y="1028668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519</xdr:row>
      <xdr:rowOff>152400</xdr:rowOff>
    </xdr:from>
    <xdr:to>
      <xdr:col>4</xdr:col>
      <xdr:colOff>0</xdr:colOff>
      <xdr:row>525</xdr:row>
      <xdr:rowOff>133350</xdr:rowOff>
    </xdr:to>
    <xdr:sp>
      <xdr:nvSpPr>
        <xdr:cNvPr id="1056" name="矩形 3266" hidden="1"/>
        <xdr:cNvSpPr>
          <a:spLocks noChangeAspect="1" noChangeArrowheads="1"/>
        </xdr:cNvSpPr>
      </xdr:nvSpPr>
      <xdr:spPr>
        <a:xfrm>
          <a:off x="1371600" y="1028668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519</xdr:row>
      <xdr:rowOff>152400</xdr:rowOff>
    </xdr:from>
    <xdr:to>
      <xdr:col>4</xdr:col>
      <xdr:colOff>0</xdr:colOff>
      <xdr:row>525</xdr:row>
      <xdr:rowOff>133350</xdr:rowOff>
    </xdr:to>
    <xdr:sp>
      <xdr:nvSpPr>
        <xdr:cNvPr id="1055" name="矩形 3265" hidden="1"/>
        <xdr:cNvSpPr>
          <a:spLocks noChangeAspect="1" noChangeArrowheads="1"/>
        </xdr:cNvSpPr>
      </xdr:nvSpPr>
      <xdr:spPr>
        <a:xfrm>
          <a:off x="1371600" y="1028668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519</xdr:row>
      <xdr:rowOff>152400</xdr:rowOff>
    </xdr:from>
    <xdr:to>
      <xdr:col>4</xdr:col>
      <xdr:colOff>0</xdr:colOff>
      <xdr:row>525</xdr:row>
      <xdr:rowOff>133350</xdr:rowOff>
    </xdr:to>
    <xdr:sp>
      <xdr:nvSpPr>
        <xdr:cNvPr id="1054" name="矩形 3264" hidden="1"/>
        <xdr:cNvSpPr>
          <a:spLocks noChangeAspect="1" noChangeArrowheads="1"/>
        </xdr:cNvSpPr>
      </xdr:nvSpPr>
      <xdr:spPr>
        <a:xfrm>
          <a:off x="1371600" y="1028668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519</xdr:row>
      <xdr:rowOff>152400</xdr:rowOff>
    </xdr:from>
    <xdr:to>
      <xdr:col>4</xdr:col>
      <xdr:colOff>0</xdr:colOff>
      <xdr:row>525</xdr:row>
      <xdr:rowOff>133350</xdr:rowOff>
    </xdr:to>
    <xdr:sp>
      <xdr:nvSpPr>
        <xdr:cNvPr id="1053" name="矩形 3263" hidden="1"/>
        <xdr:cNvSpPr>
          <a:spLocks noChangeAspect="1" noChangeArrowheads="1"/>
        </xdr:cNvSpPr>
      </xdr:nvSpPr>
      <xdr:spPr>
        <a:xfrm>
          <a:off x="1371600" y="10286682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522</xdr:row>
      <xdr:rowOff>123825</xdr:rowOff>
    </xdr:from>
    <xdr:to>
      <xdr:col>4</xdr:col>
      <xdr:colOff>0</xdr:colOff>
      <xdr:row>528</xdr:row>
      <xdr:rowOff>104775</xdr:rowOff>
    </xdr:to>
    <xdr:sp>
      <xdr:nvSpPr>
        <xdr:cNvPr id="1052" name="矩形 3262" hidden="1"/>
        <xdr:cNvSpPr>
          <a:spLocks noChangeAspect="1" noChangeArrowheads="1"/>
        </xdr:cNvSpPr>
      </xdr:nvSpPr>
      <xdr:spPr>
        <a:xfrm>
          <a:off x="1371600" y="1034097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522</xdr:row>
      <xdr:rowOff>123825</xdr:rowOff>
    </xdr:from>
    <xdr:to>
      <xdr:col>4</xdr:col>
      <xdr:colOff>0</xdr:colOff>
      <xdr:row>528</xdr:row>
      <xdr:rowOff>104775</xdr:rowOff>
    </xdr:to>
    <xdr:sp>
      <xdr:nvSpPr>
        <xdr:cNvPr id="1051" name="矩形 3261" hidden="1"/>
        <xdr:cNvSpPr>
          <a:spLocks noChangeAspect="1" noChangeArrowheads="1"/>
        </xdr:cNvSpPr>
      </xdr:nvSpPr>
      <xdr:spPr>
        <a:xfrm>
          <a:off x="1371600" y="1034097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522</xdr:row>
      <xdr:rowOff>123825</xdr:rowOff>
    </xdr:from>
    <xdr:to>
      <xdr:col>4</xdr:col>
      <xdr:colOff>0</xdr:colOff>
      <xdr:row>528</xdr:row>
      <xdr:rowOff>104775</xdr:rowOff>
    </xdr:to>
    <xdr:sp>
      <xdr:nvSpPr>
        <xdr:cNvPr id="1050" name="矩形 3260" hidden="1"/>
        <xdr:cNvSpPr>
          <a:spLocks noChangeAspect="1" noChangeArrowheads="1"/>
        </xdr:cNvSpPr>
      </xdr:nvSpPr>
      <xdr:spPr>
        <a:xfrm>
          <a:off x="1371600" y="1034097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522</xdr:row>
      <xdr:rowOff>123825</xdr:rowOff>
    </xdr:from>
    <xdr:to>
      <xdr:col>4</xdr:col>
      <xdr:colOff>0</xdr:colOff>
      <xdr:row>528</xdr:row>
      <xdr:rowOff>104775</xdr:rowOff>
    </xdr:to>
    <xdr:sp>
      <xdr:nvSpPr>
        <xdr:cNvPr id="1049" name="矩形 3259" hidden="1"/>
        <xdr:cNvSpPr>
          <a:spLocks noChangeAspect="1" noChangeArrowheads="1"/>
        </xdr:cNvSpPr>
      </xdr:nvSpPr>
      <xdr:spPr>
        <a:xfrm>
          <a:off x="1371600" y="1034097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522</xdr:row>
      <xdr:rowOff>123825</xdr:rowOff>
    </xdr:from>
    <xdr:to>
      <xdr:col>4</xdr:col>
      <xdr:colOff>0</xdr:colOff>
      <xdr:row>528</xdr:row>
      <xdr:rowOff>104775</xdr:rowOff>
    </xdr:to>
    <xdr:sp>
      <xdr:nvSpPr>
        <xdr:cNvPr id="1048" name="矩形 3258" hidden="1"/>
        <xdr:cNvSpPr>
          <a:spLocks noChangeAspect="1" noChangeArrowheads="1"/>
        </xdr:cNvSpPr>
      </xdr:nvSpPr>
      <xdr:spPr>
        <a:xfrm>
          <a:off x="1371600" y="1034097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522</xdr:row>
      <xdr:rowOff>123825</xdr:rowOff>
    </xdr:from>
    <xdr:to>
      <xdr:col>4</xdr:col>
      <xdr:colOff>0</xdr:colOff>
      <xdr:row>528</xdr:row>
      <xdr:rowOff>104775</xdr:rowOff>
    </xdr:to>
    <xdr:sp>
      <xdr:nvSpPr>
        <xdr:cNvPr id="1047" name="矩形 3257" hidden="1"/>
        <xdr:cNvSpPr>
          <a:spLocks noChangeAspect="1" noChangeArrowheads="1"/>
        </xdr:cNvSpPr>
      </xdr:nvSpPr>
      <xdr:spPr>
        <a:xfrm>
          <a:off x="1371600" y="1034097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522</xdr:row>
      <xdr:rowOff>123825</xdr:rowOff>
    </xdr:from>
    <xdr:to>
      <xdr:col>4</xdr:col>
      <xdr:colOff>0</xdr:colOff>
      <xdr:row>528</xdr:row>
      <xdr:rowOff>104775</xdr:rowOff>
    </xdr:to>
    <xdr:sp>
      <xdr:nvSpPr>
        <xdr:cNvPr id="1046" name="矩形 3256" hidden="1"/>
        <xdr:cNvSpPr>
          <a:spLocks noChangeAspect="1" noChangeArrowheads="1"/>
        </xdr:cNvSpPr>
      </xdr:nvSpPr>
      <xdr:spPr>
        <a:xfrm>
          <a:off x="1371600" y="1034097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522</xdr:row>
      <xdr:rowOff>123825</xdr:rowOff>
    </xdr:from>
    <xdr:to>
      <xdr:col>4</xdr:col>
      <xdr:colOff>0</xdr:colOff>
      <xdr:row>528</xdr:row>
      <xdr:rowOff>104775</xdr:rowOff>
    </xdr:to>
    <xdr:sp>
      <xdr:nvSpPr>
        <xdr:cNvPr id="1045" name="矩形 3255" hidden="1"/>
        <xdr:cNvSpPr>
          <a:spLocks noChangeAspect="1" noChangeArrowheads="1"/>
        </xdr:cNvSpPr>
      </xdr:nvSpPr>
      <xdr:spPr>
        <a:xfrm>
          <a:off x="1371600" y="1034097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522</xdr:row>
      <xdr:rowOff>123825</xdr:rowOff>
    </xdr:from>
    <xdr:to>
      <xdr:col>4</xdr:col>
      <xdr:colOff>0</xdr:colOff>
      <xdr:row>528</xdr:row>
      <xdr:rowOff>104775</xdr:rowOff>
    </xdr:to>
    <xdr:sp>
      <xdr:nvSpPr>
        <xdr:cNvPr id="1044" name="矩形 3254" hidden="1"/>
        <xdr:cNvSpPr>
          <a:spLocks noChangeAspect="1" noChangeArrowheads="1"/>
        </xdr:cNvSpPr>
      </xdr:nvSpPr>
      <xdr:spPr>
        <a:xfrm>
          <a:off x="1371600" y="1034097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522</xdr:row>
      <xdr:rowOff>123825</xdr:rowOff>
    </xdr:from>
    <xdr:to>
      <xdr:col>4</xdr:col>
      <xdr:colOff>0</xdr:colOff>
      <xdr:row>528</xdr:row>
      <xdr:rowOff>104775</xdr:rowOff>
    </xdr:to>
    <xdr:sp>
      <xdr:nvSpPr>
        <xdr:cNvPr id="1043" name="矩形 3253" hidden="1"/>
        <xdr:cNvSpPr>
          <a:spLocks noChangeAspect="1" noChangeArrowheads="1"/>
        </xdr:cNvSpPr>
      </xdr:nvSpPr>
      <xdr:spPr>
        <a:xfrm>
          <a:off x="1371600" y="1034097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522</xdr:row>
      <xdr:rowOff>123825</xdr:rowOff>
    </xdr:from>
    <xdr:to>
      <xdr:col>4</xdr:col>
      <xdr:colOff>0</xdr:colOff>
      <xdr:row>528</xdr:row>
      <xdr:rowOff>104775</xdr:rowOff>
    </xdr:to>
    <xdr:sp>
      <xdr:nvSpPr>
        <xdr:cNvPr id="1042" name="矩形 3252" hidden="1"/>
        <xdr:cNvSpPr>
          <a:spLocks noChangeAspect="1" noChangeArrowheads="1"/>
        </xdr:cNvSpPr>
      </xdr:nvSpPr>
      <xdr:spPr>
        <a:xfrm>
          <a:off x="1371600" y="1034097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522</xdr:row>
      <xdr:rowOff>123825</xdr:rowOff>
    </xdr:from>
    <xdr:to>
      <xdr:col>4</xdr:col>
      <xdr:colOff>0</xdr:colOff>
      <xdr:row>528</xdr:row>
      <xdr:rowOff>104775</xdr:rowOff>
    </xdr:to>
    <xdr:sp>
      <xdr:nvSpPr>
        <xdr:cNvPr id="1041" name="矩形 3251" hidden="1"/>
        <xdr:cNvSpPr>
          <a:spLocks noChangeAspect="1" noChangeArrowheads="1"/>
        </xdr:cNvSpPr>
      </xdr:nvSpPr>
      <xdr:spPr>
        <a:xfrm>
          <a:off x="1371600" y="1034097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522</xdr:row>
      <xdr:rowOff>123825</xdr:rowOff>
    </xdr:from>
    <xdr:to>
      <xdr:col>4</xdr:col>
      <xdr:colOff>0</xdr:colOff>
      <xdr:row>528</xdr:row>
      <xdr:rowOff>104775</xdr:rowOff>
    </xdr:to>
    <xdr:sp>
      <xdr:nvSpPr>
        <xdr:cNvPr id="1040" name="矩形 3250" hidden="1"/>
        <xdr:cNvSpPr>
          <a:spLocks noChangeAspect="1" noChangeArrowheads="1"/>
        </xdr:cNvSpPr>
      </xdr:nvSpPr>
      <xdr:spPr>
        <a:xfrm>
          <a:off x="1371600" y="1034097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522</xdr:row>
      <xdr:rowOff>123825</xdr:rowOff>
    </xdr:from>
    <xdr:to>
      <xdr:col>4</xdr:col>
      <xdr:colOff>0</xdr:colOff>
      <xdr:row>528</xdr:row>
      <xdr:rowOff>104775</xdr:rowOff>
    </xdr:to>
    <xdr:sp>
      <xdr:nvSpPr>
        <xdr:cNvPr id="1039" name="矩形 3249" hidden="1"/>
        <xdr:cNvSpPr>
          <a:spLocks noChangeAspect="1" noChangeArrowheads="1"/>
        </xdr:cNvSpPr>
      </xdr:nvSpPr>
      <xdr:spPr>
        <a:xfrm>
          <a:off x="1371600" y="103409750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525</xdr:row>
      <xdr:rowOff>95250</xdr:rowOff>
    </xdr:from>
    <xdr:to>
      <xdr:col>4</xdr:col>
      <xdr:colOff>0</xdr:colOff>
      <xdr:row>531</xdr:row>
      <xdr:rowOff>76200</xdr:rowOff>
    </xdr:to>
    <xdr:sp>
      <xdr:nvSpPr>
        <xdr:cNvPr id="1038" name="矩形 3248" hidden="1"/>
        <xdr:cNvSpPr>
          <a:spLocks noChangeAspect="1" noChangeArrowheads="1"/>
        </xdr:cNvSpPr>
      </xdr:nvSpPr>
      <xdr:spPr>
        <a:xfrm>
          <a:off x="1371600" y="103952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525</xdr:row>
      <xdr:rowOff>95250</xdr:rowOff>
    </xdr:from>
    <xdr:to>
      <xdr:col>4</xdr:col>
      <xdr:colOff>0</xdr:colOff>
      <xdr:row>531</xdr:row>
      <xdr:rowOff>76200</xdr:rowOff>
    </xdr:to>
    <xdr:sp>
      <xdr:nvSpPr>
        <xdr:cNvPr id="1037" name="矩形 3247" hidden="1"/>
        <xdr:cNvSpPr>
          <a:spLocks noChangeAspect="1" noChangeArrowheads="1"/>
        </xdr:cNvSpPr>
      </xdr:nvSpPr>
      <xdr:spPr>
        <a:xfrm>
          <a:off x="1371600" y="103952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525</xdr:row>
      <xdr:rowOff>95250</xdr:rowOff>
    </xdr:from>
    <xdr:to>
      <xdr:col>4</xdr:col>
      <xdr:colOff>0</xdr:colOff>
      <xdr:row>531</xdr:row>
      <xdr:rowOff>76200</xdr:rowOff>
    </xdr:to>
    <xdr:sp>
      <xdr:nvSpPr>
        <xdr:cNvPr id="1036" name="矩形 3246" hidden="1"/>
        <xdr:cNvSpPr>
          <a:spLocks noChangeAspect="1" noChangeArrowheads="1"/>
        </xdr:cNvSpPr>
      </xdr:nvSpPr>
      <xdr:spPr>
        <a:xfrm>
          <a:off x="1371600" y="103952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525</xdr:row>
      <xdr:rowOff>95250</xdr:rowOff>
    </xdr:from>
    <xdr:to>
      <xdr:col>4</xdr:col>
      <xdr:colOff>0</xdr:colOff>
      <xdr:row>531</xdr:row>
      <xdr:rowOff>76200</xdr:rowOff>
    </xdr:to>
    <xdr:sp>
      <xdr:nvSpPr>
        <xdr:cNvPr id="1035" name="矩形 3245" hidden="1"/>
        <xdr:cNvSpPr>
          <a:spLocks noChangeAspect="1" noChangeArrowheads="1"/>
        </xdr:cNvSpPr>
      </xdr:nvSpPr>
      <xdr:spPr>
        <a:xfrm>
          <a:off x="1371600" y="103952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525</xdr:row>
      <xdr:rowOff>95250</xdr:rowOff>
    </xdr:from>
    <xdr:to>
      <xdr:col>4</xdr:col>
      <xdr:colOff>0</xdr:colOff>
      <xdr:row>531</xdr:row>
      <xdr:rowOff>76200</xdr:rowOff>
    </xdr:to>
    <xdr:sp>
      <xdr:nvSpPr>
        <xdr:cNvPr id="1034" name="矩形 3244" hidden="1"/>
        <xdr:cNvSpPr>
          <a:spLocks noChangeAspect="1" noChangeArrowheads="1"/>
        </xdr:cNvSpPr>
      </xdr:nvSpPr>
      <xdr:spPr>
        <a:xfrm>
          <a:off x="1371600" y="103952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525</xdr:row>
      <xdr:rowOff>95250</xdr:rowOff>
    </xdr:from>
    <xdr:to>
      <xdr:col>4</xdr:col>
      <xdr:colOff>0</xdr:colOff>
      <xdr:row>531</xdr:row>
      <xdr:rowOff>76200</xdr:rowOff>
    </xdr:to>
    <xdr:sp>
      <xdr:nvSpPr>
        <xdr:cNvPr id="1033" name="矩形 3243" hidden="1"/>
        <xdr:cNvSpPr>
          <a:spLocks noChangeAspect="1" noChangeArrowheads="1"/>
        </xdr:cNvSpPr>
      </xdr:nvSpPr>
      <xdr:spPr>
        <a:xfrm>
          <a:off x="1371600" y="103952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525</xdr:row>
      <xdr:rowOff>95250</xdr:rowOff>
    </xdr:from>
    <xdr:to>
      <xdr:col>4</xdr:col>
      <xdr:colOff>0</xdr:colOff>
      <xdr:row>531</xdr:row>
      <xdr:rowOff>76200</xdr:rowOff>
    </xdr:to>
    <xdr:sp>
      <xdr:nvSpPr>
        <xdr:cNvPr id="1032" name="矩形 3242" hidden="1"/>
        <xdr:cNvSpPr>
          <a:spLocks noChangeAspect="1" noChangeArrowheads="1"/>
        </xdr:cNvSpPr>
      </xdr:nvSpPr>
      <xdr:spPr>
        <a:xfrm>
          <a:off x="1371600" y="103952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525</xdr:row>
      <xdr:rowOff>95250</xdr:rowOff>
    </xdr:from>
    <xdr:to>
      <xdr:col>4</xdr:col>
      <xdr:colOff>0</xdr:colOff>
      <xdr:row>531</xdr:row>
      <xdr:rowOff>76200</xdr:rowOff>
    </xdr:to>
    <xdr:sp>
      <xdr:nvSpPr>
        <xdr:cNvPr id="1031" name="矩形 3241" hidden="1"/>
        <xdr:cNvSpPr>
          <a:spLocks noChangeAspect="1" noChangeArrowheads="1"/>
        </xdr:cNvSpPr>
      </xdr:nvSpPr>
      <xdr:spPr>
        <a:xfrm>
          <a:off x="1371600" y="103952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525</xdr:row>
      <xdr:rowOff>95250</xdr:rowOff>
    </xdr:from>
    <xdr:to>
      <xdr:col>4</xdr:col>
      <xdr:colOff>0</xdr:colOff>
      <xdr:row>531</xdr:row>
      <xdr:rowOff>76200</xdr:rowOff>
    </xdr:to>
    <xdr:sp>
      <xdr:nvSpPr>
        <xdr:cNvPr id="1030" name="矩形 3240" hidden="1"/>
        <xdr:cNvSpPr>
          <a:spLocks noChangeAspect="1" noChangeArrowheads="1"/>
        </xdr:cNvSpPr>
      </xdr:nvSpPr>
      <xdr:spPr>
        <a:xfrm>
          <a:off x="1371600" y="103952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525</xdr:row>
      <xdr:rowOff>95250</xdr:rowOff>
    </xdr:from>
    <xdr:to>
      <xdr:col>4</xdr:col>
      <xdr:colOff>0</xdr:colOff>
      <xdr:row>531</xdr:row>
      <xdr:rowOff>76200</xdr:rowOff>
    </xdr:to>
    <xdr:sp>
      <xdr:nvSpPr>
        <xdr:cNvPr id="1029" name="矩形 3239" hidden="1"/>
        <xdr:cNvSpPr>
          <a:spLocks noChangeAspect="1" noChangeArrowheads="1"/>
        </xdr:cNvSpPr>
      </xdr:nvSpPr>
      <xdr:spPr>
        <a:xfrm>
          <a:off x="1371600" y="103952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525</xdr:row>
      <xdr:rowOff>95250</xdr:rowOff>
    </xdr:from>
    <xdr:to>
      <xdr:col>4</xdr:col>
      <xdr:colOff>0</xdr:colOff>
      <xdr:row>531</xdr:row>
      <xdr:rowOff>76200</xdr:rowOff>
    </xdr:to>
    <xdr:sp>
      <xdr:nvSpPr>
        <xdr:cNvPr id="1028" name="矩形 3238" hidden="1"/>
        <xdr:cNvSpPr>
          <a:spLocks noChangeAspect="1" noChangeArrowheads="1"/>
        </xdr:cNvSpPr>
      </xdr:nvSpPr>
      <xdr:spPr>
        <a:xfrm>
          <a:off x="1371600" y="103952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525</xdr:row>
      <xdr:rowOff>95250</xdr:rowOff>
    </xdr:from>
    <xdr:to>
      <xdr:col>4</xdr:col>
      <xdr:colOff>0</xdr:colOff>
      <xdr:row>531</xdr:row>
      <xdr:rowOff>76200</xdr:rowOff>
    </xdr:to>
    <xdr:sp>
      <xdr:nvSpPr>
        <xdr:cNvPr id="1027" name="矩形 3237" hidden="1"/>
        <xdr:cNvSpPr>
          <a:spLocks noChangeAspect="1" noChangeArrowheads="1"/>
        </xdr:cNvSpPr>
      </xdr:nvSpPr>
      <xdr:spPr>
        <a:xfrm>
          <a:off x="1371600" y="103952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525</xdr:row>
      <xdr:rowOff>95250</xdr:rowOff>
    </xdr:from>
    <xdr:to>
      <xdr:col>4</xdr:col>
      <xdr:colOff>0</xdr:colOff>
      <xdr:row>531</xdr:row>
      <xdr:rowOff>76200</xdr:rowOff>
    </xdr:to>
    <xdr:sp>
      <xdr:nvSpPr>
        <xdr:cNvPr id="1026" name="矩形 3236" hidden="1"/>
        <xdr:cNvSpPr>
          <a:spLocks noChangeAspect="1" noChangeArrowheads="1"/>
        </xdr:cNvSpPr>
      </xdr:nvSpPr>
      <xdr:spPr>
        <a:xfrm>
          <a:off x="1371600" y="103952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525</xdr:row>
      <xdr:rowOff>95250</xdr:rowOff>
    </xdr:from>
    <xdr:to>
      <xdr:col>4</xdr:col>
      <xdr:colOff>0</xdr:colOff>
      <xdr:row>531</xdr:row>
      <xdr:rowOff>76200</xdr:rowOff>
    </xdr:to>
    <xdr:sp>
      <xdr:nvSpPr>
        <xdr:cNvPr id="1025" name="矩形 3235" hidden="1"/>
        <xdr:cNvSpPr>
          <a:spLocks noChangeAspect="1" noChangeArrowheads="1"/>
        </xdr:cNvSpPr>
      </xdr:nvSpPr>
      <xdr:spPr>
        <a:xfrm>
          <a:off x="1371600" y="103952675"/>
          <a:ext cx="15335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438149</xdr:colOff>
      <xdr:row>1</xdr:row>
      <xdr:rowOff>66675</xdr:rowOff>
    </xdr:from>
    <xdr:to>
      <xdr:col>14</xdr:col>
      <xdr:colOff>428624</xdr:colOff>
      <xdr:row>17</xdr:row>
      <xdr:rowOff>104775</xdr:rowOff>
    </xdr:to>
    <xdr:graphicFrame>
      <xdr:nvGraphicFramePr>
        <xdr:cNvPr id="2" name="图表 1"/>
        <xdr:cNvGraphicFramePr/>
      </xdr:nvGraphicFramePr>
      <xdr:xfrm>
        <a:off x="6638290" y="247650"/>
        <a:ext cx="4791075" cy="2933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590549</xdr:colOff>
      <xdr:row>20</xdr:row>
      <xdr:rowOff>142875</xdr:rowOff>
    </xdr:from>
    <xdr:to>
      <xdr:col>12</xdr:col>
      <xdr:colOff>542924</xdr:colOff>
      <xdr:row>36</xdr:row>
      <xdr:rowOff>171450</xdr:rowOff>
    </xdr:to>
    <xdr:graphicFrame>
      <xdr:nvGraphicFramePr>
        <xdr:cNvPr id="3" name="图表 2"/>
        <xdr:cNvGraphicFramePr/>
      </xdr:nvGraphicFramePr>
      <xdr:xfrm>
        <a:off x="5419090" y="3762375"/>
        <a:ext cx="4752975" cy="2933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561976</xdr:colOff>
      <xdr:row>0</xdr:row>
      <xdr:rowOff>47625</xdr:rowOff>
    </xdr:from>
    <xdr:to>
      <xdr:col>22</xdr:col>
      <xdr:colOff>85725</xdr:colOff>
      <xdr:row>11</xdr:row>
      <xdr:rowOff>0</xdr:rowOff>
    </xdr:to>
    <xdr:graphicFrame>
      <xdr:nvGraphicFramePr>
        <xdr:cNvPr id="2" name="图表 1"/>
        <xdr:cNvGraphicFramePr/>
      </xdr:nvGraphicFramePr>
      <xdr:xfrm>
        <a:off x="12753975" y="47625"/>
        <a:ext cx="363855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600076</xdr:colOff>
      <xdr:row>12</xdr:row>
      <xdr:rowOff>114301</xdr:rowOff>
    </xdr:from>
    <xdr:to>
      <xdr:col>22</xdr:col>
      <xdr:colOff>200026</xdr:colOff>
      <xdr:row>23</xdr:row>
      <xdr:rowOff>95251</xdr:rowOff>
    </xdr:to>
    <xdr:graphicFrame>
      <xdr:nvGraphicFramePr>
        <xdr:cNvPr id="5" name="图表 4"/>
        <xdr:cNvGraphicFramePr/>
      </xdr:nvGraphicFramePr>
      <xdr:xfrm>
        <a:off x="12792075" y="2333625"/>
        <a:ext cx="3714750" cy="2009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123825</xdr:colOff>
      <xdr:row>25</xdr:row>
      <xdr:rowOff>142875</xdr:rowOff>
    </xdr:from>
    <xdr:to>
      <xdr:col>22</xdr:col>
      <xdr:colOff>381000</xdr:colOff>
      <xdr:row>39</xdr:row>
      <xdr:rowOff>76200</xdr:rowOff>
    </xdr:to>
    <xdr:graphicFrame>
      <xdr:nvGraphicFramePr>
        <xdr:cNvPr id="6" name="图表 5"/>
        <xdr:cNvGraphicFramePr/>
      </xdr:nvGraphicFramePr>
      <xdr:xfrm>
        <a:off x="12315825" y="4752975"/>
        <a:ext cx="4371975" cy="2466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76200</xdr:colOff>
      <xdr:row>42</xdr:row>
      <xdr:rowOff>0</xdr:rowOff>
    </xdr:from>
    <xdr:to>
      <xdr:col>21</xdr:col>
      <xdr:colOff>552450</xdr:colOff>
      <xdr:row>54</xdr:row>
      <xdr:rowOff>123825</xdr:rowOff>
    </xdr:to>
    <xdr:graphicFrame>
      <xdr:nvGraphicFramePr>
        <xdr:cNvPr id="7" name="图表 6"/>
        <xdr:cNvGraphicFramePr/>
      </xdr:nvGraphicFramePr>
      <xdr:xfrm>
        <a:off x="12268200" y="7686675"/>
        <a:ext cx="3905250" cy="2371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28575</xdr:colOff>
      <xdr:row>56</xdr:row>
      <xdr:rowOff>76199</xdr:rowOff>
    </xdr:from>
    <xdr:to>
      <xdr:col>21</xdr:col>
      <xdr:colOff>238125</xdr:colOff>
      <xdr:row>68</xdr:row>
      <xdr:rowOff>95250</xdr:rowOff>
    </xdr:to>
    <xdr:graphicFrame>
      <xdr:nvGraphicFramePr>
        <xdr:cNvPr id="8" name="图表 7"/>
        <xdr:cNvGraphicFramePr/>
      </xdr:nvGraphicFramePr>
      <xdr:xfrm>
        <a:off x="12220575" y="10372090"/>
        <a:ext cx="3638550" cy="2248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590550</xdr:colOff>
      <xdr:row>69</xdr:row>
      <xdr:rowOff>95251</xdr:rowOff>
    </xdr:from>
    <xdr:to>
      <xdr:col>21</xdr:col>
      <xdr:colOff>180975</xdr:colOff>
      <xdr:row>82</xdr:row>
      <xdr:rowOff>1</xdr:rowOff>
    </xdr:to>
    <xdr:graphicFrame>
      <xdr:nvGraphicFramePr>
        <xdr:cNvPr id="3" name="图表 2"/>
        <xdr:cNvGraphicFramePr/>
      </xdr:nvGraphicFramePr>
      <xdr:xfrm>
        <a:off x="12096750" y="12801600"/>
        <a:ext cx="3705225" cy="228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581025</xdr:colOff>
      <xdr:row>83</xdr:row>
      <xdr:rowOff>57150</xdr:rowOff>
    </xdr:from>
    <xdr:to>
      <xdr:col>21</xdr:col>
      <xdr:colOff>542925</xdr:colOff>
      <xdr:row>95</xdr:row>
      <xdr:rowOff>123825</xdr:rowOff>
    </xdr:to>
    <xdr:graphicFrame>
      <xdr:nvGraphicFramePr>
        <xdr:cNvPr id="4" name="图表 3"/>
        <xdr:cNvGraphicFramePr/>
      </xdr:nvGraphicFramePr>
      <xdr:xfrm>
        <a:off x="12087225" y="15335250"/>
        <a:ext cx="4076700" cy="2352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28575</xdr:colOff>
      <xdr:row>97</xdr:row>
      <xdr:rowOff>142875</xdr:rowOff>
    </xdr:from>
    <xdr:to>
      <xdr:col>21</xdr:col>
      <xdr:colOff>314325</xdr:colOff>
      <xdr:row>110</xdr:row>
      <xdr:rowOff>9525</xdr:rowOff>
    </xdr:to>
    <xdr:graphicFrame>
      <xdr:nvGraphicFramePr>
        <xdr:cNvPr id="9" name="图表 8"/>
        <xdr:cNvGraphicFramePr/>
      </xdr:nvGraphicFramePr>
      <xdr:xfrm>
        <a:off x="12220575" y="18087975"/>
        <a:ext cx="3714750" cy="2343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28574</xdr:colOff>
      <xdr:row>1</xdr:row>
      <xdr:rowOff>123825</xdr:rowOff>
    </xdr:from>
    <xdr:to>
      <xdr:col>11</xdr:col>
      <xdr:colOff>647699</xdr:colOff>
      <xdr:row>16</xdr:row>
      <xdr:rowOff>85725</xdr:rowOff>
    </xdr:to>
    <xdr:graphicFrame>
      <xdr:nvGraphicFramePr>
        <xdr:cNvPr id="2" name="图表 1"/>
        <xdr:cNvGraphicFramePr/>
      </xdr:nvGraphicFramePr>
      <xdr:xfrm>
        <a:off x="4142740" y="304800"/>
        <a:ext cx="4048125" cy="2676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485776</xdr:colOff>
      <xdr:row>10</xdr:row>
      <xdr:rowOff>47625</xdr:rowOff>
    </xdr:from>
    <xdr:to>
      <xdr:col>19</xdr:col>
      <xdr:colOff>123826</xdr:colOff>
      <xdr:row>20</xdr:row>
      <xdr:rowOff>152400</xdr:rowOff>
    </xdr:to>
    <xdr:graphicFrame>
      <xdr:nvGraphicFramePr>
        <xdr:cNvPr id="4" name="图表 3"/>
        <xdr:cNvGraphicFramePr/>
      </xdr:nvGraphicFramePr>
      <xdr:xfrm>
        <a:off x="10086975" y="1857375"/>
        <a:ext cx="3067050" cy="1914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428625</xdr:colOff>
      <xdr:row>1</xdr:row>
      <xdr:rowOff>104775</xdr:rowOff>
    </xdr:from>
    <xdr:to>
      <xdr:col>24</xdr:col>
      <xdr:colOff>352425</xdr:colOff>
      <xdr:row>13</xdr:row>
      <xdr:rowOff>38100</xdr:rowOff>
    </xdr:to>
    <xdr:graphicFrame>
      <xdr:nvGraphicFramePr>
        <xdr:cNvPr id="5" name="图表 4"/>
        <xdr:cNvGraphicFramePr/>
      </xdr:nvGraphicFramePr>
      <xdr:xfrm>
        <a:off x="13458825" y="285750"/>
        <a:ext cx="3352800" cy="2105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289"/>
  <sheetViews>
    <sheetView workbookViewId="0">
      <selection activeCell="H2" sqref="H2:H3"/>
    </sheetView>
  </sheetViews>
  <sheetFormatPr defaultColWidth="9" defaultRowHeight="15" outlineLevelCol="7"/>
  <cols>
    <col min="1" max="2" width="9" style="15"/>
    <col min="3" max="3" width="11.25" style="16" customWidth="1"/>
    <col min="4" max="4" width="8.875" style="16" customWidth="1"/>
    <col min="5" max="5" width="11.125" style="16" customWidth="1"/>
    <col min="6" max="6" width="75.25" style="16" customWidth="1"/>
    <col min="7" max="7" width="10.625" style="16" customWidth="1"/>
    <col min="8" max="8" width="9.5" style="15" customWidth="1"/>
    <col min="9" max="16384" width="9" style="16"/>
  </cols>
  <sheetData>
    <row r="1" ht="27" customHeight="1" spans="1:8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4" t="s">
        <v>6</v>
      </c>
      <c r="H1" s="14" t="s">
        <v>7</v>
      </c>
    </row>
    <row r="2" ht="18" customHeight="1" spans="1:8">
      <c r="A2" s="18">
        <v>954</v>
      </c>
      <c r="B2" s="15">
        <v>1</v>
      </c>
      <c r="C2" s="23" t="s">
        <v>8</v>
      </c>
      <c r="D2" s="23" t="s">
        <v>9</v>
      </c>
      <c r="E2" s="22" t="s">
        <v>10</v>
      </c>
      <c r="F2" s="214" t="s">
        <v>11</v>
      </c>
      <c r="G2" s="22">
        <v>1</v>
      </c>
      <c r="H2" s="15">
        <v>20250902</v>
      </c>
    </row>
    <row r="3" ht="18" customHeight="1" spans="1:8">
      <c r="A3" s="18">
        <v>954.0025</v>
      </c>
      <c r="B3" s="15">
        <v>1</v>
      </c>
      <c r="C3" s="233" t="s">
        <v>12</v>
      </c>
      <c r="D3" s="233" t="s">
        <v>12</v>
      </c>
      <c r="E3" s="233" t="s">
        <v>13</v>
      </c>
      <c r="F3" s="31" t="s">
        <v>14</v>
      </c>
      <c r="G3" s="19">
        <v>1</v>
      </c>
      <c r="H3" s="15">
        <v>20250902</v>
      </c>
    </row>
    <row r="4" ht="18" customHeight="1" spans="1:8">
      <c r="A4" s="18">
        <v>954.009</v>
      </c>
      <c r="B4" s="15">
        <v>2</v>
      </c>
      <c r="C4" s="23" t="s">
        <v>8</v>
      </c>
      <c r="D4" s="23" t="s">
        <v>9</v>
      </c>
      <c r="E4" s="23" t="s">
        <v>15</v>
      </c>
      <c r="F4" s="95" t="s">
        <v>16</v>
      </c>
      <c r="G4" s="22">
        <v>0</v>
      </c>
      <c r="H4" s="15">
        <v>20250902</v>
      </c>
    </row>
    <row r="5" ht="17.1" customHeight="1" spans="1:8">
      <c r="A5" s="18">
        <v>954.047</v>
      </c>
      <c r="B5" s="180">
        <v>7</v>
      </c>
      <c r="C5" s="187" t="s">
        <v>17</v>
      </c>
      <c r="D5" s="187" t="s">
        <v>18</v>
      </c>
      <c r="E5" s="187" t="s">
        <v>19</v>
      </c>
      <c r="F5" s="183" t="s">
        <v>20</v>
      </c>
      <c r="G5" s="175">
        <v>1</v>
      </c>
      <c r="H5" s="15">
        <v>20250902</v>
      </c>
    </row>
    <row r="6" ht="30" customHeight="1" spans="1:8">
      <c r="A6" s="18">
        <v>954.05</v>
      </c>
      <c r="B6" s="180">
        <v>8</v>
      </c>
      <c r="C6" s="175" t="s">
        <v>21</v>
      </c>
      <c r="D6" s="175" t="s">
        <v>22</v>
      </c>
      <c r="E6" s="187" t="s">
        <v>23</v>
      </c>
      <c r="F6" s="194" t="s">
        <v>24</v>
      </c>
      <c r="G6" s="126">
        <v>1</v>
      </c>
      <c r="H6" s="15">
        <v>20250902</v>
      </c>
    </row>
    <row r="7" ht="18" customHeight="1" spans="1:8">
      <c r="A7" s="18">
        <v>954.063</v>
      </c>
      <c r="B7" s="15">
        <v>9</v>
      </c>
      <c r="C7" s="23" t="s">
        <v>25</v>
      </c>
      <c r="D7" s="23" t="s">
        <v>26</v>
      </c>
      <c r="E7" s="23" t="s">
        <v>27</v>
      </c>
      <c r="F7" s="95" t="s">
        <v>28</v>
      </c>
      <c r="G7" s="19">
        <v>1</v>
      </c>
      <c r="H7" s="15">
        <v>20250902</v>
      </c>
    </row>
    <row r="8" ht="33" customHeight="1" spans="1:8">
      <c r="A8" s="15">
        <v>954.065</v>
      </c>
      <c r="B8" s="15">
        <v>9</v>
      </c>
      <c r="C8" s="22" t="s">
        <v>21</v>
      </c>
      <c r="D8" s="22" t="s">
        <v>22</v>
      </c>
      <c r="E8" s="23" t="s">
        <v>29</v>
      </c>
      <c r="F8" s="193" t="s">
        <v>30</v>
      </c>
      <c r="G8" s="34">
        <v>1</v>
      </c>
      <c r="H8" s="15">
        <v>20250902</v>
      </c>
    </row>
    <row r="9" ht="18" customHeight="1" spans="1:8">
      <c r="A9" s="15">
        <v>954.075</v>
      </c>
      <c r="B9" s="180">
        <v>11</v>
      </c>
      <c r="C9" s="187" t="s">
        <v>17</v>
      </c>
      <c r="D9" s="187" t="s">
        <v>18</v>
      </c>
      <c r="E9" s="187" t="s">
        <v>19</v>
      </c>
      <c r="F9" s="182" t="s">
        <v>31</v>
      </c>
      <c r="G9" s="234">
        <v>1</v>
      </c>
      <c r="H9" s="15">
        <v>20250902</v>
      </c>
    </row>
    <row r="10" ht="18" customHeight="1" spans="1:8">
      <c r="A10" s="18">
        <v>954.097</v>
      </c>
      <c r="B10" s="15">
        <v>14</v>
      </c>
      <c r="C10" s="23" t="s">
        <v>8</v>
      </c>
      <c r="D10" s="22" t="s">
        <v>9</v>
      </c>
      <c r="E10" s="23" t="s">
        <v>15</v>
      </c>
      <c r="F10" s="228" t="s">
        <v>32</v>
      </c>
      <c r="G10" s="22">
        <v>0</v>
      </c>
      <c r="H10" s="15">
        <v>20250902</v>
      </c>
    </row>
    <row r="11" ht="18" customHeight="1" spans="1:8">
      <c r="A11" s="18">
        <v>954.097</v>
      </c>
      <c r="B11" s="15">
        <v>14</v>
      </c>
      <c r="C11" s="23" t="s">
        <v>8</v>
      </c>
      <c r="D11" s="23" t="s">
        <v>9</v>
      </c>
      <c r="E11" s="23" t="s">
        <v>33</v>
      </c>
      <c r="F11" s="95" t="s">
        <v>34</v>
      </c>
      <c r="G11" s="22">
        <v>0</v>
      </c>
      <c r="H11" s="15">
        <v>20250902</v>
      </c>
    </row>
    <row r="12" ht="18" customHeight="1" spans="1:8">
      <c r="A12" s="18">
        <v>954.0995</v>
      </c>
      <c r="B12" s="15">
        <v>14</v>
      </c>
      <c r="C12" s="233" t="s">
        <v>12</v>
      </c>
      <c r="D12" s="233" t="s">
        <v>12</v>
      </c>
      <c r="E12" s="233" t="s">
        <v>13</v>
      </c>
      <c r="F12" s="31" t="s">
        <v>35</v>
      </c>
      <c r="G12" s="19">
        <v>1</v>
      </c>
      <c r="H12" s="15">
        <v>20250902</v>
      </c>
    </row>
    <row r="13" ht="18" customHeight="1" spans="1:8">
      <c r="A13" s="18">
        <v>954.106</v>
      </c>
      <c r="B13" s="15">
        <v>15</v>
      </c>
      <c r="C13" s="23" t="s">
        <v>17</v>
      </c>
      <c r="D13" s="23" t="s">
        <v>18</v>
      </c>
      <c r="E13" s="23" t="s">
        <v>36</v>
      </c>
      <c r="F13" s="31" t="s">
        <v>37</v>
      </c>
      <c r="G13" s="19">
        <v>1</v>
      </c>
      <c r="H13" s="15">
        <v>20250902</v>
      </c>
    </row>
    <row r="14" ht="30" customHeight="1" spans="1:8">
      <c r="A14" s="18">
        <v>954.115</v>
      </c>
      <c r="B14" s="180">
        <v>16</v>
      </c>
      <c r="C14" s="175" t="s">
        <v>21</v>
      </c>
      <c r="D14" s="175" t="s">
        <v>22</v>
      </c>
      <c r="E14" s="187" t="s">
        <v>38</v>
      </c>
      <c r="F14" s="194" t="s">
        <v>39</v>
      </c>
      <c r="G14" s="126">
        <v>1</v>
      </c>
      <c r="H14" s="15">
        <v>20250902</v>
      </c>
    </row>
    <row r="15" ht="18" customHeight="1" spans="1:8">
      <c r="A15" s="18">
        <v>954.132</v>
      </c>
      <c r="B15" s="15">
        <v>18</v>
      </c>
      <c r="C15" s="23" t="s">
        <v>8</v>
      </c>
      <c r="D15" s="23" t="s">
        <v>40</v>
      </c>
      <c r="E15" s="23" t="s">
        <v>41</v>
      </c>
      <c r="F15" s="228" t="s">
        <v>42</v>
      </c>
      <c r="G15" s="22">
        <v>1</v>
      </c>
      <c r="H15" s="15">
        <v>20250902</v>
      </c>
    </row>
    <row r="16" ht="18" customHeight="1" spans="1:8">
      <c r="A16" s="18">
        <v>954.132</v>
      </c>
      <c r="B16" s="15">
        <v>18</v>
      </c>
      <c r="C16" s="23" t="s">
        <v>8</v>
      </c>
      <c r="D16" s="23" t="s">
        <v>43</v>
      </c>
      <c r="E16" s="23" t="s">
        <v>41</v>
      </c>
      <c r="F16" s="228" t="s">
        <v>44</v>
      </c>
      <c r="G16" s="22">
        <v>1</v>
      </c>
      <c r="H16" s="15">
        <v>20250902</v>
      </c>
    </row>
    <row r="17" ht="18" customHeight="1" spans="1:8">
      <c r="A17" s="18">
        <v>954.141</v>
      </c>
      <c r="B17" s="15">
        <v>19</v>
      </c>
      <c r="C17" s="23" t="s">
        <v>8</v>
      </c>
      <c r="D17" s="22" t="s">
        <v>43</v>
      </c>
      <c r="E17" s="23" t="s">
        <v>41</v>
      </c>
      <c r="F17" s="228" t="s">
        <v>45</v>
      </c>
      <c r="G17" s="22">
        <v>1</v>
      </c>
      <c r="H17" s="15">
        <v>20250902</v>
      </c>
    </row>
    <row r="18" ht="18" customHeight="1" spans="1:8">
      <c r="A18" s="18">
        <v>954.141</v>
      </c>
      <c r="B18" s="15">
        <v>19</v>
      </c>
      <c r="C18" s="23" t="s">
        <v>25</v>
      </c>
      <c r="D18" s="23" t="s">
        <v>43</v>
      </c>
      <c r="E18" s="23" t="s">
        <v>46</v>
      </c>
      <c r="F18" s="95" t="s">
        <v>47</v>
      </c>
      <c r="G18" s="19">
        <v>1</v>
      </c>
      <c r="H18" s="15">
        <v>20250902</v>
      </c>
    </row>
    <row r="19" ht="17.1" customHeight="1" spans="1:8">
      <c r="A19" s="18">
        <v>954.15</v>
      </c>
      <c r="B19" s="15">
        <v>20</v>
      </c>
      <c r="C19" s="23" t="s">
        <v>8</v>
      </c>
      <c r="D19" s="22" t="s">
        <v>43</v>
      </c>
      <c r="E19" s="23" t="s">
        <v>41</v>
      </c>
      <c r="F19" s="31" t="s">
        <v>48</v>
      </c>
      <c r="G19" s="22">
        <v>1</v>
      </c>
      <c r="H19" s="15">
        <v>20250902</v>
      </c>
    </row>
    <row r="20" ht="17.1" customHeight="1" spans="1:8">
      <c r="A20" s="18">
        <v>954.15</v>
      </c>
      <c r="B20" s="15">
        <v>20</v>
      </c>
      <c r="C20" s="23" t="s">
        <v>8</v>
      </c>
      <c r="D20" s="22" t="s">
        <v>49</v>
      </c>
      <c r="E20" s="23" t="s">
        <v>41</v>
      </c>
      <c r="F20" s="31" t="s">
        <v>48</v>
      </c>
      <c r="G20" s="22">
        <v>1</v>
      </c>
      <c r="H20" s="15">
        <v>20250902</v>
      </c>
    </row>
    <row r="21" ht="17.1" customHeight="1" spans="1:8">
      <c r="A21" s="18">
        <v>954.158</v>
      </c>
      <c r="B21" s="15">
        <v>21</v>
      </c>
      <c r="C21" s="23" t="s">
        <v>8</v>
      </c>
      <c r="D21" s="22" t="s">
        <v>49</v>
      </c>
      <c r="E21" s="23" t="s">
        <v>41</v>
      </c>
      <c r="F21" s="31" t="s">
        <v>48</v>
      </c>
      <c r="G21" s="22">
        <v>1</v>
      </c>
      <c r="H21" s="15">
        <v>20250902</v>
      </c>
    </row>
    <row r="22" ht="17.1" customHeight="1" spans="1:8">
      <c r="A22" s="18">
        <v>954.158</v>
      </c>
      <c r="B22" s="15">
        <v>21</v>
      </c>
      <c r="C22" s="23" t="s">
        <v>8</v>
      </c>
      <c r="D22" s="23" t="s">
        <v>43</v>
      </c>
      <c r="E22" s="23" t="s">
        <v>41</v>
      </c>
      <c r="F22" s="205" t="s">
        <v>50</v>
      </c>
      <c r="G22" s="22">
        <v>1</v>
      </c>
      <c r="H22" s="15">
        <v>20250902</v>
      </c>
    </row>
    <row r="23" ht="17.1" customHeight="1" spans="1:8">
      <c r="A23" s="18">
        <v>954.167</v>
      </c>
      <c r="B23" s="15">
        <v>22</v>
      </c>
      <c r="C23" s="23" t="s">
        <v>8</v>
      </c>
      <c r="D23" s="23" t="s">
        <v>49</v>
      </c>
      <c r="E23" s="23" t="s">
        <v>41</v>
      </c>
      <c r="F23" s="205" t="s">
        <v>48</v>
      </c>
      <c r="G23" s="233">
        <v>1</v>
      </c>
      <c r="H23" s="15">
        <v>20250902</v>
      </c>
    </row>
    <row r="24" ht="20.25" customHeight="1" spans="1:8">
      <c r="A24" s="18">
        <v>954.167</v>
      </c>
      <c r="B24" s="15">
        <v>22</v>
      </c>
      <c r="C24" s="23" t="s">
        <v>8</v>
      </c>
      <c r="D24" s="20" t="s">
        <v>43</v>
      </c>
      <c r="E24" s="23" t="s">
        <v>41</v>
      </c>
      <c r="F24" s="31" t="s">
        <v>51</v>
      </c>
      <c r="G24" s="19">
        <v>1</v>
      </c>
      <c r="H24" s="15">
        <v>20250902</v>
      </c>
    </row>
    <row r="25" ht="17.1" customHeight="1" spans="1:8">
      <c r="A25" s="18">
        <v>954.167</v>
      </c>
      <c r="B25" s="15">
        <v>22</v>
      </c>
      <c r="C25" s="23" t="s">
        <v>25</v>
      </c>
      <c r="D25" s="23" t="s">
        <v>49</v>
      </c>
      <c r="E25" s="23" t="s">
        <v>46</v>
      </c>
      <c r="F25" s="95" t="s">
        <v>52</v>
      </c>
      <c r="G25" s="19">
        <v>1</v>
      </c>
      <c r="H25" s="15">
        <v>20250902</v>
      </c>
    </row>
    <row r="26" ht="30" customHeight="1" spans="1:8">
      <c r="A26" s="18">
        <v>954.167</v>
      </c>
      <c r="B26" s="180">
        <v>22</v>
      </c>
      <c r="C26" s="175" t="s">
        <v>21</v>
      </c>
      <c r="D26" s="175" t="s">
        <v>22</v>
      </c>
      <c r="E26" s="187" t="s">
        <v>23</v>
      </c>
      <c r="F26" s="194" t="s">
        <v>53</v>
      </c>
      <c r="G26" s="126">
        <v>1</v>
      </c>
      <c r="H26" s="15">
        <v>20250902</v>
      </c>
    </row>
    <row r="27" ht="17.1" customHeight="1" spans="1:8">
      <c r="A27" s="112">
        <v>954.176</v>
      </c>
      <c r="B27" s="180">
        <v>23</v>
      </c>
      <c r="C27" s="187" t="s">
        <v>8</v>
      </c>
      <c r="D27" s="125" t="s">
        <v>49</v>
      </c>
      <c r="E27" s="187" t="s">
        <v>41</v>
      </c>
      <c r="F27" s="183" t="s">
        <v>54</v>
      </c>
      <c r="G27" s="126">
        <v>1</v>
      </c>
      <c r="H27" s="15">
        <v>20250902</v>
      </c>
    </row>
    <row r="28" ht="15.75" spans="1:8">
      <c r="A28" s="18">
        <v>954.176</v>
      </c>
      <c r="B28" s="15">
        <v>23</v>
      </c>
      <c r="C28" s="23" t="s">
        <v>8</v>
      </c>
      <c r="D28" s="20" t="s">
        <v>43</v>
      </c>
      <c r="E28" s="23" t="s">
        <v>41</v>
      </c>
      <c r="F28" s="31" t="s">
        <v>54</v>
      </c>
      <c r="G28" s="19">
        <v>1</v>
      </c>
      <c r="H28" s="15">
        <v>20250902</v>
      </c>
    </row>
    <row r="29" ht="15.75" spans="1:8">
      <c r="A29" s="18">
        <v>954.176</v>
      </c>
      <c r="B29" s="15">
        <v>23</v>
      </c>
      <c r="C29" s="23" t="s">
        <v>25</v>
      </c>
      <c r="D29" s="23" t="s">
        <v>9</v>
      </c>
      <c r="E29" s="23" t="s">
        <v>46</v>
      </c>
      <c r="F29" s="228" t="s">
        <v>55</v>
      </c>
      <c r="G29" s="19">
        <v>1</v>
      </c>
      <c r="H29" s="15">
        <v>20250902</v>
      </c>
    </row>
    <row r="30" ht="15.75" spans="1:8">
      <c r="A30" s="18">
        <v>954.185</v>
      </c>
      <c r="B30" s="15">
        <v>24</v>
      </c>
      <c r="C30" s="23" t="s">
        <v>8</v>
      </c>
      <c r="D30" s="20" t="s">
        <v>49</v>
      </c>
      <c r="E30" s="23" t="s">
        <v>41</v>
      </c>
      <c r="F30" s="31" t="s">
        <v>56</v>
      </c>
      <c r="G30" s="19">
        <v>1</v>
      </c>
      <c r="H30" s="15">
        <v>20250902</v>
      </c>
    </row>
    <row r="31" ht="15.75" spans="1:8">
      <c r="A31" s="18">
        <v>954.194</v>
      </c>
      <c r="B31" s="15">
        <v>25</v>
      </c>
      <c r="C31" s="23" t="s">
        <v>8</v>
      </c>
      <c r="D31" s="20" t="s">
        <v>43</v>
      </c>
      <c r="E31" s="23" t="s">
        <v>41</v>
      </c>
      <c r="F31" s="31" t="s">
        <v>56</v>
      </c>
      <c r="G31" s="19">
        <v>1</v>
      </c>
      <c r="H31" s="15">
        <v>20250902</v>
      </c>
    </row>
    <row r="32" spans="1:8">
      <c r="A32" s="18">
        <v>954.203</v>
      </c>
      <c r="B32" s="15">
        <v>26</v>
      </c>
      <c r="C32" s="23" t="s">
        <v>8</v>
      </c>
      <c r="D32" s="235" t="s">
        <v>49</v>
      </c>
      <c r="E32" s="23" t="s">
        <v>41</v>
      </c>
      <c r="F32" s="31" t="s">
        <v>57</v>
      </c>
      <c r="G32" s="19">
        <v>0</v>
      </c>
      <c r="H32" s="15">
        <v>20250902</v>
      </c>
    </row>
    <row r="33" ht="30" customHeight="1" spans="1:8">
      <c r="A33" s="18">
        <v>954.216</v>
      </c>
      <c r="B33" s="15">
        <v>27</v>
      </c>
      <c r="C33" s="22" t="s">
        <v>21</v>
      </c>
      <c r="D33" s="22" t="s">
        <v>22</v>
      </c>
      <c r="E33" s="22" t="s">
        <v>58</v>
      </c>
      <c r="F33" s="195" t="s">
        <v>59</v>
      </c>
      <c r="G33" s="19">
        <v>1</v>
      </c>
      <c r="H33" s="15">
        <v>20250902</v>
      </c>
    </row>
    <row r="34" ht="19.5" customHeight="1" spans="1:8">
      <c r="A34" s="18">
        <v>954.23</v>
      </c>
      <c r="B34" s="180">
        <v>29</v>
      </c>
      <c r="C34" s="187" t="s">
        <v>8</v>
      </c>
      <c r="D34" s="187" t="s">
        <v>9</v>
      </c>
      <c r="E34" s="187" t="s">
        <v>15</v>
      </c>
      <c r="F34" s="182" t="s">
        <v>60</v>
      </c>
      <c r="G34" s="126">
        <v>1</v>
      </c>
      <c r="H34" s="15">
        <v>20250902</v>
      </c>
    </row>
    <row r="35" ht="30" customHeight="1" spans="1:8">
      <c r="A35" s="18">
        <v>954.248</v>
      </c>
      <c r="B35" s="180">
        <v>31</v>
      </c>
      <c r="C35" s="175" t="s">
        <v>21</v>
      </c>
      <c r="D35" s="175" t="s">
        <v>22</v>
      </c>
      <c r="E35" s="187" t="s">
        <v>23</v>
      </c>
      <c r="F35" s="194" t="s">
        <v>61</v>
      </c>
      <c r="G35" s="126">
        <v>1</v>
      </c>
      <c r="H35" s="15">
        <v>20250902</v>
      </c>
    </row>
    <row r="36" ht="15.75" spans="1:8">
      <c r="A36" s="18">
        <v>954.257</v>
      </c>
      <c r="B36" s="15">
        <v>32</v>
      </c>
      <c r="C36" s="23" t="s">
        <v>8</v>
      </c>
      <c r="D36" s="20" t="s">
        <v>43</v>
      </c>
      <c r="E36" s="23" t="s">
        <v>41</v>
      </c>
      <c r="F36" s="31" t="s">
        <v>62</v>
      </c>
      <c r="G36" s="19">
        <v>1</v>
      </c>
      <c r="H36" s="15">
        <v>20250902</v>
      </c>
    </row>
    <row r="37" ht="16.5" customHeight="1" spans="1:8">
      <c r="A37" s="18">
        <v>954.266</v>
      </c>
      <c r="B37" s="15">
        <v>33</v>
      </c>
      <c r="C37" s="23" t="s">
        <v>8</v>
      </c>
      <c r="D37" s="20" t="s">
        <v>43</v>
      </c>
      <c r="E37" s="23" t="s">
        <v>41</v>
      </c>
      <c r="F37" s="31" t="s">
        <v>62</v>
      </c>
      <c r="G37" s="19">
        <v>1</v>
      </c>
      <c r="H37" s="15">
        <v>20250902</v>
      </c>
    </row>
    <row r="38" ht="15.75" spans="1:8">
      <c r="A38" s="18">
        <v>954.283</v>
      </c>
      <c r="B38" s="15">
        <v>35</v>
      </c>
      <c r="C38" s="23" t="s">
        <v>8</v>
      </c>
      <c r="D38" s="20" t="s">
        <v>43</v>
      </c>
      <c r="E38" s="23" t="s">
        <v>41</v>
      </c>
      <c r="F38" s="31" t="s">
        <v>50</v>
      </c>
      <c r="G38" s="19">
        <v>1</v>
      </c>
      <c r="H38" s="15">
        <v>20250902</v>
      </c>
    </row>
    <row r="39" spans="1:8">
      <c r="A39" s="112">
        <v>954.293</v>
      </c>
      <c r="B39" s="180">
        <v>36</v>
      </c>
      <c r="C39" s="187" t="s">
        <v>8</v>
      </c>
      <c r="D39" s="236" t="s">
        <v>49</v>
      </c>
      <c r="E39" s="187" t="s">
        <v>15</v>
      </c>
      <c r="F39" s="183" t="s">
        <v>63</v>
      </c>
      <c r="G39" s="126">
        <v>1</v>
      </c>
      <c r="H39" s="15">
        <v>20250902</v>
      </c>
    </row>
    <row r="40" ht="17.25" customHeight="1" spans="1:8">
      <c r="A40" s="18">
        <v>954.2985</v>
      </c>
      <c r="B40" s="15">
        <v>36</v>
      </c>
      <c r="C40" s="23" t="s">
        <v>25</v>
      </c>
      <c r="D40" s="23" t="s">
        <v>40</v>
      </c>
      <c r="E40" s="23" t="s">
        <v>27</v>
      </c>
      <c r="F40" s="228" t="s">
        <v>64</v>
      </c>
      <c r="G40" s="19">
        <v>1</v>
      </c>
      <c r="H40" s="15">
        <v>20250902</v>
      </c>
    </row>
    <row r="41" ht="15.75" spans="1:8">
      <c r="A41" s="18">
        <v>954.328</v>
      </c>
      <c r="B41" s="15">
        <v>40</v>
      </c>
      <c r="C41" s="23" t="s">
        <v>25</v>
      </c>
      <c r="D41" s="22" t="s">
        <v>9</v>
      </c>
      <c r="E41" s="23" t="s">
        <v>46</v>
      </c>
      <c r="F41" s="228" t="s">
        <v>65</v>
      </c>
      <c r="G41" s="19">
        <v>1</v>
      </c>
      <c r="H41" s="15">
        <v>20250902</v>
      </c>
    </row>
    <row r="42" spans="1:8">
      <c r="A42" s="18">
        <v>954.346</v>
      </c>
      <c r="B42" s="15">
        <v>42</v>
      </c>
      <c r="C42" s="23" t="s">
        <v>8</v>
      </c>
      <c r="D42" s="20" t="s">
        <v>49</v>
      </c>
      <c r="E42" s="23" t="s">
        <v>15</v>
      </c>
      <c r="F42" s="31" t="s">
        <v>66</v>
      </c>
      <c r="G42" s="19">
        <v>1</v>
      </c>
      <c r="H42" s="15">
        <v>20250902</v>
      </c>
    </row>
    <row r="43" spans="1:8">
      <c r="A43" s="18">
        <v>954.354</v>
      </c>
      <c r="B43" s="15">
        <v>43</v>
      </c>
      <c r="C43" s="23" t="s">
        <v>8</v>
      </c>
      <c r="D43" s="20" t="s">
        <v>9</v>
      </c>
      <c r="E43" s="235" t="s">
        <v>15</v>
      </c>
      <c r="F43" s="31" t="s">
        <v>67</v>
      </c>
      <c r="G43" s="19">
        <v>1</v>
      </c>
      <c r="H43" s="15">
        <v>20250902</v>
      </c>
    </row>
    <row r="44" ht="15.75" spans="1:8">
      <c r="A44" s="18">
        <v>954.363</v>
      </c>
      <c r="B44" s="15">
        <v>44</v>
      </c>
      <c r="C44" s="23" t="s">
        <v>8</v>
      </c>
      <c r="D44" s="20" t="s">
        <v>40</v>
      </c>
      <c r="E44" s="23" t="s">
        <v>41</v>
      </c>
      <c r="F44" s="31" t="s">
        <v>68</v>
      </c>
      <c r="G44" s="19">
        <v>1</v>
      </c>
      <c r="H44" s="15">
        <v>20250902</v>
      </c>
    </row>
    <row r="45" ht="30" customHeight="1" spans="1:8">
      <c r="A45" s="18">
        <v>954.363</v>
      </c>
      <c r="B45" s="180">
        <v>44</v>
      </c>
      <c r="C45" s="175" t="s">
        <v>21</v>
      </c>
      <c r="D45" s="175" t="s">
        <v>22</v>
      </c>
      <c r="E45" s="187" t="s">
        <v>69</v>
      </c>
      <c r="F45" s="237" t="s">
        <v>70</v>
      </c>
      <c r="G45" s="126">
        <v>1</v>
      </c>
      <c r="H45" s="15">
        <v>20250902</v>
      </c>
    </row>
    <row r="46" spans="1:8">
      <c r="A46" s="18">
        <v>954.372</v>
      </c>
      <c r="B46" s="15">
        <v>45</v>
      </c>
      <c r="C46" s="23" t="s">
        <v>8</v>
      </c>
      <c r="D46" s="20" t="s">
        <v>9</v>
      </c>
      <c r="E46" s="23" t="s">
        <v>15</v>
      </c>
      <c r="F46" s="31" t="s">
        <v>71</v>
      </c>
      <c r="G46" s="19">
        <v>1</v>
      </c>
      <c r="H46" s="15">
        <v>20250902</v>
      </c>
    </row>
    <row r="47" spans="1:8">
      <c r="A47" s="18">
        <v>954.372</v>
      </c>
      <c r="B47" s="15">
        <v>45</v>
      </c>
      <c r="C47" s="23" t="s">
        <v>8</v>
      </c>
      <c r="D47" s="20" t="s">
        <v>49</v>
      </c>
      <c r="E47" s="23" t="s">
        <v>33</v>
      </c>
      <c r="F47" s="31" t="s">
        <v>72</v>
      </c>
      <c r="G47" s="19">
        <v>1</v>
      </c>
      <c r="H47" s="15">
        <v>20250902</v>
      </c>
    </row>
    <row r="48" spans="1:8">
      <c r="A48" s="18">
        <v>954.381</v>
      </c>
      <c r="B48" s="15">
        <v>46</v>
      </c>
      <c r="C48" s="23" t="s">
        <v>8</v>
      </c>
      <c r="D48" s="20" t="s">
        <v>49</v>
      </c>
      <c r="E48" s="23" t="s">
        <v>33</v>
      </c>
      <c r="F48" s="31" t="s">
        <v>73</v>
      </c>
      <c r="G48" s="19">
        <v>1</v>
      </c>
      <c r="H48" s="15">
        <v>20250902</v>
      </c>
    </row>
    <row r="49" spans="1:8">
      <c r="A49" s="112">
        <v>954.408</v>
      </c>
      <c r="B49" s="180">
        <v>49</v>
      </c>
      <c r="C49" s="187" t="s">
        <v>8</v>
      </c>
      <c r="D49" s="125" t="s">
        <v>9</v>
      </c>
      <c r="E49" s="187" t="s">
        <v>15</v>
      </c>
      <c r="F49" s="183" t="s">
        <v>74</v>
      </c>
      <c r="G49" s="126">
        <v>1</v>
      </c>
      <c r="H49" s="15">
        <v>20250902</v>
      </c>
    </row>
    <row r="50" spans="1:8">
      <c r="A50" s="18">
        <v>954.414</v>
      </c>
      <c r="B50" s="180">
        <v>49</v>
      </c>
      <c r="C50" s="187" t="s">
        <v>17</v>
      </c>
      <c r="D50" s="125" t="s">
        <v>18</v>
      </c>
      <c r="E50" s="125" t="s">
        <v>36</v>
      </c>
      <c r="F50" s="182" t="s">
        <v>75</v>
      </c>
      <c r="G50" s="126">
        <v>1</v>
      </c>
      <c r="H50" s="15">
        <v>20250902</v>
      </c>
    </row>
    <row r="51" spans="1:8">
      <c r="A51" s="112">
        <v>954.417</v>
      </c>
      <c r="B51" s="180">
        <v>50</v>
      </c>
      <c r="C51" s="187" t="s">
        <v>8</v>
      </c>
      <c r="D51" s="125" t="s">
        <v>9</v>
      </c>
      <c r="E51" s="187" t="s">
        <v>15</v>
      </c>
      <c r="F51" s="183" t="s">
        <v>76</v>
      </c>
      <c r="G51" s="126">
        <v>1</v>
      </c>
      <c r="H51" s="15">
        <v>20250902</v>
      </c>
    </row>
    <row r="52" spans="1:8">
      <c r="A52" s="112">
        <v>954.417</v>
      </c>
      <c r="B52" s="180" t="s">
        <v>77</v>
      </c>
      <c r="C52" s="187" t="s">
        <v>17</v>
      </c>
      <c r="D52" s="125" t="s">
        <v>18</v>
      </c>
      <c r="E52" s="125" t="s">
        <v>36</v>
      </c>
      <c r="F52" s="183" t="s">
        <v>78</v>
      </c>
      <c r="G52" s="126">
        <v>1</v>
      </c>
      <c r="H52" s="15">
        <v>20250902</v>
      </c>
    </row>
    <row r="53" spans="1:8">
      <c r="A53" s="112">
        <v>954.478</v>
      </c>
      <c r="B53" s="180">
        <v>57</v>
      </c>
      <c r="C53" s="187" t="s">
        <v>17</v>
      </c>
      <c r="D53" s="125" t="s">
        <v>18</v>
      </c>
      <c r="E53" s="125" t="s">
        <v>36</v>
      </c>
      <c r="F53" s="183" t="s">
        <v>79</v>
      </c>
      <c r="G53" s="126">
        <v>1</v>
      </c>
      <c r="H53" s="15">
        <v>20250902</v>
      </c>
    </row>
    <row r="54" spans="1:8">
      <c r="A54" s="18">
        <v>954.4872</v>
      </c>
      <c r="B54" s="15">
        <v>58</v>
      </c>
      <c r="C54" s="23" t="s">
        <v>8</v>
      </c>
      <c r="D54" s="20" t="s">
        <v>9</v>
      </c>
      <c r="E54" s="23" t="s">
        <v>15</v>
      </c>
      <c r="F54" s="31" t="s">
        <v>80</v>
      </c>
      <c r="G54" s="19">
        <v>1</v>
      </c>
      <c r="H54" s="15">
        <v>20250902</v>
      </c>
    </row>
    <row r="55" spans="1:8">
      <c r="A55" s="18">
        <v>954.505</v>
      </c>
      <c r="B55" s="180">
        <v>60</v>
      </c>
      <c r="C55" s="187" t="s">
        <v>17</v>
      </c>
      <c r="D55" s="125" t="s">
        <v>18</v>
      </c>
      <c r="E55" s="125" t="s">
        <v>36</v>
      </c>
      <c r="F55" s="183" t="s">
        <v>81</v>
      </c>
      <c r="G55" s="126">
        <v>1</v>
      </c>
      <c r="H55" s="15">
        <v>20250902</v>
      </c>
    </row>
    <row r="56" ht="15.75" spans="1:8">
      <c r="A56" s="18">
        <v>954.532</v>
      </c>
      <c r="B56" s="15">
        <v>63</v>
      </c>
      <c r="C56" s="22" t="s">
        <v>12</v>
      </c>
      <c r="D56" s="22" t="s">
        <v>12</v>
      </c>
      <c r="E56" s="22" t="s">
        <v>82</v>
      </c>
      <c r="F56" s="31" t="s">
        <v>83</v>
      </c>
      <c r="G56" s="22">
        <v>1</v>
      </c>
      <c r="H56" s="15">
        <v>20250902</v>
      </c>
    </row>
    <row r="57" ht="15.75" spans="1:8">
      <c r="A57" s="18">
        <v>954.593</v>
      </c>
      <c r="B57" s="15">
        <v>70</v>
      </c>
      <c r="C57" s="23" t="s">
        <v>8</v>
      </c>
      <c r="D57" s="20" t="s">
        <v>49</v>
      </c>
      <c r="E57" s="23" t="s">
        <v>41</v>
      </c>
      <c r="F57" s="31" t="s">
        <v>84</v>
      </c>
      <c r="G57" s="19">
        <v>1</v>
      </c>
      <c r="H57" s="15">
        <v>20250902</v>
      </c>
    </row>
    <row r="58" ht="27" spans="1:8">
      <c r="A58" s="18">
        <v>954.61</v>
      </c>
      <c r="B58" s="15">
        <v>72</v>
      </c>
      <c r="C58" s="23" t="s">
        <v>8</v>
      </c>
      <c r="D58" s="23" t="s">
        <v>85</v>
      </c>
      <c r="E58" s="23" t="s">
        <v>41</v>
      </c>
      <c r="F58" s="31" t="s">
        <v>86</v>
      </c>
      <c r="G58" s="19">
        <v>1</v>
      </c>
      <c r="H58" s="15">
        <v>20250902</v>
      </c>
    </row>
    <row r="59" ht="15.75" spans="1:8">
      <c r="A59" s="18">
        <v>954.617</v>
      </c>
      <c r="B59" s="15">
        <v>72</v>
      </c>
      <c r="C59" s="23" t="s">
        <v>25</v>
      </c>
      <c r="D59" s="22" t="s">
        <v>40</v>
      </c>
      <c r="E59" s="23" t="s">
        <v>27</v>
      </c>
      <c r="F59" s="31" t="s">
        <v>87</v>
      </c>
      <c r="G59" s="19">
        <v>1</v>
      </c>
      <c r="H59" s="15">
        <v>20250902</v>
      </c>
    </row>
    <row r="60" spans="1:8">
      <c r="A60" s="18">
        <v>954.618</v>
      </c>
      <c r="B60" s="15">
        <v>72</v>
      </c>
      <c r="C60" s="23" t="s">
        <v>88</v>
      </c>
      <c r="D60" s="23" t="s">
        <v>18</v>
      </c>
      <c r="E60" s="23" t="s">
        <v>89</v>
      </c>
      <c r="F60" s="31" t="s">
        <v>90</v>
      </c>
      <c r="G60" s="22">
        <v>1</v>
      </c>
      <c r="H60" s="15">
        <v>20250902</v>
      </c>
    </row>
    <row r="61" spans="1:8">
      <c r="A61" s="18" t="s">
        <v>91</v>
      </c>
      <c r="C61" s="23"/>
      <c r="D61" s="23"/>
      <c r="E61" s="23"/>
      <c r="F61" s="31"/>
      <c r="G61" s="22"/>
      <c r="H61" s="15">
        <v>20250902</v>
      </c>
    </row>
    <row r="62" spans="1:8">
      <c r="A62" s="18" t="s">
        <v>91</v>
      </c>
      <c r="B62" s="151" t="s">
        <v>92</v>
      </c>
      <c r="C62" s="22" t="s">
        <v>12</v>
      </c>
      <c r="D62" s="22" t="s">
        <v>12</v>
      </c>
      <c r="E62" s="23" t="s">
        <v>91</v>
      </c>
      <c r="F62" s="24" t="s">
        <v>93</v>
      </c>
      <c r="G62" s="22">
        <v>0</v>
      </c>
      <c r="H62" s="15">
        <v>20250902</v>
      </c>
    </row>
    <row r="63" ht="29.25" customHeight="1" spans="1:8">
      <c r="A63" s="18">
        <v>954</v>
      </c>
      <c r="B63" s="15" t="s">
        <v>94</v>
      </c>
      <c r="C63" s="23" t="s">
        <v>95</v>
      </c>
      <c r="D63" s="23" t="s">
        <v>96</v>
      </c>
      <c r="E63" s="23" t="s">
        <v>97</v>
      </c>
      <c r="F63" s="24" t="s">
        <v>98</v>
      </c>
      <c r="G63" s="22">
        <v>1</v>
      </c>
      <c r="H63" s="15">
        <v>20250902</v>
      </c>
    </row>
    <row r="64" ht="24.75" customHeight="1" spans="1:8">
      <c r="A64" s="18">
        <v>954.072</v>
      </c>
      <c r="B64" s="15" t="s">
        <v>99</v>
      </c>
      <c r="C64" s="23" t="s">
        <v>95</v>
      </c>
      <c r="D64" s="23" t="s">
        <v>96</v>
      </c>
      <c r="E64" s="23" t="s">
        <v>97</v>
      </c>
      <c r="F64" s="24" t="s">
        <v>98</v>
      </c>
      <c r="G64" s="22">
        <v>1</v>
      </c>
      <c r="H64" s="15">
        <v>20250902</v>
      </c>
    </row>
    <row r="65" ht="27" spans="1:8">
      <c r="A65" s="18">
        <v>954.158</v>
      </c>
      <c r="B65" s="15" t="s">
        <v>100</v>
      </c>
      <c r="C65" s="23" t="s">
        <v>95</v>
      </c>
      <c r="D65" s="23" t="s">
        <v>96</v>
      </c>
      <c r="E65" s="23" t="s">
        <v>97</v>
      </c>
      <c r="F65" s="24" t="s">
        <v>98</v>
      </c>
      <c r="G65" s="22">
        <v>1</v>
      </c>
      <c r="H65" s="15">
        <v>20250902</v>
      </c>
    </row>
    <row r="66" ht="27" spans="1:8">
      <c r="A66" s="18">
        <v>954.248</v>
      </c>
      <c r="B66" s="15" t="s">
        <v>101</v>
      </c>
      <c r="C66" s="23" t="s">
        <v>95</v>
      </c>
      <c r="D66" s="23" t="s">
        <v>96</v>
      </c>
      <c r="E66" s="23" t="s">
        <v>97</v>
      </c>
      <c r="F66" s="24" t="s">
        <v>98</v>
      </c>
      <c r="G66" s="22">
        <v>1</v>
      </c>
      <c r="H66" s="15">
        <v>20250902</v>
      </c>
    </row>
    <row r="67" ht="27" spans="1:8">
      <c r="A67" s="18">
        <v>954.337</v>
      </c>
      <c r="B67" s="15" t="s">
        <v>102</v>
      </c>
      <c r="C67" s="23" t="s">
        <v>95</v>
      </c>
      <c r="D67" s="23" t="s">
        <v>96</v>
      </c>
      <c r="E67" s="23" t="s">
        <v>97</v>
      </c>
      <c r="F67" s="24" t="s">
        <v>98</v>
      </c>
      <c r="G67" s="22">
        <v>1</v>
      </c>
      <c r="H67" s="15">
        <v>20250902</v>
      </c>
    </row>
    <row r="68" ht="27" spans="1:8">
      <c r="A68" s="18">
        <v>954.425</v>
      </c>
      <c r="B68" s="15" t="s">
        <v>103</v>
      </c>
      <c r="C68" s="23" t="s">
        <v>95</v>
      </c>
      <c r="D68" s="23" t="s">
        <v>96</v>
      </c>
      <c r="E68" s="23" t="s">
        <v>97</v>
      </c>
      <c r="F68" s="24" t="s">
        <v>98</v>
      </c>
      <c r="G68" s="22">
        <v>1</v>
      </c>
      <c r="H68" s="15">
        <v>20250902</v>
      </c>
    </row>
    <row r="69" ht="27" spans="1:8">
      <c r="A69" s="18">
        <v>954.514</v>
      </c>
      <c r="B69" s="15" t="s">
        <v>104</v>
      </c>
      <c r="C69" s="23" t="s">
        <v>95</v>
      </c>
      <c r="D69" s="23" t="s">
        <v>96</v>
      </c>
      <c r="E69" s="23" t="s">
        <v>97</v>
      </c>
      <c r="F69" s="24" t="s">
        <v>98</v>
      </c>
      <c r="G69" s="22">
        <v>1</v>
      </c>
      <c r="H69" s="15">
        <v>20250902</v>
      </c>
    </row>
    <row r="70" ht="17.25" customHeight="1" spans="1:8">
      <c r="A70" s="18">
        <v>954.62</v>
      </c>
      <c r="B70" s="151" t="s">
        <v>105</v>
      </c>
      <c r="C70" s="235" t="s">
        <v>106</v>
      </c>
      <c r="D70" s="23" t="s">
        <v>107</v>
      </c>
      <c r="E70" s="23" t="s">
        <v>108</v>
      </c>
      <c r="F70" s="21" t="s">
        <v>109</v>
      </c>
      <c r="G70" s="19">
        <v>0</v>
      </c>
      <c r="H70" s="15">
        <v>20250902</v>
      </c>
    </row>
    <row r="71" ht="18" customHeight="1" spans="1:8">
      <c r="A71" s="18">
        <v>954.62</v>
      </c>
      <c r="B71" s="238" t="s">
        <v>105</v>
      </c>
      <c r="C71" s="23" t="s">
        <v>106</v>
      </c>
      <c r="D71" s="23" t="s">
        <v>107</v>
      </c>
      <c r="E71" s="23" t="s">
        <v>110</v>
      </c>
      <c r="F71" s="195" t="s">
        <v>111</v>
      </c>
      <c r="G71" s="174">
        <v>0</v>
      </c>
      <c r="H71" s="15">
        <v>20250902</v>
      </c>
    </row>
    <row r="73" spans="1:8">
      <c r="C73" s="27"/>
      <c r="D73" s="27"/>
      <c r="E73" s="27"/>
      <c r="F73" s="239"/>
      <c r="G73" s="27"/>
    </row>
    <row r="74" spans="1:8">
      <c r="C74" s="22"/>
      <c r="D74" s="22"/>
      <c r="E74" s="22"/>
      <c r="F74" s="228"/>
      <c r="G74" s="22"/>
    </row>
    <row r="75" spans="1:8">
      <c r="C75" s="22"/>
      <c r="D75" s="22"/>
      <c r="E75" s="22"/>
      <c r="F75" s="228"/>
      <c r="G75" s="22"/>
    </row>
    <row r="76" spans="1:8">
      <c r="C76" s="22"/>
      <c r="D76" s="22"/>
      <c r="E76" s="22"/>
      <c r="F76" s="228"/>
      <c r="G76" s="22"/>
    </row>
    <row r="77" spans="1:8">
      <c r="C77" s="27"/>
      <c r="D77" s="27"/>
      <c r="E77" s="27"/>
      <c r="F77" s="239"/>
      <c r="G77" s="27"/>
    </row>
    <row r="78" spans="1:8">
      <c r="C78" s="22"/>
      <c r="D78" s="22"/>
      <c r="E78" s="22"/>
      <c r="F78" s="228"/>
      <c r="G78" s="22"/>
    </row>
    <row r="79" spans="1:8">
      <c r="C79" s="22"/>
      <c r="D79" s="22"/>
      <c r="E79" s="22"/>
      <c r="F79" s="228"/>
      <c r="G79" s="22"/>
    </row>
    <row r="80" spans="1:8">
      <c r="C80" s="22"/>
      <c r="D80" s="22"/>
      <c r="E80" s="22"/>
      <c r="F80" s="228"/>
      <c r="G80" s="22"/>
    </row>
    <row r="81" spans="3:7">
      <c r="C81" s="27"/>
      <c r="D81" s="27"/>
      <c r="E81" s="27"/>
      <c r="F81" s="239"/>
      <c r="G81" s="27"/>
    </row>
    <row r="82" spans="3:7">
      <c r="C82" s="22"/>
      <c r="D82" s="22"/>
      <c r="E82" s="22"/>
      <c r="F82" s="228"/>
      <c r="G82" s="22"/>
    </row>
    <row r="83" spans="3:7">
      <c r="C83" s="22"/>
      <c r="D83" s="22"/>
      <c r="E83" s="22"/>
      <c r="F83" s="228"/>
      <c r="G83" s="22"/>
    </row>
    <row r="84" spans="3:7">
      <c r="C84" s="22"/>
      <c r="D84" s="22"/>
      <c r="E84" s="22"/>
      <c r="F84" s="228"/>
      <c r="G84" s="22"/>
    </row>
    <row r="85" spans="3:7">
      <c r="C85" s="22"/>
      <c r="D85" s="22"/>
      <c r="E85" s="22"/>
      <c r="F85" s="228"/>
      <c r="G85" s="22"/>
    </row>
    <row r="86" spans="3:7">
      <c r="C86" s="22"/>
      <c r="D86" s="27"/>
      <c r="E86" s="27"/>
      <c r="F86" s="239"/>
      <c r="G86" s="27"/>
    </row>
    <row r="87" spans="3:7">
      <c r="C87" s="22"/>
      <c r="D87" s="22"/>
      <c r="E87" s="22"/>
      <c r="F87" s="228"/>
      <c r="G87" s="22"/>
    </row>
    <row r="88" ht="17.25" customHeight="1" spans="3:7">
      <c r="C88" s="27"/>
      <c r="D88" s="27"/>
      <c r="E88" s="27"/>
      <c r="F88" s="239"/>
      <c r="G88" s="27"/>
    </row>
    <row r="89" ht="15.75" customHeight="1" spans="3:7">
      <c r="C89" s="22"/>
      <c r="D89" s="22"/>
      <c r="E89" s="22"/>
      <c r="F89" s="228"/>
      <c r="G89" s="22"/>
    </row>
    <row r="90" ht="15.95" customHeight="1" spans="3:7">
      <c r="C90" s="22"/>
      <c r="D90" s="22"/>
      <c r="E90" s="22"/>
      <c r="F90" s="228"/>
      <c r="G90" s="22"/>
    </row>
    <row r="91" spans="3:7">
      <c r="C91" s="22"/>
      <c r="D91" s="22"/>
      <c r="E91" s="22"/>
      <c r="F91" s="228"/>
      <c r="G91" s="22"/>
    </row>
    <row r="92" spans="3:7">
      <c r="C92" s="22"/>
      <c r="D92" s="22"/>
      <c r="E92" s="22"/>
      <c r="F92" s="228"/>
      <c r="G92" s="22"/>
    </row>
    <row r="93" spans="3:7">
      <c r="C93" s="27"/>
      <c r="D93" s="27"/>
      <c r="E93" s="27"/>
      <c r="F93" s="239"/>
      <c r="G93" s="27"/>
    </row>
    <row r="94" spans="3:7">
      <c r="C94" s="22"/>
      <c r="D94" s="22"/>
      <c r="E94" s="22"/>
      <c r="F94" s="228"/>
      <c r="G94" s="22"/>
    </row>
    <row r="95" spans="3:7">
      <c r="C95" s="27"/>
      <c r="D95" s="27"/>
      <c r="E95" s="27"/>
      <c r="F95" s="239"/>
      <c r="G95" s="27"/>
    </row>
    <row r="96" spans="3:7">
      <c r="C96" s="22"/>
      <c r="D96" s="22"/>
      <c r="E96" s="22"/>
      <c r="F96" s="228"/>
      <c r="G96" s="22"/>
    </row>
    <row r="97" spans="3:7">
      <c r="C97" s="27"/>
      <c r="D97" s="27"/>
      <c r="E97" s="27"/>
      <c r="F97" s="239"/>
      <c r="G97" s="27"/>
    </row>
    <row r="98" spans="3:7">
      <c r="C98" s="27"/>
      <c r="D98" s="27"/>
      <c r="E98" s="27"/>
      <c r="F98" s="239"/>
      <c r="G98" s="27"/>
    </row>
    <row r="99" spans="3:7">
      <c r="C99" s="22"/>
      <c r="D99" s="22"/>
      <c r="E99" s="22"/>
      <c r="F99" s="228"/>
      <c r="G99" s="22"/>
    </row>
    <row r="100" spans="3:7">
      <c r="C100" s="22"/>
      <c r="D100" s="22"/>
      <c r="E100" s="22"/>
      <c r="F100" s="228"/>
      <c r="G100" s="22"/>
    </row>
    <row r="101" customHeight="1" spans="3:7">
      <c r="C101" s="22"/>
      <c r="D101" s="22"/>
      <c r="E101" s="22"/>
      <c r="F101" s="228"/>
      <c r="G101" s="22"/>
    </row>
    <row r="102" spans="3:7">
      <c r="C102" s="22"/>
      <c r="D102" s="22"/>
      <c r="E102" s="22"/>
      <c r="F102" s="228"/>
      <c r="G102" s="22"/>
    </row>
    <row r="103" spans="3:7">
      <c r="C103" s="22"/>
      <c r="D103" s="22"/>
      <c r="E103" s="22"/>
      <c r="F103" s="228"/>
      <c r="G103" s="22"/>
    </row>
    <row r="104" spans="3:7">
      <c r="C104" s="22"/>
      <c r="D104" s="22"/>
      <c r="E104" s="22"/>
      <c r="F104" s="228"/>
      <c r="G104" s="22"/>
    </row>
    <row r="105" spans="3:7">
      <c r="C105" s="22"/>
      <c r="D105" s="22"/>
      <c r="E105" s="22"/>
      <c r="F105" s="228"/>
      <c r="G105" s="22"/>
    </row>
    <row r="106" spans="3:7">
      <c r="C106" s="22"/>
      <c r="D106" s="22"/>
      <c r="E106" s="22"/>
      <c r="F106" s="228"/>
      <c r="G106" s="22"/>
    </row>
    <row r="107" spans="3:7">
      <c r="C107" s="27"/>
      <c r="D107" s="27"/>
      <c r="E107" s="27"/>
      <c r="F107" s="239"/>
      <c r="G107" s="27"/>
    </row>
    <row r="108" spans="3:7">
      <c r="C108" s="27"/>
      <c r="D108" s="27"/>
      <c r="E108" s="27"/>
      <c r="F108" s="239"/>
      <c r="G108" s="27"/>
    </row>
    <row r="109" spans="3:7">
      <c r="C109" s="27"/>
      <c r="D109" s="27"/>
      <c r="E109" s="27"/>
      <c r="F109" s="239"/>
      <c r="G109" s="27"/>
    </row>
    <row r="110" spans="3:7">
      <c r="C110" s="27"/>
      <c r="D110" s="27"/>
      <c r="E110" s="27"/>
      <c r="F110" s="239"/>
      <c r="G110" s="27"/>
    </row>
    <row r="111" spans="3:7">
      <c r="C111" s="27"/>
      <c r="D111" s="27"/>
      <c r="E111" s="27"/>
      <c r="F111" s="239"/>
      <c r="G111" s="27"/>
    </row>
    <row r="112" spans="3:7">
      <c r="C112" s="27"/>
      <c r="D112" s="27"/>
      <c r="E112" s="27"/>
      <c r="F112" s="239"/>
      <c r="G112" s="27"/>
    </row>
    <row r="113" spans="3:7">
      <c r="C113" s="27"/>
      <c r="D113" s="27"/>
      <c r="E113" s="27"/>
      <c r="F113" s="239"/>
      <c r="G113" s="27"/>
    </row>
    <row r="114" spans="3:7">
      <c r="C114" s="27"/>
      <c r="D114" s="27"/>
      <c r="E114" s="27"/>
      <c r="F114" s="239"/>
      <c r="G114" s="27"/>
    </row>
    <row r="115" spans="3:7">
      <c r="C115" s="27"/>
      <c r="D115" s="27"/>
      <c r="E115" s="27"/>
      <c r="F115" s="239"/>
      <c r="G115" s="27"/>
    </row>
    <row r="116" spans="3:7">
      <c r="C116" s="27"/>
      <c r="D116" s="27"/>
      <c r="E116" s="27"/>
      <c r="F116" s="239"/>
      <c r="G116" s="27"/>
    </row>
    <row r="117" spans="3:7">
      <c r="C117" s="27"/>
      <c r="D117" s="27"/>
      <c r="E117" s="27"/>
      <c r="F117" s="239"/>
      <c r="G117" s="27"/>
    </row>
    <row r="118" spans="3:7">
      <c r="C118" s="27"/>
      <c r="D118" s="27"/>
      <c r="E118" s="27"/>
      <c r="F118" s="239"/>
      <c r="G118" s="27"/>
    </row>
    <row r="119" spans="3:7">
      <c r="C119" s="27"/>
      <c r="D119" s="27"/>
      <c r="E119" s="27"/>
      <c r="F119" s="239"/>
      <c r="G119" s="27"/>
    </row>
    <row r="120" spans="3:7">
      <c r="C120" s="27"/>
      <c r="D120" s="27"/>
      <c r="E120" s="27"/>
      <c r="F120" s="239"/>
      <c r="G120" s="27"/>
    </row>
    <row r="121" spans="3:7">
      <c r="C121" s="27"/>
      <c r="D121" s="27"/>
      <c r="E121" s="27"/>
      <c r="F121" s="239"/>
      <c r="G121" s="27"/>
    </row>
    <row r="122" spans="3:7">
      <c r="C122" s="27"/>
      <c r="D122" s="27"/>
      <c r="E122" s="27"/>
      <c r="F122" s="239"/>
      <c r="G122" s="27"/>
    </row>
    <row r="123" spans="3:7">
      <c r="C123" s="27"/>
      <c r="D123" s="27"/>
      <c r="E123" s="27"/>
      <c r="F123" s="239"/>
      <c r="G123" s="27"/>
    </row>
    <row r="124" spans="3:7">
      <c r="C124" s="27"/>
      <c r="D124" s="27"/>
      <c r="E124" s="27"/>
      <c r="F124" s="239"/>
      <c r="G124" s="27"/>
    </row>
    <row r="125" spans="3:7">
      <c r="C125" s="27"/>
      <c r="D125" s="27"/>
      <c r="E125" s="27"/>
      <c r="F125" s="239"/>
      <c r="G125" s="27"/>
    </row>
    <row r="126" spans="3:7">
      <c r="C126" s="27"/>
      <c r="D126" s="27"/>
      <c r="E126" s="27"/>
      <c r="F126" s="239"/>
      <c r="G126" s="27"/>
    </row>
    <row r="127" spans="3:7">
      <c r="C127" s="27"/>
      <c r="D127" s="27"/>
      <c r="E127" s="27"/>
      <c r="F127" s="239"/>
      <c r="G127" s="27"/>
    </row>
    <row r="128" spans="3:7">
      <c r="C128" s="27"/>
      <c r="D128" s="27"/>
      <c r="E128" s="27"/>
      <c r="F128" s="239"/>
      <c r="G128" s="27"/>
    </row>
    <row r="129" spans="3:7">
      <c r="C129" s="27"/>
      <c r="D129" s="27"/>
      <c r="E129" s="27"/>
      <c r="F129" s="239"/>
      <c r="G129" s="27"/>
    </row>
    <row r="130" spans="3:7">
      <c r="C130" s="27"/>
      <c r="D130" s="27"/>
      <c r="E130" s="27"/>
      <c r="F130" s="239"/>
      <c r="G130" s="27"/>
    </row>
    <row r="131" spans="3:7">
      <c r="C131" s="27"/>
      <c r="D131" s="27"/>
      <c r="E131" s="27"/>
      <c r="F131" s="239"/>
      <c r="G131" s="27"/>
    </row>
    <row r="132" spans="3:7">
      <c r="C132" s="27"/>
      <c r="D132" s="27"/>
      <c r="E132" s="27"/>
      <c r="F132" s="239"/>
      <c r="G132" s="27"/>
    </row>
    <row r="133" spans="3:7">
      <c r="C133" s="27"/>
      <c r="D133" s="27"/>
      <c r="E133" s="27"/>
      <c r="F133" s="239"/>
      <c r="G133" s="27"/>
    </row>
    <row r="134" spans="3:7">
      <c r="C134" s="27"/>
      <c r="D134" s="27"/>
      <c r="E134" s="27"/>
      <c r="F134" s="239"/>
      <c r="G134" s="27"/>
    </row>
    <row r="135" spans="3:7">
      <c r="C135" s="27"/>
      <c r="D135" s="27"/>
      <c r="E135" s="27"/>
      <c r="F135" s="239"/>
      <c r="G135" s="27"/>
    </row>
    <row r="136" spans="3:7">
      <c r="C136" s="27"/>
      <c r="D136" s="27"/>
      <c r="E136" s="27"/>
      <c r="F136" s="239"/>
      <c r="G136" s="27"/>
    </row>
    <row r="137" spans="3:7">
      <c r="C137" s="27"/>
      <c r="D137" s="27"/>
      <c r="E137" s="27"/>
      <c r="F137" s="239"/>
      <c r="G137" s="27"/>
    </row>
    <row r="138" spans="3:7">
      <c r="C138" s="27"/>
      <c r="D138" s="27"/>
      <c r="E138" s="27"/>
      <c r="F138" s="239"/>
      <c r="G138" s="27"/>
    </row>
    <row r="139" spans="3:7">
      <c r="C139" s="27"/>
      <c r="D139" s="27"/>
      <c r="E139" s="27"/>
      <c r="F139" s="239"/>
      <c r="G139" s="27"/>
    </row>
    <row r="140" spans="3:7">
      <c r="C140" s="27"/>
      <c r="D140" s="27"/>
      <c r="E140" s="27"/>
      <c r="F140" s="239"/>
      <c r="G140" s="27"/>
    </row>
    <row r="141" spans="3:7">
      <c r="C141" s="27"/>
      <c r="D141" s="27"/>
      <c r="E141" s="27"/>
      <c r="F141" s="239"/>
      <c r="G141" s="27"/>
    </row>
    <row r="142" spans="3:7">
      <c r="C142" s="27"/>
      <c r="D142" s="27"/>
      <c r="E142" s="27"/>
      <c r="F142" s="239"/>
      <c r="G142" s="27"/>
    </row>
    <row r="143" spans="3:7">
      <c r="C143" s="27"/>
      <c r="D143" s="27"/>
      <c r="E143" s="27"/>
      <c r="F143" s="239"/>
      <c r="G143" s="27"/>
    </row>
    <row r="144" spans="3:7">
      <c r="C144" s="27"/>
      <c r="D144" s="27"/>
      <c r="E144" s="27"/>
      <c r="F144" s="239"/>
      <c r="G144" s="27"/>
    </row>
    <row r="145" spans="3:7">
      <c r="C145" s="27"/>
      <c r="D145" s="27"/>
      <c r="E145" s="27"/>
      <c r="F145" s="239"/>
      <c r="G145" s="27"/>
    </row>
    <row r="146" spans="3:7">
      <c r="C146" s="27"/>
      <c r="D146" s="27"/>
      <c r="E146" s="27"/>
      <c r="F146" s="239"/>
      <c r="G146" s="27"/>
    </row>
    <row r="147" spans="3:7">
      <c r="C147" s="27"/>
      <c r="D147" s="27"/>
      <c r="E147" s="27"/>
      <c r="F147" s="239"/>
      <c r="G147" s="27"/>
    </row>
    <row r="148" spans="3:7">
      <c r="C148" s="27"/>
      <c r="D148" s="27"/>
      <c r="E148" s="27"/>
      <c r="F148" s="239"/>
      <c r="G148" s="27"/>
    </row>
    <row r="149" spans="3:7">
      <c r="C149" s="27"/>
      <c r="D149" s="27"/>
      <c r="E149" s="27"/>
      <c r="F149" s="239"/>
      <c r="G149" s="27"/>
    </row>
    <row r="150" spans="3:7">
      <c r="C150" s="27"/>
      <c r="D150" s="27"/>
      <c r="E150" s="27"/>
      <c r="F150" s="239"/>
      <c r="G150" s="27"/>
    </row>
    <row r="151" spans="3:7">
      <c r="C151" s="27"/>
      <c r="D151" s="27"/>
      <c r="E151" s="27"/>
      <c r="F151" s="239"/>
      <c r="G151" s="27"/>
    </row>
    <row r="152" spans="3:7">
      <c r="C152" s="27"/>
      <c r="D152" s="27"/>
      <c r="E152" s="27"/>
      <c r="F152" s="239"/>
      <c r="G152" s="27"/>
    </row>
    <row r="153" spans="3:7">
      <c r="C153" s="27"/>
      <c r="D153" s="27"/>
      <c r="E153" s="27"/>
      <c r="F153" s="239"/>
      <c r="G153" s="27"/>
    </row>
    <row r="154" spans="3:7">
      <c r="C154" s="27"/>
      <c r="D154" s="27"/>
      <c r="E154" s="27"/>
      <c r="F154" s="239"/>
      <c r="G154" s="27"/>
    </row>
    <row r="155" spans="3:7">
      <c r="C155" s="27"/>
      <c r="D155" s="27"/>
      <c r="E155" s="27"/>
      <c r="F155" s="239"/>
      <c r="G155" s="27"/>
    </row>
    <row r="156" spans="3:7">
      <c r="C156" s="27"/>
      <c r="D156" s="27"/>
      <c r="E156" s="27"/>
      <c r="F156" s="239"/>
      <c r="G156" s="27"/>
    </row>
    <row r="157" spans="3:7">
      <c r="C157" s="27"/>
      <c r="D157" s="27"/>
      <c r="E157" s="27"/>
      <c r="F157" s="239"/>
      <c r="G157" s="27"/>
    </row>
    <row r="158" spans="3:7">
      <c r="C158" s="27"/>
      <c r="D158" s="27"/>
      <c r="E158" s="27"/>
      <c r="F158" s="239"/>
      <c r="G158" s="27"/>
    </row>
    <row r="159" spans="3:7">
      <c r="C159" s="27"/>
      <c r="D159" s="27"/>
      <c r="E159" s="27"/>
      <c r="F159" s="239"/>
      <c r="G159" s="27"/>
    </row>
    <row r="160" spans="3:7">
      <c r="C160" s="27"/>
      <c r="D160" s="27"/>
      <c r="E160" s="27"/>
      <c r="F160" s="239"/>
      <c r="G160" s="27"/>
    </row>
    <row r="161" spans="3:7">
      <c r="C161" s="27"/>
      <c r="D161" s="27"/>
      <c r="E161" s="27"/>
      <c r="F161" s="239"/>
      <c r="G161" s="27"/>
    </row>
    <row r="162" spans="3:7">
      <c r="C162" s="27"/>
      <c r="D162" s="27"/>
      <c r="E162" s="27"/>
      <c r="F162" s="239"/>
      <c r="G162" s="27"/>
    </row>
    <row r="163" spans="3:7">
      <c r="C163" s="27"/>
      <c r="D163" s="27"/>
      <c r="E163" s="27"/>
      <c r="F163" s="239"/>
      <c r="G163" s="27"/>
    </row>
    <row r="164" spans="3:7">
      <c r="C164" s="27"/>
      <c r="D164" s="27"/>
      <c r="E164" s="27"/>
      <c r="F164" s="239"/>
      <c r="G164" s="27"/>
    </row>
    <row r="165" spans="3:7">
      <c r="C165" s="27"/>
      <c r="D165" s="27"/>
      <c r="E165" s="27"/>
      <c r="F165" s="239"/>
      <c r="G165" s="27"/>
    </row>
    <row r="166" spans="3:7">
      <c r="C166" s="27"/>
      <c r="D166" s="27"/>
      <c r="E166" s="27"/>
      <c r="F166" s="239"/>
      <c r="G166" s="27"/>
    </row>
    <row r="167" spans="3:7">
      <c r="C167" s="27"/>
      <c r="D167" s="27"/>
      <c r="E167" s="27"/>
      <c r="F167" s="239"/>
      <c r="G167" s="27"/>
    </row>
    <row r="168" spans="3:7">
      <c r="C168" s="27"/>
      <c r="D168" s="27"/>
      <c r="E168" s="27"/>
      <c r="F168" s="239"/>
      <c r="G168" s="27"/>
    </row>
    <row r="169" spans="3:7">
      <c r="C169" s="27"/>
      <c r="D169" s="27"/>
      <c r="E169" s="27"/>
      <c r="F169" s="239"/>
      <c r="G169" s="27"/>
    </row>
    <row r="170" spans="3:7">
      <c r="C170" s="27"/>
      <c r="D170" s="27"/>
      <c r="E170" s="27"/>
      <c r="F170" s="239"/>
      <c r="G170" s="27"/>
    </row>
    <row r="171" spans="3:7">
      <c r="C171" s="27"/>
      <c r="D171" s="27"/>
      <c r="E171" s="27"/>
      <c r="F171" s="239"/>
      <c r="G171" s="27"/>
    </row>
    <row r="172" spans="3:7">
      <c r="C172" s="27"/>
      <c r="D172" s="27"/>
      <c r="E172" s="27"/>
      <c r="F172" s="239"/>
      <c r="G172" s="27"/>
    </row>
    <row r="173" spans="3:7">
      <c r="C173" s="27"/>
      <c r="D173" s="27"/>
      <c r="E173" s="27"/>
      <c r="F173" s="239"/>
      <c r="G173" s="27"/>
    </row>
    <row r="174" spans="3:7">
      <c r="C174" s="27"/>
      <c r="D174" s="27"/>
      <c r="E174" s="27"/>
      <c r="F174" s="239"/>
      <c r="G174" s="27"/>
    </row>
    <row r="175" spans="3:7">
      <c r="C175" s="27"/>
      <c r="D175" s="27"/>
      <c r="E175" s="27"/>
      <c r="F175" s="239"/>
      <c r="G175" s="27"/>
    </row>
    <row r="176" spans="3:7">
      <c r="C176" s="27"/>
      <c r="D176" s="27"/>
      <c r="E176" s="27"/>
      <c r="F176" s="239"/>
      <c r="G176" s="27"/>
    </row>
    <row r="177" spans="3:7">
      <c r="C177" s="27"/>
      <c r="D177" s="27"/>
      <c r="E177" s="27"/>
      <c r="F177" s="239"/>
      <c r="G177" s="27"/>
    </row>
    <row r="178" spans="3:7">
      <c r="C178" s="27"/>
      <c r="D178" s="27"/>
      <c r="E178" s="27"/>
      <c r="F178" s="239"/>
      <c r="G178" s="27"/>
    </row>
    <row r="179" spans="3:7">
      <c r="C179" s="27"/>
      <c r="D179" s="27"/>
      <c r="E179" s="27"/>
      <c r="F179" s="239"/>
      <c r="G179" s="27"/>
    </row>
    <row r="180" spans="3:7">
      <c r="C180" s="27"/>
      <c r="D180" s="27"/>
      <c r="E180" s="27"/>
      <c r="F180" s="239"/>
      <c r="G180" s="27"/>
    </row>
    <row r="181" spans="3:7">
      <c r="C181" s="27"/>
      <c r="D181" s="27"/>
      <c r="E181" s="27"/>
      <c r="F181" s="239"/>
      <c r="G181" s="27"/>
    </row>
    <row r="182" spans="3:7">
      <c r="C182" s="27"/>
      <c r="D182" s="27"/>
      <c r="E182" s="27"/>
      <c r="F182" s="239"/>
      <c r="G182" s="27"/>
    </row>
    <row r="183" spans="3:7">
      <c r="C183" s="27"/>
      <c r="D183" s="27"/>
      <c r="E183" s="27"/>
      <c r="F183" s="239"/>
      <c r="G183" s="27"/>
    </row>
    <row r="184" spans="3:7">
      <c r="C184" s="27"/>
      <c r="D184" s="27"/>
      <c r="E184" s="27"/>
      <c r="F184" s="239"/>
      <c r="G184" s="27"/>
    </row>
    <row r="185" spans="3:7">
      <c r="C185" s="27"/>
      <c r="D185" s="27"/>
      <c r="E185" s="27"/>
      <c r="F185" s="239"/>
      <c r="G185" s="27"/>
    </row>
    <row r="186" spans="3:7">
      <c r="C186" s="27"/>
      <c r="D186" s="27"/>
      <c r="E186" s="27"/>
      <c r="F186" s="239"/>
      <c r="G186" s="27"/>
    </row>
    <row r="187" spans="3:7">
      <c r="C187" s="27"/>
      <c r="D187" s="27"/>
      <c r="E187" s="27"/>
      <c r="F187" s="239"/>
      <c r="G187" s="27"/>
    </row>
    <row r="188" spans="3:7">
      <c r="C188" s="27"/>
      <c r="D188" s="27"/>
      <c r="E188" s="27"/>
      <c r="F188" s="239"/>
      <c r="G188" s="27"/>
    </row>
    <row r="189" spans="3:7">
      <c r="C189" s="27"/>
      <c r="D189" s="27"/>
      <c r="E189" s="27"/>
      <c r="F189" s="239"/>
      <c r="G189" s="27"/>
    </row>
    <row r="190" spans="3:7">
      <c r="C190" s="27"/>
      <c r="D190" s="27"/>
      <c r="E190" s="27"/>
      <c r="F190" s="239"/>
      <c r="G190" s="27"/>
    </row>
    <row r="191" spans="3:7">
      <c r="C191" s="27"/>
      <c r="D191" s="27"/>
      <c r="E191" s="27"/>
      <c r="F191" s="239"/>
      <c r="G191" s="27"/>
    </row>
    <row r="192" spans="3:7">
      <c r="C192" s="27"/>
      <c r="D192" s="27"/>
      <c r="E192" s="27"/>
      <c r="F192" s="239"/>
      <c r="G192" s="27"/>
    </row>
    <row r="193" spans="3:7">
      <c r="C193" s="27"/>
      <c r="D193" s="27"/>
      <c r="E193" s="27"/>
      <c r="F193" s="239"/>
      <c r="G193" s="27"/>
    </row>
    <row r="194" spans="3:7">
      <c r="C194" s="27"/>
      <c r="D194" s="27"/>
      <c r="E194" s="27"/>
      <c r="F194" s="239"/>
      <c r="G194" s="27"/>
    </row>
    <row r="195" spans="3:7">
      <c r="C195" s="27"/>
      <c r="D195" s="27"/>
      <c r="E195" s="27"/>
      <c r="F195" s="239"/>
      <c r="G195" s="27"/>
    </row>
    <row r="196" spans="3:7">
      <c r="C196" s="27"/>
      <c r="D196" s="27"/>
      <c r="E196" s="27"/>
      <c r="F196" s="239"/>
      <c r="G196" s="27"/>
    </row>
    <row r="197" spans="3:7">
      <c r="C197" s="27"/>
      <c r="D197" s="27"/>
      <c r="E197" s="27"/>
      <c r="F197" s="239"/>
      <c r="G197" s="27"/>
    </row>
    <row r="198" spans="3:7">
      <c r="C198" s="27"/>
      <c r="D198" s="27"/>
      <c r="E198" s="27"/>
      <c r="F198" s="239"/>
      <c r="G198" s="27"/>
    </row>
    <row r="199" spans="3:7">
      <c r="C199" s="27"/>
      <c r="D199" s="27"/>
      <c r="E199" s="27"/>
      <c r="F199" s="239"/>
      <c r="G199" s="27"/>
    </row>
    <row r="200" spans="3:7">
      <c r="C200" s="27"/>
      <c r="D200" s="27"/>
      <c r="E200" s="27"/>
      <c r="F200" s="239"/>
      <c r="G200" s="27"/>
    </row>
    <row r="201" spans="3:7">
      <c r="C201" s="27"/>
      <c r="D201" s="27"/>
      <c r="E201" s="27"/>
      <c r="F201" s="239"/>
      <c r="G201" s="27"/>
    </row>
    <row r="202" spans="3:7">
      <c r="C202" s="27"/>
      <c r="D202" s="27"/>
      <c r="E202" s="27"/>
      <c r="F202" s="239"/>
      <c r="G202" s="27"/>
    </row>
    <row r="203" spans="3:7">
      <c r="C203" s="27"/>
      <c r="D203" s="27"/>
      <c r="E203" s="27"/>
      <c r="F203" s="239"/>
      <c r="G203" s="27"/>
    </row>
    <row r="204" spans="3:7">
      <c r="C204" s="27"/>
      <c r="D204" s="27"/>
      <c r="E204" s="27"/>
      <c r="F204" s="239"/>
      <c r="G204" s="27"/>
    </row>
    <row r="205" spans="3:7">
      <c r="C205" s="27"/>
      <c r="D205" s="27"/>
      <c r="E205" s="27"/>
      <c r="F205" s="239"/>
      <c r="G205" s="27"/>
    </row>
    <row r="206" spans="3:7">
      <c r="C206" s="27"/>
      <c r="D206" s="27"/>
      <c r="E206" s="27"/>
      <c r="F206" s="239"/>
      <c r="G206" s="27"/>
    </row>
    <row r="207" spans="3:7">
      <c r="C207" s="27"/>
      <c r="D207" s="27"/>
      <c r="E207" s="27"/>
      <c r="F207" s="239"/>
      <c r="G207" s="27"/>
    </row>
    <row r="208" spans="3:7">
      <c r="C208" s="27"/>
      <c r="D208" s="27"/>
      <c r="E208" s="27"/>
      <c r="F208" s="239"/>
      <c r="G208" s="27"/>
    </row>
    <row r="209" spans="3:7">
      <c r="C209" s="27"/>
      <c r="D209" s="27"/>
      <c r="E209" s="27"/>
      <c r="F209" s="239"/>
      <c r="G209" s="27"/>
    </row>
    <row r="210" spans="3:7">
      <c r="C210" s="27"/>
      <c r="D210" s="27"/>
      <c r="E210" s="27"/>
      <c r="F210" s="239"/>
      <c r="G210" s="27"/>
    </row>
    <row r="211" spans="3:7">
      <c r="C211" s="27"/>
      <c r="D211" s="27"/>
      <c r="E211" s="27"/>
      <c r="F211" s="239"/>
      <c r="G211" s="27"/>
    </row>
    <row r="212" spans="3:7">
      <c r="C212" s="27"/>
      <c r="D212" s="27"/>
      <c r="E212" s="27"/>
      <c r="F212" s="239"/>
      <c r="G212" s="27"/>
    </row>
    <row r="213" spans="3:7">
      <c r="C213" s="27"/>
      <c r="D213" s="27"/>
      <c r="E213" s="27"/>
      <c r="F213" s="239"/>
      <c r="G213" s="27"/>
    </row>
    <row r="214" spans="3:7">
      <c r="C214" s="27"/>
      <c r="D214" s="27"/>
      <c r="E214" s="27"/>
      <c r="F214" s="239"/>
      <c r="G214" s="27"/>
    </row>
    <row r="215" spans="3:7">
      <c r="C215" s="27"/>
      <c r="D215" s="27"/>
      <c r="E215" s="27"/>
      <c r="F215" s="239"/>
      <c r="G215" s="27"/>
    </row>
    <row r="216" spans="3:7">
      <c r="C216" s="27"/>
      <c r="D216" s="27"/>
      <c r="E216" s="27"/>
      <c r="F216" s="239"/>
      <c r="G216" s="27"/>
    </row>
    <row r="217" spans="3:7">
      <c r="C217" s="27"/>
      <c r="D217" s="27"/>
      <c r="E217" s="27"/>
      <c r="F217" s="239"/>
      <c r="G217" s="27"/>
    </row>
    <row r="218" spans="3:7">
      <c r="C218" s="27"/>
      <c r="D218" s="27"/>
      <c r="E218" s="27"/>
      <c r="F218" s="239"/>
      <c r="G218" s="27"/>
    </row>
    <row r="219" spans="3:7">
      <c r="C219" s="27"/>
      <c r="D219" s="27"/>
      <c r="E219" s="27"/>
      <c r="F219" s="239"/>
      <c r="G219" s="27"/>
    </row>
    <row r="220" spans="3:7">
      <c r="C220" s="27"/>
      <c r="D220" s="27"/>
      <c r="E220" s="27"/>
      <c r="F220" s="239"/>
      <c r="G220" s="27"/>
    </row>
    <row r="221" spans="3:7">
      <c r="C221" s="27"/>
      <c r="D221" s="27"/>
      <c r="E221" s="27"/>
      <c r="F221" s="239"/>
      <c r="G221" s="27"/>
    </row>
    <row r="222" spans="3:7">
      <c r="C222" s="27"/>
      <c r="D222" s="27"/>
      <c r="E222" s="27"/>
      <c r="F222" s="239"/>
      <c r="G222" s="27"/>
    </row>
    <row r="223" spans="3:7">
      <c r="C223" s="27"/>
      <c r="D223" s="27"/>
      <c r="E223" s="27"/>
      <c r="F223" s="239"/>
      <c r="G223" s="27"/>
    </row>
    <row r="224" spans="3:7">
      <c r="C224" s="27"/>
      <c r="D224" s="27"/>
      <c r="E224" s="27"/>
      <c r="F224" s="239"/>
      <c r="G224" s="27"/>
    </row>
    <row r="225" spans="3:7">
      <c r="C225" s="27"/>
      <c r="D225" s="27"/>
      <c r="E225" s="27"/>
      <c r="F225" s="239"/>
      <c r="G225" s="27"/>
    </row>
    <row r="226" spans="3:7">
      <c r="C226" s="27"/>
      <c r="D226" s="27"/>
      <c r="E226" s="27"/>
      <c r="F226" s="239"/>
      <c r="G226" s="27"/>
    </row>
    <row r="227" spans="3:7">
      <c r="C227" s="27"/>
      <c r="D227" s="27"/>
      <c r="E227" s="27"/>
      <c r="F227" s="239"/>
      <c r="G227" s="27"/>
    </row>
    <row r="228" spans="3:7">
      <c r="C228" s="27"/>
      <c r="D228" s="27"/>
      <c r="E228" s="27"/>
      <c r="F228" s="239"/>
      <c r="G228" s="27"/>
    </row>
    <row r="229" spans="3:7">
      <c r="C229" s="27"/>
      <c r="D229" s="27"/>
      <c r="E229" s="27"/>
      <c r="F229" s="239"/>
      <c r="G229" s="27"/>
    </row>
    <row r="230" spans="3:7">
      <c r="C230" s="27"/>
      <c r="D230" s="27"/>
      <c r="E230" s="27"/>
      <c r="F230" s="239"/>
      <c r="G230" s="27"/>
    </row>
    <row r="231" spans="3:7">
      <c r="C231" s="27"/>
      <c r="D231" s="27"/>
      <c r="E231" s="27"/>
      <c r="F231" s="239"/>
      <c r="G231" s="27"/>
    </row>
    <row r="232" spans="3:7">
      <c r="C232" s="27"/>
      <c r="D232" s="27"/>
      <c r="E232" s="27"/>
      <c r="F232" s="239"/>
      <c r="G232" s="27"/>
    </row>
    <row r="233" spans="3:7">
      <c r="C233" s="27"/>
      <c r="D233" s="27"/>
      <c r="E233" s="27"/>
      <c r="F233" s="239"/>
      <c r="G233" s="27"/>
    </row>
    <row r="234" spans="3:7">
      <c r="C234" s="27"/>
      <c r="D234" s="27"/>
      <c r="E234" s="27"/>
      <c r="F234" s="239"/>
      <c r="G234" s="27"/>
    </row>
    <row r="235" spans="3:7">
      <c r="C235" s="27"/>
      <c r="D235" s="27"/>
      <c r="E235" s="27"/>
      <c r="F235" s="239"/>
      <c r="G235" s="27"/>
    </row>
    <row r="236" spans="3:7">
      <c r="C236" s="27"/>
      <c r="D236" s="27"/>
      <c r="E236" s="27"/>
      <c r="F236" s="239"/>
      <c r="G236" s="27"/>
    </row>
    <row r="237" spans="3:7">
      <c r="C237" s="27"/>
      <c r="D237" s="27"/>
      <c r="E237" s="27"/>
      <c r="F237" s="239"/>
      <c r="G237" s="27"/>
    </row>
    <row r="238" spans="3:7">
      <c r="C238" s="27"/>
      <c r="D238" s="27"/>
      <c r="E238" s="27"/>
      <c r="F238" s="239"/>
      <c r="G238" s="27"/>
    </row>
    <row r="239" spans="3:7">
      <c r="C239" s="27"/>
      <c r="D239" s="27"/>
      <c r="E239" s="27"/>
      <c r="F239" s="239"/>
      <c r="G239" s="27"/>
    </row>
    <row r="240" spans="3:7">
      <c r="C240" s="27"/>
      <c r="D240" s="27"/>
      <c r="E240" s="27"/>
      <c r="F240" s="239"/>
      <c r="G240" s="27"/>
    </row>
    <row r="241" spans="3:7">
      <c r="C241" s="27"/>
      <c r="D241" s="27"/>
      <c r="E241" s="27"/>
      <c r="F241" s="239"/>
      <c r="G241" s="27"/>
    </row>
    <row r="242" spans="3:7">
      <c r="C242" s="27"/>
      <c r="D242" s="27"/>
      <c r="E242" s="27"/>
      <c r="F242" s="239"/>
      <c r="G242" s="27"/>
    </row>
    <row r="243" spans="3:7">
      <c r="C243" s="27"/>
      <c r="D243" s="27"/>
      <c r="E243" s="27"/>
      <c r="F243" s="239"/>
      <c r="G243" s="27"/>
    </row>
    <row r="244" spans="3:7">
      <c r="C244" s="27"/>
      <c r="D244" s="27"/>
      <c r="E244" s="27"/>
      <c r="F244" s="239"/>
      <c r="G244" s="27"/>
    </row>
    <row r="245" spans="3:7">
      <c r="C245" s="27"/>
      <c r="D245" s="27"/>
      <c r="E245" s="27"/>
      <c r="F245" s="239"/>
      <c r="G245" s="27"/>
    </row>
    <row r="246" spans="3:7">
      <c r="C246" s="27"/>
      <c r="D246" s="27"/>
      <c r="E246" s="27"/>
      <c r="F246" s="239"/>
      <c r="G246" s="27"/>
    </row>
    <row r="247" spans="3:7">
      <c r="C247" s="27"/>
      <c r="D247" s="27"/>
      <c r="E247" s="27"/>
      <c r="F247" s="239"/>
      <c r="G247" s="27"/>
    </row>
    <row r="248" spans="3:7">
      <c r="C248" s="27"/>
      <c r="D248" s="27"/>
      <c r="E248" s="27"/>
      <c r="F248" s="239"/>
      <c r="G248" s="27"/>
    </row>
    <row r="249" spans="3:7">
      <c r="C249" s="27"/>
      <c r="D249" s="27"/>
      <c r="E249" s="27"/>
      <c r="F249" s="239"/>
      <c r="G249" s="27"/>
    </row>
    <row r="250" spans="3:7">
      <c r="C250" s="27"/>
      <c r="D250" s="27"/>
      <c r="E250" s="27"/>
      <c r="F250" s="239"/>
      <c r="G250" s="27"/>
    </row>
    <row r="251" spans="3:7">
      <c r="C251" s="27"/>
      <c r="D251" s="27"/>
      <c r="E251" s="27"/>
      <c r="F251" s="239"/>
      <c r="G251" s="27"/>
    </row>
    <row r="252" spans="3:7">
      <c r="C252" s="27"/>
      <c r="D252" s="27"/>
      <c r="E252" s="27"/>
      <c r="F252" s="239"/>
      <c r="G252" s="27"/>
    </row>
    <row r="253" spans="3:7">
      <c r="C253" s="27"/>
      <c r="D253" s="27"/>
      <c r="E253" s="27"/>
      <c r="F253" s="239"/>
      <c r="G253" s="27"/>
    </row>
    <row r="254" spans="3:7">
      <c r="C254" s="27"/>
      <c r="D254" s="27"/>
      <c r="E254" s="27"/>
      <c r="F254" s="239"/>
      <c r="G254" s="27"/>
    </row>
    <row r="255" spans="3:7">
      <c r="C255" s="27"/>
      <c r="D255" s="27"/>
      <c r="E255" s="27"/>
      <c r="F255" s="239"/>
      <c r="G255" s="27"/>
    </row>
    <row r="256" spans="3:7">
      <c r="C256" s="27"/>
      <c r="D256" s="27"/>
      <c r="E256" s="27"/>
      <c r="F256" s="239"/>
      <c r="G256" s="27"/>
    </row>
    <row r="257" spans="3:7">
      <c r="C257" s="27"/>
      <c r="D257" s="27"/>
      <c r="E257" s="27"/>
      <c r="F257" s="239"/>
      <c r="G257" s="27"/>
    </row>
    <row r="258" spans="3:7">
      <c r="C258" s="27"/>
      <c r="D258" s="27"/>
      <c r="E258" s="27"/>
      <c r="F258" s="239"/>
      <c r="G258" s="27"/>
    </row>
    <row r="259" spans="3:7">
      <c r="C259" s="27"/>
      <c r="D259" s="27"/>
      <c r="E259" s="27"/>
      <c r="F259" s="239"/>
      <c r="G259" s="27"/>
    </row>
    <row r="260" spans="3:7">
      <c r="C260" s="27"/>
      <c r="D260" s="27"/>
      <c r="E260" s="27"/>
      <c r="F260" s="239"/>
      <c r="G260" s="27"/>
    </row>
    <row r="261" spans="3:7">
      <c r="C261" s="27"/>
      <c r="D261" s="27"/>
      <c r="E261" s="27"/>
      <c r="F261" s="239"/>
      <c r="G261" s="27"/>
    </row>
    <row r="262" spans="3:7">
      <c r="C262" s="27"/>
      <c r="D262" s="27"/>
      <c r="E262" s="27"/>
      <c r="F262" s="239"/>
      <c r="G262" s="27"/>
    </row>
    <row r="263" spans="3:7">
      <c r="C263" s="27"/>
      <c r="D263" s="27"/>
      <c r="E263" s="27"/>
      <c r="F263" s="239"/>
      <c r="G263" s="27"/>
    </row>
    <row r="264" spans="3:7">
      <c r="C264" s="27"/>
      <c r="D264" s="12"/>
      <c r="E264" s="27"/>
      <c r="F264" s="239"/>
      <c r="G264" s="27"/>
    </row>
    <row r="265" spans="3:7">
      <c r="C265" s="27"/>
      <c r="D265" s="12"/>
      <c r="E265" s="27"/>
      <c r="F265" s="239"/>
      <c r="G265" s="27"/>
    </row>
    <row r="266" spans="3:7">
      <c r="C266" s="27"/>
      <c r="D266" s="12"/>
      <c r="E266" s="27"/>
      <c r="F266" s="239"/>
      <c r="G266" s="27"/>
    </row>
    <row r="267" spans="3:7">
      <c r="C267" s="27"/>
      <c r="D267" s="12"/>
      <c r="E267" s="27"/>
      <c r="F267" s="239"/>
      <c r="G267" s="27"/>
    </row>
    <row r="268" spans="3:7">
      <c r="C268" s="27"/>
      <c r="D268" s="12"/>
      <c r="E268" s="27"/>
      <c r="F268" s="239"/>
      <c r="G268" s="27"/>
    </row>
    <row r="269" spans="3:7">
      <c r="C269" s="27"/>
      <c r="D269" s="12"/>
      <c r="E269" s="27"/>
      <c r="F269" s="239"/>
      <c r="G269" s="27"/>
    </row>
    <row r="270" spans="3:7">
      <c r="C270" s="27"/>
      <c r="D270" s="12"/>
      <c r="E270" s="27"/>
      <c r="F270" s="239"/>
      <c r="G270" s="27"/>
    </row>
    <row r="271" spans="3:7">
      <c r="C271" s="27"/>
      <c r="D271" s="12"/>
      <c r="E271" s="27"/>
      <c r="F271" s="239"/>
      <c r="G271" s="27"/>
    </row>
    <row r="272" spans="3:7">
      <c r="C272" s="27"/>
      <c r="D272" s="15"/>
      <c r="E272" s="27"/>
      <c r="F272" s="239"/>
      <c r="G272" s="27"/>
    </row>
    <row r="273" spans="3:7">
      <c r="C273" s="27"/>
      <c r="D273" s="12"/>
      <c r="E273" s="27"/>
      <c r="F273" s="239"/>
      <c r="G273" s="27"/>
    </row>
    <row r="274" spans="3:7">
      <c r="C274" s="27"/>
      <c r="D274" s="12"/>
      <c r="E274" s="27"/>
      <c r="F274" s="239"/>
      <c r="G274" s="27"/>
    </row>
    <row r="275" spans="3:7">
      <c r="C275" s="27"/>
      <c r="D275" s="12"/>
      <c r="E275" s="27"/>
      <c r="F275" s="239"/>
      <c r="G275" s="27"/>
    </row>
    <row r="276" spans="3:7">
      <c r="C276" s="27"/>
      <c r="D276" s="12"/>
      <c r="E276" s="27"/>
      <c r="F276" s="239"/>
      <c r="G276" s="27"/>
    </row>
    <row r="277" spans="3:7">
      <c r="C277" s="27"/>
      <c r="D277" s="12"/>
      <c r="E277" s="27"/>
      <c r="F277" s="239"/>
      <c r="G277" s="27"/>
    </row>
    <row r="278" spans="3:7">
      <c r="C278" s="27"/>
      <c r="D278" s="27"/>
      <c r="E278" s="27"/>
      <c r="F278" s="239"/>
      <c r="G278" s="27"/>
    </row>
    <row r="279" spans="3:7">
      <c r="C279" s="27"/>
      <c r="D279" s="27"/>
      <c r="E279" s="27"/>
      <c r="F279" s="239"/>
      <c r="G279" s="27"/>
    </row>
    <row r="280" spans="3:7">
      <c r="C280" s="27"/>
      <c r="D280" s="27"/>
      <c r="E280" s="27"/>
      <c r="F280" s="239"/>
      <c r="G280" s="27"/>
    </row>
    <row r="281" spans="3:7">
      <c r="C281" s="27"/>
      <c r="D281" s="12"/>
      <c r="E281" s="27"/>
      <c r="F281" s="239"/>
      <c r="G281" s="27"/>
    </row>
    <row r="282" spans="3:7">
      <c r="C282" s="27"/>
      <c r="D282" s="12"/>
      <c r="E282" s="27"/>
      <c r="F282" s="239"/>
      <c r="G282" s="27"/>
    </row>
    <row r="283" spans="3:7">
      <c r="C283" s="27"/>
      <c r="D283" s="12"/>
      <c r="E283" s="27"/>
      <c r="F283" s="239"/>
      <c r="G283" s="27"/>
    </row>
    <row r="284" spans="3:7">
      <c r="C284" s="27"/>
      <c r="D284" s="12"/>
      <c r="E284" s="27"/>
      <c r="F284" s="239"/>
      <c r="G284" s="27"/>
    </row>
    <row r="285" spans="3:7">
      <c r="C285" s="27"/>
      <c r="D285" s="12"/>
      <c r="E285" s="27"/>
      <c r="F285" s="239"/>
      <c r="G285" s="27"/>
    </row>
    <row r="286" spans="3:7">
      <c r="C286" s="27"/>
      <c r="D286" s="12"/>
      <c r="E286" s="27"/>
      <c r="F286" s="239"/>
      <c r="G286" s="27"/>
    </row>
    <row r="287" spans="3:7">
      <c r="C287" s="27"/>
      <c r="E287" s="27"/>
      <c r="F287" s="239"/>
      <c r="G287" s="27"/>
    </row>
    <row r="288" spans="3:7">
      <c r="C288" s="27"/>
      <c r="E288" s="27"/>
      <c r="F288" s="239"/>
      <c r="G288" s="27"/>
    </row>
    <row r="289" spans="3:7">
      <c r="C289" s="27"/>
      <c r="E289" s="27"/>
      <c r="F289" s="239"/>
      <c r="G289" s="27"/>
    </row>
  </sheetData>
  <autoFilter xmlns:etc="http://www.wps.cn/officeDocument/2017/etCustomData" ref="A1:H72" etc:filterBottomFollowUsedRange="0">
    <extLst/>
  </autoFilter>
  <sortState ref="A2:H276">
    <sortCondition ref="B2:B276"/>
  </sortState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87"/>
  <sheetViews>
    <sheetView workbookViewId="0">
      <selection activeCell="H2" sqref="H2:H3"/>
    </sheetView>
  </sheetViews>
  <sheetFormatPr defaultColWidth="9" defaultRowHeight="15"/>
  <cols>
    <col min="1" max="1" width="9" style="15"/>
    <col min="2" max="2" width="9" style="12"/>
    <col min="3" max="3" width="9.375" style="15"/>
    <col min="4" max="4" width="9" style="12"/>
    <col min="5" max="5" width="12.375" style="12" customWidth="1"/>
    <col min="6" max="6" width="76.125" style="39" customWidth="1"/>
    <col min="7" max="7" width="9" style="12"/>
    <col min="8" max="8" width="9" style="15"/>
    <col min="9" max="16384" width="9" style="16"/>
  </cols>
  <sheetData>
    <row r="1" ht="27" spans="1:8">
      <c r="A1" s="14" t="s">
        <v>112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ht="15.75" spans="1:8">
      <c r="A2" s="196">
        <f>954.62+0.02</f>
        <v>954.64</v>
      </c>
      <c r="B2" s="22" t="s">
        <v>115</v>
      </c>
      <c r="C2" s="22" t="s">
        <v>116</v>
      </c>
      <c r="D2" s="22" t="s">
        <v>117</v>
      </c>
      <c r="E2" s="27" t="s">
        <v>118</v>
      </c>
      <c r="F2" s="31" t="s">
        <v>119</v>
      </c>
      <c r="G2" s="27">
        <v>1</v>
      </c>
      <c r="H2" s="15">
        <v>20250902</v>
      </c>
    </row>
    <row r="3" ht="28.5" spans="1:8">
      <c r="A3" s="18">
        <f>954.62+0.04</f>
        <v>954.66</v>
      </c>
      <c r="B3" s="22" t="s">
        <v>115</v>
      </c>
      <c r="C3" s="22" t="s">
        <v>116</v>
      </c>
      <c r="D3" s="22" t="s">
        <v>117</v>
      </c>
      <c r="E3" s="22" t="s">
        <v>120</v>
      </c>
      <c r="F3" s="95" t="s">
        <v>121</v>
      </c>
      <c r="G3" s="27">
        <v>1</v>
      </c>
      <c r="H3" s="15">
        <v>20250902</v>
      </c>
    </row>
    <row r="4" ht="15.75" spans="1:8">
      <c r="A4" s="18">
        <v>954.62</v>
      </c>
      <c r="B4" s="15">
        <v>1</v>
      </c>
      <c r="C4" s="22" t="s">
        <v>122</v>
      </c>
      <c r="D4" s="22" t="s">
        <v>22</v>
      </c>
      <c r="E4" s="22" t="s">
        <v>123</v>
      </c>
      <c r="F4" s="222" t="s">
        <v>124</v>
      </c>
      <c r="G4" s="22">
        <v>1</v>
      </c>
      <c r="H4" s="15">
        <v>20250902</v>
      </c>
    </row>
    <row r="5" spans="1:8">
      <c r="A5" s="196">
        <v>954.62</v>
      </c>
      <c r="B5" s="22">
        <v>1</v>
      </c>
      <c r="C5" s="22" t="s">
        <v>125</v>
      </c>
      <c r="D5" s="22" t="s">
        <v>126</v>
      </c>
      <c r="E5" s="22" t="s">
        <v>127</v>
      </c>
      <c r="F5" s="31" t="s">
        <v>128</v>
      </c>
      <c r="G5" s="22">
        <v>1</v>
      </c>
      <c r="H5" s="15">
        <v>20250902</v>
      </c>
    </row>
    <row r="6" spans="1:8">
      <c r="A6" s="18">
        <v>954.62</v>
      </c>
      <c r="B6" s="27">
        <v>1</v>
      </c>
      <c r="C6" s="15" t="s">
        <v>129</v>
      </c>
      <c r="D6" s="27" t="s">
        <v>130</v>
      </c>
      <c r="E6" s="27" t="s">
        <v>131</v>
      </c>
      <c r="F6" s="31" t="s">
        <v>132</v>
      </c>
      <c r="G6" s="27">
        <v>0</v>
      </c>
      <c r="H6" s="15">
        <v>20250902</v>
      </c>
    </row>
    <row r="7" ht="15.75" spans="1:8">
      <c r="A7" s="18">
        <v>954.61</v>
      </c>
      <c r="B7" s="15">
        <v>2</v>
      </c>
      <c r="C7" s="22" t="s">
        <v>122</v>
      </c>
      <c r="D7" s="22" t="s">
        <v>22</v>
      </c>
      <c r="E7" s="22" t="s">
        <v>133</v>
      </c>
      <c r="F7" s="95" t="s">
        <v>134</v>
      </c>
      <c r="G7" s="22">
        <v>1</v>
      </c>
      <c r="H7" s="15">
        <v>20250902</v>
      </c>
    </row>
    <row r="8" ht="15.75" spans="1:8">
      <c r="A8" s="196">
        <v>954.6112</v>
      </c>
      <c r="B8" s="27">
        <v>2</v>
      </c>
      <c r="C8" s="15" t="s">
        <v>129</v>
      </c>
      <c r="D8" s="27" t="s">
        <v>135</v>
      </c>
      <c r="E8" s="27" t="s">
        <v>136</v>
      </c>
      <c r="F8" s="31" t="s">
        <v>137</v>
      </c>
      <c r="G8" s="27">
        <v>0</v>
      </c>
      <c r="H8" s="15">
        <v>20250902</v>
      </c>
    </row>
    <row r="9" ht="27" spans="1:8">
      <c r="A9" s="196">
        <v>954.6112</v>
      </c>
      <c r="B9" s="27">
        <v>2</v>
      </c>
      <c r="C9" s="15" t="s">
        <v>129</v>
      </c>
      <c r="D9" s="27" t="s">
        <v>138</v>
      </c>
      <c r="E9" s="27" t="s">
        <v>139</v>
      </c>
      <c r="F9" s="31" t="s">
        <v>140</v>
      </c>
      <c r="G9" s="27">
        <v>0</v>
      </c>
      <c r="H9" s="15">
        <v>20250902</v>
      </c>
    </row>
    <row r="10" customHeight="1" spans="1:8">
      <c r="A10" s="196">
        <v>954.5952</v>
      </c>
      <c r="B10" s="15">
        <v>3</v>
      </c>
      <c r="C10" s="22" t="s">
        <v>122</v>
      </c>
      <c r="D10" s="22" t="s">
        <v>22</v>
      </c>
      <c r="E10" s="22" t="s">
        <v>123</v>
      </c>
      <c r="F10" s="223" t="s">
        <v>141</v>
      </c>
      <c r="G10" s="22">
        <v>1</v>
      </c>
      <c r="H10" s="15">
        <v>20250902</v>
      </c>
    </row>
    <row r="11" ht="15.75" spans="1:8">
      <c r="A11" s="196">
        <v>954.5841</v>
      </c>
      <c r="B11" s="15">
        <v>4</v>
      </c>
      <c r="C11" s="22" t="s">
        <v>122</v>
      </c>
      <c r="D11" s="22" t="s">
        <v>22</v>
      </c>
      <c r="E11" s="22" t="s">
        <v>123</v>
      </c>
      <c r="F11" s="223" t="s">
        <v>142</v>
      </c>
      <c r="G11" s="189">
        <v>0</v>
      </c>
      <c r="H11" s="15">
        <v>20250902</v>
      </c>
    </row>
    <row r="12" ht="15.75" spans="1:8">
      <c r="A12" s="196">
        <v>954.5931</v>
      </c>
      <c r="B12" s="27">
        <v>4</v>
      </c>
      <c r="C12" s="15" t="s">
        <v>129</v>
      </c>
      <c r="D12" s="27" t="s">
        <v>135</v>
      </c>
      <c r="E12" s="27" t="s">
        <v>136</v>
      </c>
      <c r="F12" s="31" t="s">
        <v>143</v>
      </c>
      <c r="G12" s="27">
        <v>1</v>
      </c>
      <c r="H12" s="15">
        <v>20250902</v>
      </c>
    </row>
    <row r="13" ht="15.75" spans="1:8">
      <c r="A13" s="196">
        <v>954.5931</v>
      </c>
      <c r="B13" s="181">
        <v>4</v>
      </c>
      <c r="C13" s="175" t="s">
        <v>122</v>
      </c>
      <c r="D13" s="115" t="s">
        <v>26</v>
      </c>
      <c r="E13" s="175" t="s">
        <v>123</v>
      </c>
      <c r="F13" s="224" t="s">
        <v>144</v>
      </c>
      <c r="G13" s="181">
        <v>1</v>
      </c>
      <c r="H13" s="15">
        <v>20250902</v>
      </c>
    </row>
    <row r="14" ht="15.75" spans="1:8">
      <c r="A14" s="18">
        <v>954.5842</v>
      </c>
      <c r="B14" s="27">
        <v>5</v>
      </c>
      <c r="C14" s="15" t="s">
        <v>129</v>
      </c>
      <c r="D14" s="27" t="s">
        <v>135</v>
      </c>
      <c r="E14" s="27" t="s">
        <v>136</v>
      </c>
      <c r="F14" s="31" t="s">
        <v>145</v>
      </c>
      <c r="G14" s="27">
        <v>1</v>
      </c>
      <c r="H14" s="15">
        <v>20250902</v>
      </c>
    </row>
    <row r="15" ht="15.75" customHeight="1" spans="1:8">
      <c r="A15" s="196">
        <v>954.5752</v>
      </c>
      <c r="B15" s="15">
        <v>5</v>
      </c>
      <c r="C15" s="22" t="s">
        <v>122</v>
      </c>
      <c r="D15" s="22" t="s">
        <v>22</v>
      </c>
      <c r="E15" s="22" t="s">
        <v>123</v>
      </c>
      <c r="F15" s="223" t="s">
        <v>146</v>
      </c>
      <c r="G15" s="189">
        <v>0</v>
      </c>
      <c r="H15" s="15">
        <v>20250902</v>
      </c>
    </row>
    <row r="16" ht="14.25" customHeight="1" spans="1:8">
      <c r="A16" s="18">
        <v>954.5752</v>
      </c>
      <c r="B16" s="27">
        <v>6</v>
      </c>
      <c r="C16" s="15" t="s">
        <v>129</v>
      </c>
      <c r="D16" s="27" t="s">
        <v>135</v>
      </c>
      <c r="E16" s="27" t="s">
        <v>136</v>
      </c>
      <c r="F16" s="31" t="s">
        <v>147</v>
      </c>
      <c r="G16" s="27">
        <v>1</v>
      </c>
      <c r="H16" s="15">
        <v>20250902</v>
      </c>
    </row>
    <row r="17" ht="14.25" customHeight="1" spans="1:11">
      <c r="A17" s="18">
        <v>954.5752</v>
      </c>
      <c r="B17" s="12">
        <v>6</v>
      </c>
      <c r="C17" s="15" t="s">
        <v>129</v>
      </c>
      <c r="D17" s="27" t="s">
        <v>135</v>
      </c>
      <c r="E17" s="27" t="s">
        <v>131</v>
      </c>
      <c r="F17" s="31" t="s">
        <v>148</v>
      </c>
      <c r="G17" s="27">
        <v>0</v>
      </c>
      <c r="H17" s="15">
        <v>20250902</v>
      </c>
    </row>
    <row r="18" ht="14.25" customHeight="1" spans="1:11">
      <c r="A18" s="18">
        <v>954.567</v>
      </c>
      <c r="B18" s="124">
        <v>6</v>
      </c>
      <c r="C18" s="175" t="s">
        <v>125</v>
      </c>
      <c r="D18" s="175" t="s">
        <v>126</v>
      </c>
      <c r="E18" s="115" t="s">
        <v>149</v>
      </c>
      <c r="F18" s="183" t="s">
        <v>150</v>
      </c>
      <c r="G18" s="181">
        <v>1</v>
      </c>
      <c r="H18" s="15">
        <v>20250902</v>
      </c>
    </row>
    <row r="19" ht="14.25" customHeight="1" spans="1:11">
      <c r="A19" s="18">
        <v>954.5662</v>
      </c>
      <c r="B19" s="12">
        <v>7</v>
      </c>
      <c r="C19" s="15" t="s">
        <v>129</v>
      </c>
      <c r="D19" s="27" t="s">
        <v>151</v>
      </c>
      <c r="E19" s="27" t="s">
        <v>131</v>
      </c>
      <c r="F19" s="24" t="s">
        <v>152</v>
      </c>
      <c r="G19" s="27">
        <v>1</v>
      </c>
      <c r="H19" s="15">
        <v>20250902</v>
      </c>
    </row>
    <row r="20" ht="14.25" customHeight="1" spans="1:11">
      <c r="A20" s="18">
        <v>954.5572</v>
      </c>
      <c r="B20" s="12">
        <v>8</v>
      </c>
      <c r="C20" s="15" t="s">
        <v>129</v>
      </c>
      <c r="D20" s="27" t="s">
        <v>151</v>
      </c>
      <c r="E20" s="27" t="s">
        <v>131</v>
      </c>
      <c r="F20" s="31" t="s">
        <v>153</v>
      </c>
      <c r="G20" s="27">
        <v>0</v>
      </c>
      <c r="H20" s="15">
        <v>20250902</v>
      </c>
    </row>
    <row r="21" ht="14.25" customHeight="1" spans="1:11">
      <c r="A21" s="18">
        <v>954.556</v>
      </c>
      <c r="B21" s="124">
        <v>8</v>
      </c>
      <c r="C21" s="201" t="s">
        <v>17</v>
      </c>
      <c r="D21" s="115" t="s">
        <v>18</v>
      </c>
      <c r="E21" s="115" t="s">
        <v>154</v>
      </c>
      <c r="F21" s="183" t="s">
        <v>155</v>
      </c>
      <c r="G21" s="181">
        <v>1</v>
      </c>
      <c r="H21" s="15">
        <v>20250902</v>
      </c>
    </row>
    <row r="22" customHeight="1" spans="1:11">
      <c r="A22" s="18">
        <v>954.5418</v>
      </c>
      <c r="B22" s="12">
        <v>9</v>
      </c>
      <c r="C22" s="15" t="s">
        <v>129</v>
      </c>
      <c r="D22" s="27" t="s">
        <v>151</v>
      </c>
      <c r="E22" s="27" t="s">
        <v>131</v>
      </c>
      <c r="F22" s="31" t="s">
        <v>156</v>
      </c>
      <c r="G22" s="27">
        <v>1</v>
      </c>
      <c r="H22" s="15">
        <v>20250902</v>
      </c>
    </row>
    <row r="23" customHeight="1" spans="1:11">
      <c r="A23" s="196">
        <v>954.5392</v>
      </c>
      <c r="B23" s="12">
        <v>10</v>
      </c>
      <c r="C23" s="15" t="s">
        <v>129</v>
      </c>
      <c r="D23" s="27" t="s">
        <v>135</v>
      </c>
      <c r="E23" s="27" t="s">
        <v>131</v>
      </c>
      <c r="F23" s="31" t="s">
        <v>157</v>
      </c>
      <c r="G23" s="27">
        <v>0</v>
      </c>
      <c r="H23" s="15">
        <v>20250902</v>
      </c>
    </row>
    <row r="24" customHeight="1" spans="1:11">
      <c r="A24" s="196">
        <v>954.5303</v>
      </c>
      <c r="B24" s="12">
        <v>11</v>
      </c>
      <c r="C24" s="15" t="s">
        <v>129</v>
      </c>
      <c r="D24" s="27" t="s">
        <v>151</v>
      </c>
      <c r="E24" s="27" t="s">
        <v>158</v>
      </c>
      <c r="F24" s="31" t="s">
        <v>159</v>
      </c>
      <c r="G24" s="27">
        <v>0</v>
      </c>
      <c r="H24" s="15">
        <v>20250902</v>
      </c>
    </row>
    <row r="25" customHeight="1" spans="1:11">
      <c r="A25" s="18">
        <v>954.5213</v>
      </c>
      <c r="B25" s="12">
        <v>11</v>
      </c>
      <c r="C25" s="15" t="s">
        <v>129</v>
      </c>
      <c r="D25" s="27" t="s">
        <v>151</v>
      </c>
      <c r="E25" s="27" t="s">
        <v>158</v>
      </c>
      <c r="F25" s="31" t="s">
        <v>160</v>
      </c>
      <c r="G25" s="27">
        <v>0</v>
      </c>
      <c r="H25" s="15">
        <v>20250902</v>
      </c>
    </row>
    <row r="26" ht="27" customHeight="1" spans="1:11">
      <c r="A26" s="18">
        <v>954.509</v>
      </c>
      <c r="B26" s="124">
        <v>13</v>
      </c>
      <c r="C26" s="175" t="s">
        <v>21</v>
      </c>
      <c r="D26" s="115" t="s">
        <v>40</v>
      </c>
      <c r="E26" s="115" t="s">
        <v>161</v>
      </c>
      <c r="F26" s="183" t="s">
        <v>162</v>
      </c>
      <c r="G26" s="181">
        <v>1</v>
      </c>
      <c r="H26" s="15">
        <v>20250902</v>
      </c>
    </row>
    <row r="27" customHeight="1" spans="1:11">
      <c r="A27" s="18">
        <v>954.5034</v>
      </c>
      <c r="B27" s="12">
        <v>14</v>
      </c>
      <c r="C27" s="15" t="s">
        <v>129</v>
      </c>
      <c r="D27" s="27" t="s">
        <v>151</v>
      </c>
      <c r="E27" s="27" t="s">
        <v>158</v>
      </c>
      <c r="F27" s="31" t="s">
        <v>163</v>
      </c>
      <c r="G27" s="27">
        <v>1</v>
      </c>
      <c r="H27" s="15">
        <v>20250902</v>
      </c>
    </row>
    <row r="28" customHeight="1" spans="1:11">
      <c r="A28" s="18">
        <v>954.4984</v>
      </c>
      <c r="B28" s="12">
        <v>14</v>
      </c>
      <c r="C28" s="15" t="s">
        <v>129</v>
      </c>
      <c r="D28" s="27" t="s">
        <v>151</v>
      </c>
      <c r="E28" s="27" t="s">
        <v>131</v>
      </c>
      <c r="F28" s="31" t="s">
        <v>164</v>
      </c>
      <c r="G28" s="27">
        <v>0</v>
      </c>
      <c r="H28" s="15">
        <v>20250902</v>
      </c>
      <c r="J28" s="225"/>
      <c r="K28" s="226"/>
    </row>
    <row r="29" customHeight="1" spans="1:11">
      <c r="A29" s="18">
        <v>954.4761</v>
      </c>
      <c r="B29" s="12">
        <v>17</v>
      </c>
      <c r="C29" s="15" t="s">
        <v>129</v>
      </c>
      <c r="D29" s="27" t="s">
        <v>130</v>
      </c>
      <c r="E29" s="27" t="s">
        <v>158</v>
      </c>
      <c r="F29" s="31" t="s">
        <v>165</v>
      </c>
      <c r="G29" s="27">
        <v>1</v>
      </c>
      <c r="H29" s="15">
        <v>20250902</v>
      </c>
      <c r="J29" s="225"/>
      <c r="K29" s="226"/>
    </row>
    <row r="30" customHeight="1" spans="1:11">
      <c r="A30" s="18">
        <v>954.4673</v>
      </c>
      <c r="B30" s="12">
        <v>18</v>
      </c>
      <c r="C30" s="15" t="s">
        <v>129</v>
      </c>
      <c r="D30" s="27" t="s">
        <v>130</v>
      </c>
      <c r="E30" s="27" t="s">
        <v>131</v>
      </c>
      <c r="F30" s="31" t="s">
        <v>166</v>
      </c>
      <c r="G30" s="27">
        <v>0</v>
      </c>
      <c r="H30" s="15">
        <v>20250902</v>
      </c>
      <c r="J30" s="225"/>
      <c r="K30" s="226"/>
    </row>
    <row r="31" customHeight="1" spans="1:11">
      <c r="A31" s="18">
        <v>954.4583</v>
      </c>
      <c r="B31" s="12">
        <v>19</v>
      </c>
      <c r="C31" s="15" t="s">
        <v>129</v>
      </c>
      <c r="D31" s="27" t="s">
        <v>135</v>
      </c>
      <c r="E31" s="27" t="s">
        <v>131</v>
      </c>
      <c r="F31" s="205" t="s">
        <v>167</v>
      </c>
      <c r="G31" s="27">
        <v>0</v>
      </c>
      <c r="H31" s="15">
        <v>20250902</v>
      </c>
      <c r="J31" s="225"/>
      <c r="K31" s="226"/>
    </row>
    <row r="32" customHeight="1" spans="1:11">
      <c r="A32" s="196">
        <v>954.4405</v>
      </c>
      <c r="B32" s="22">
        <v>21</v>
      </c>
      <c r="C32" s="15" t="s">
        <v>129</v>
      </c>
      <c r="D32" s="27" t="s">
        <v>130</v>
      </c>
      <c r="E32" s="27" t="s">
        <v>158</v>
      </c>
      <c r="F32" s="31" t="s">
        <v>168</v>
      </c>
      <c r="G32" s="27">
        <v>1</v>
      </c>
      <c r="H32" s="15">
        <v>20250902</v>
      </c>
    </row>
    <row r="33" customHeight="1" spans="1:10">
      <c r="A33" s="227">
        <v>954.432</v>
      </c>
      <c r="B33" s="177">
        <v>22</v>
      </c>
      <c r="C33" s="180" t="s">
        <v>129</v>
      </c>
      <c r="D33" s="181" t="s">
        <v>135</v>
      </c>
      <c r="E33" s="181" t="s">
        <v>158</v>
      </c>
      <c r="F33" s="182" t="s">
        <v>169</v>
      </c>
      <c r="G33" s="175">
        <v>1</v>
      </c>
      <c r="H33" s="15">
        <v>20250902</v>
      </c>
    </row>
    <row r="34" ht="27" spans="1:10">
      <c r="A34" s="196">
        <v>954.4227</v>
      </c>
      <c r="B34" s="22">
        <v>23</v>
      </c>
      <c r="C34" s="22" t="s">
        <v>170</v>
      </c>
      <c r="D34" s="22" t="s">
        <v>171</v>
      </c>
      <c r="E34" s="22" t="s">
        <v>172</v>
      </c>
      <c r="F34" s="195" t="s">
        <v>173</v>
      </c>
      <c r="G34" s="22">
        <v>1</v>
      </c>
      <c r="H34" s="15">
        <v>20250902</v>
      </c>
    </row>
    <row r="35" ht="30" customHeight="1" spans="1:10">
      <c r="A35" s="18">
        <v>954.413</v>
      </c>
      <c r="B35" s="177">
        <v>24</v>
      </c>
      <c r="C35" s="175" t="s">
        <v>21</v>
      </c>
      <c r="D35" s="115" t="s">
        <v>40</v>
      </c>
      <c r="E35" s="187" t="s">
        <v>23</v>
      </c>
      <c r="F35" s="182" t="s">
        <v>174</v>
      </c>
      <c r="G35" s="175">
        <v>1</v>
      </c>
      <c r="H35" s="15">
        <v>20250902</v>
      </c>
    </row>
    <row r="36" spans="1:10">
      <c r="A36" s="18">
        <v>954.4151</v>
      </c>
      <c r="B36" s="12">
        <v>24</v>
      </c>
      <c r="C36" s="15" t="s">
        <v>129</v>
      </c>
      <c r="D36" s="27" t="s">
        <v>135</v>
      </c>
      <c r="E36" s="27" t="s">
        <v>131</v>
      </c>
      <c r="F36" s="31" t="s">
        <v>175</v>
      </c>
      <c r="G36" s="27">
        <v>0</v>
      </c>
      <c r="H36" s="15">
        <v>20250902</v>
      </c>
    </row>
    <row r="37" spans="1:10">
      <c r="A37" s="196">
        <v>954.412</v>
      </c>
      <c r="B37" s="177">
        <v>24</v>
      </c>
      <c r="C37" s="201" t="s">
        <v>17</v>
      </c>
      <c r="D37" s="115" t="s">
        <v>18</v>
      </c>
      <c r="E37" s="187" t="s">
        <v>19</v>
      </c>
      <c r="F37" s="183" t="s">
        <v>176</v>
      </c>
      <c r="G37" s="175">
        <v>1</v>
      </c>
      <c r="H37" s="15">
        <v>20250902</v>
      </c>
    </row>
    <row r="38" spans="1:10">
      <c r="A38" s="196">
        <v>954.403</v>
      </c>
      <c r="B38" s="177">
        <v>25</v>
      </c>
      <c r="C38" s="201" t="s">
        <v>17</v>
      </c>
      <c r="D38" s="115" t="s">
        <v>177</v>
      </c>
      <c r="E38" s="187" t="s">
        <v>154</v>
      </c>
      <c r="F38" s="182" t="s">
        <v>178</v>
      </c>
      <c r="G38" s="175">
        <v>1</v>
      </c>
      <c r="H38" s="15">
        <v>20250902</v>
      </c>
    </row>
    <row r="39" ht="15.75" spans="1:10">
      <c r="A39" s="196">
        <v>954.4012</v>
      </c>
      <c r="B39" s="22">
        <v>25</v>
      </c>
      <c r="C39" s="15" t="s">
        <v>129</v>
      </c>
      <c r="D39" s="27" t="s">
        <v>179</v>
      </c>
      <c r="E39" s="27" t="s">
        <v>136</v>
      </c>
      <c r="F39" s="24" t="s">
        <v>180</v>
      </c>
      <c r="G39" s="27">
        <v>1</v>
      </c>
      <c r="H39" s="15">
        <v>20250902</v>
      </c>
    </row>
    <row r="40" spans="1:10">
      <c r="A40" s="196">
        <v>954.3922</v>
      </c>
      <c r="B40" s="22">
        <v>26</v>
      </c>
      <c r="C40" s="15" t="s">
        <v>129</v>
      </c>
      <c r="D40" s="27" t="s">
        <v>151</v>
      </c>
      <c r="E40" s="27" t="s">
        <v>131</v>
      </c>
      <c r="F40" s="31" t="s">
        <v>181</v>
      </c>
      <c r="G40" s="27">
        <v>0</v>
      </c>
      <c r="H40" s="15">
        <v>20250902</v>
      </c>
    </row>
    <row r="41" spans="1:10">
      <c r="A41" s="18">
        <v>954.3973</v>
      </c>
      <c r="B41" s="12">
        <v>26</v>
      </c>
      <c r="C41" s="15" t="s">
        <v>129</v>
      </c>
      <c r="D41" s="27" t="s">
        <v>130</v>
      </c>
      <c r="E41" s="27" t="s">
        <v>158</v>
      </c>
      <c r="F41" s="188" t="s">
        <v>182</v>
      </c>
      <c r="G41" s="27">
        <v>1</v>
      </c>
      <c r="H41" s="15">
        <v>20250902</v>
      </c>
      <c r="J41" s="144"/>
    </row>
    <row r="42" ht="15.75" spans="1:10">
      <c r="A42" s="196">
        <v>954.3791</v>
      </c>
      <c r="B42" s="15">
        <v>28</v>
      </c>
      <c r="C42" s="22" t="s">
        <v>122</v>
      </c>
      <c r="D42" s="22" t="s">
        <v>183</v>
      </c>
      <c r="E42" s="22" t="s">
        <v>184</v>
      </c>
      <c r="F42" s="228" t="s">
        <v>185</v>
      </c>
      <c r="G42" s="22">
        <v>1</v>
      </c>
      <c r="H42" s="15">
        <v>20250902</v>
      </c>
    </row>
    <row r="43" spans="1:10">
      <c r="A43" s="196">
        <v>954.3741</v>
      </c>
      <c r="B43" s="22">
        <v>28</v>
      </c>
      <c r="C43" s="15" t="s">
        <v>129</v>
      </c>
      <c r="D43" s="27" t="s">
        <v>135</v>
      </c>
      <c r="E43" s="27" t="s">
        <v>131</v>
      </c>
      <c r="F43" s="205" t="s">
        <v>186</v>
      </c>
      <c r="G43" s="27">
        <v>0</v>
      </c>
      <c r="H43" s="15">
        <v>20250902</v>
      </c>
    </row>
    <row r="44" spans="1:10">
      <c r="A44" s="18">
        <v>954.3792</v>
      </c>
      <c r="B44" s="12">
        <v>28</v>
      </c>
      <c r="C44" s="15" t="s">
        <v>129</v>
      </c>
      <c r="D44" s="27" t="s">
        <v>130</v>
      </c>
      <c r="E44" s="27" t="s">
        <v>158</v>
      </c>
      <c r="F44" s="31" t="s">
        <v>187</v>
      </c>
      <c r="G44" s="27">
        <v>0</v>
      </c>
      <c r="H44" s="15">
        <v>20250902</v>
      </c>
    </row>
    <row r="45" spans="1:10">
      <c r="A45" s="196">
        <v>954.3612</v>
      </c>
      <c r="B45" s="22">
        <v>30</v>
      </c>
      <c r="C45" s="15" t="s">
        <v>129</v>
      </c>
      <c r="D45" s="27" t="s">
        <v>151</v>
      </c>
      <c r="E45" s="27" t="s">
        <v>131</v>
      </c>
      <c r="F45" s="31" t="s">
        <v>188</v>
      </c>
      <c r="G45" s="27">
        <v>0</v>
      </c>
      <c r="H45" s="15">
        <v>20250902</v>
      </c>
    </row>
    <row r="46" spans="1:10">
      <c r="A46" s="196">
        <v>954.3364</v>
      </c>
      <c r="B46" s="22">
        <v>32</v>
      </c>
      <c r="C46" s="15" t="s">
        <v>129</v>
      </c>
      <c r="D46" s="27" t="s">
        <v>151</v>
      </c>
      <c r="E46" s="27" t="s">
        <v>131</v>
      </c>
      <c r="F46" s="31" t="s">
        <v>189</v>
      </c>
      <c r="G46" s="27">
        <v>0</v>
      </c>
      <c r="H46" s="15">
        <v>20250902</v>
      </c>
    </row>
    <row r="47" spans="1:10">
      <c r="A47" s="196">
        <v>954.3345</v>
      </c>
      <c r="B47" s="22">
        <v>33</v>
      </c>
      <c r="C47" s="15" t="s">
        <v>129</v>
      </c>
      <c r="D47" s="27" t="s">
        <v>151</v>
      </c>
      <c r="E47" s="27" t="s">
        <v>131</v>
      </c>
      <c r="F47" s="31" t="s">
        <v>190</v>
      </c>
      <c r="G47" s="27">
        <v>0</v>
      </c>
      <c r="H47" s="15">
        <v>20250902</v>
      </c>
    </row>
    <row r="48" spans="1:10">
      <c r="A48" s="196">
        <v>954.3254</v>
      </c>
      <c r="B48" s="22">
        <v>34</v>
      </c>
      <c r="C48" s="15" t="s">
        <v>129</v>
      </c>
      <c r="D48" s="27" t="s">
        <v>151</v>
      </c>
      <c r="E48" s="27" t="s">
        <v>131</v>
      </c>
      <c r="F48" s="188" t="s">
        <v>191</v>
      </c>
      <c r="G48" s="27">
        <v>1</v>
      </c>
      <c r="H48" s="15">
        <v>20250902</v>
      </c>
    </row>
    <row r="49" ht="15.75" spans="1:8">
      <c r="A49" s="18">
        <v>954.3004</v>
      </c>
      <c r="B49" s="12">
        <v>36</v>
      </c>
      <c r="C49" s="15" t="s">
        <v>129</v>
      </c>
      <c r="D49" s="27" t="s">
        <v>179</v>
      </c>
      <c r="E49" s="27" t="s">
        <v>136</v>
      </c>
      <c r="F49" s="31" t="s">
        <v>192</v>
      </c>
      <c r="G49" s="27">
        <v>1</v>
      </c>
      <c r="H49" s="15">
        <v>20250902</v>
      </c>
    </row>
    <row r="50" spans="1:8">
      <c r="A50" s="18">
        <v>954.3074</v>
      </c>
      <c r="B50" s="22">
        <v>36</v>
      </c>
      <c r="C50" s="15" t="s">
        <v>129</v>
      </c>
      <c r="D50" s="27" t="s">
        <v>130</v>
      </c>
      <c r="E50" s="27" t="s">
        <v>158</v>
      </c>
      <c r="F50" s="31" t="s">
        <v>193</v>
      </c>
      <c r="G50" s="27">
        <v>1</v>
      </c>
      <c r="H50" s="15">
        <v>20250902</v>
      </c>
    </row>
    <row r="51" spans="1:8">
      <c r="A51" s="196">
        <v>954.2989</v>
      </c>
      <c r="B51" s="22">
        <v>36</v>
      </c>
      <c r="C51" s="15" t="s">
        <v>129</v>
      </c>
      <c r="D51" s="27" t="s">
        <v>151</v>
      </c>
      <c r="E51" s="27" t="s">
        <v>158</v>
      </c>
      <c r="F51" s="31" t="s">
        <v>194</v>
      </c>
      <c r="G51" s="27">
        <v>0</v>
      </c>
      <c r="H51" s="15">
        <v>20250902</v>
      </c>
    </row>
    <row r="52" spans="1:8">
      <c r="A52" s="196">
        <v>954.2913</v>
      </c>
      <c r="B52" s="22">
        <v>37</v>
      </c>
      <c r="C52" s="22" t="s">
        <v>12</v>
      </c>
      <c r="D52" s="22" t="s">
        <v>12</v>
      </c>
      <c r="E52" s="22" t="s">
        <v>13</v>
      </c>
      <c r="F52" s="31" t="s">
        <v>195</v>
      </c>
      <c r="G52" s="22">
        <v>1</v>
      </c>
      <c r="H52" s="15">
        <v>20250902</v>
      </c>
    </row>
    <row r="53" spans="1:8">
      <c r="A53" s="196">
        <v>954.2903</v>
      </c>
      <c r="B53" s="22">
        <v>37</v>
      </c>
      <c r="C53" s="15" t="s">
        <v>129</v>
      </c>
      <c r="D53" s="27" t="s">
        <v>151</v>
      </c>
      <c r="E53" s="27" t="s">
        <v>158</v>
      </c>
      <c r="F53" s="31" t="s">
        <v>196</v>
      </c>
      <c r="G53" s="27">
        <v>0</v>
      </c>
      <c r="H53" s="15">
        <v>20250902</v>
      </c>
    </row>
    <row r="54" spans="1:8">
      <c r="A54" s="196">
        <v>954.2895</v>
      </c>
      <c r="B54" s="22">
        <v>38</v>
      </c>
      <c r="C54" s="15" t="s">
        <v>129</v>
      </c>
      <c r="D54" s="27" t="s">
        <v>151</v>
      </c>
      <c r="E54" s="27" t="s">
        <v>158</v>
      </c>
      <c r="F54" s="31" t="s">
        <v>197</v>
      </c>
      <c r="G54" s="27">
        <v>1</v>
      </c>
      <c r="H54" s="15">
        <v>20250902</v>
      </c>
    </row>
    <row r="55" spans="1:8">
      <c r="A55" s="196">
        <v>954.269</v>
      </c>
      <c r="B55" s="175">
        <v>40</v>
      </c>
      <c r="C55" s="201" t="s">
        <v>17</v>
      </c>
      <c r="D55" s="115" t="s">
        <v>177</v>
      </c>
      <c r="E55" s="187" t="s">
        <v>19</v>
      </c>
      <c r="F55" s="183" t="s">
        <v>198</v>
      </c>
      <c r="G55" s="175">
        <v>1</v>
      </c>
      <c r="H55" s="15">
        <v>20250902</v>
      </c>
    </row>
    <row r="56" customHeight="1" spans="1:8">
      <c r="A56" s="196">
        <v>954.2715</v>
      </c>
      <c r="B56" s="22">
        <v>40</v>
      </c>
      <c r="C56" s="22" t="s">
        <v>170</v>
      </c>
      <c r="D56" s="22" t="s">
        <v>171</v>
      </c>
      <c r="E56" s="22" t="s">
        <v>172</v>
      </c>
      <c r="F56" s="195" t="s">
        <v>173</v>
      </c>
      <c r="G56" s="22">
        <v>1</v>
      </c>
      <c r="H56" s="15">
        <v>20250902</v>
      </c>
    </row>
    <row r="57" ht="30" customHeight="1" spans="1:8">
      <c r="A57" s="196">
        <v>954.2492</v>
      </c>
      <c r="B57" s="175">
        <v>42</v>
      </c>
      <c r="C57" s="175" t="s">
        <v>21</v>
      </c>
      <c r="D57" s="115" t="s">
        <v>40</v>
      </c>
      <c r="E57" s="187" t="s">
        <v>23</v>
      </c>
      <c r="F57" s="183" t="s">
        <v>199</v>
      </c>
      <c r="G57" s="175">
        <v>1</v>
      </c>
      <c r="H57" s="15">
        <v>20250902</v>
      </c>
    </row>
    <row r="58" spans="1:8">
      <c r="A58" s="196">
        <v>954.2447</v>
      </c>
      <c r="B58" s="22">
        <v>43</v>
      </c>
      <c r="C58" s="15" t="s">
        <v>129</v>
      </c>
      <c r="D58" s="27" t="s">
        <v>130</v>
      </c>
      <c r="E58" s="27" t="s">
        <v>131</v>
      </c>
      <c r="F58" s="31" t="s">
        <v>200</v>
      </c>
      <c r="G58" s="27">
        <v>0</v>
      </c>
      <c r="H58" s="15">
        <v>20250902</v>
      </c>
    </row>
    <row r="59" ht="15.75" spans="1:8">
      <c r="A59" s="196">
        <v>954.2348</v>
      </c>
      <c r="B59" s="15">
        <v>44</v>
      </c>
      <c r="C59" s="22" t="s">
        <v>122</v>
      </c>
      <c r="D59" s="22" t="s">
        <v>201</v>
      </c>
      <c r="E59" s="22" t="s">
        <v>123</v>
      </c>
      <c r="F59" s="228" t="s">
        <v>202</v>
      </c>
      <c r="G59" s="22">
        <v>1</v>
      </c>
      <c r="H59" s="15">
        <v>20250902</v>
      </c>
    </row>
    <row r="60" spans="1:8">
      <c r="A60" s="18">
        <v>954.2328</v>
      </c>
      <c r="B60" s="12">
        <v>44</v>
      </c>
      <c r="C60" s="15" t="s">
        <v>129</v>
      </c>
      <c r="D60" s="27" t="s">
        <v>130</v>
      </c>
      <c r="E60" s="27" t="s">
        <v>131</v>
      </c>
      <c r="F60" s="31" t="s">
        <v>203</v>
      </c>
      <c r="G60" s="27">
        <v>0</v>
      </c>
      <c r="H60" s="15">
        <v>20250902</v>
      </c>
    </row>
    <row r="61" ht="15.75" spans="1:8">
      <c r="A61" s="196">
        <v>954.2107</v>
      </c>
      <c r="B61" s="22">
        <v>46</v>
      </c>
      <c r="C61" s="15" t="s">
        <v>129</v>
      </c>
      <c r="D61" s="27" t="s">
        <v>130</v>
      </c>
      <c r="E61" s="27" t="s">
        <v>136</v>
      </c>
      <c r="F61" s="31" t="s">
        <v>204</v>
      </c>
      <c r="G61" s="27">
        <v>1</v>
      </c>
      <c r="H61" s="15">
        <v>20250902</v>
      </c>
    </row>
    <row r="62" spans="1:8">
      <c r="A62" s="196">
        <v>954.2107</v>
      </c>
      <c r="B62" s="22">
        <v>46</v>
      </c>
      <c r="C62" s="15" t="s">
        <v>129</v>
      </c>
      <c r="D62" s="27" t="s">
        <v>130</v>
      </c>
      <c r="E62" s="27" t="s">
        <v>131</v>
      </c>
      <c r="F62" s="205" t="s">
        <v>205</v>
      </c>
      <c r="G62" s="27">
        <v>0</v>
      </c>
      <c r="H62" s="15">
        <v>20250902</v>
      </c>
    </row>
    <row r="63" ht="15.75" spans="1:8">
      <c r="A63" s="196">
        <v>954.2018</v>
      </c>
      <c r="B63" s="175">
        <v>47</v>
      </c>
      <c r="C63" s="175" t="s">
        <v>122</v>
      </c>
      <c r="D63" s="187" t="s">
        <v>40</v>
      </c>
      <c r="E63" s="175" t="s">
        <v>123</v>
      </c>
      <c r="F63" s="229" t="s">
        <v>206</v>
      </c>
      <c r="G63" s="181">
        <v>1</v>
      </c>
      <c r="H63" s="15">
        <v>20250902</v>
      </c>
    </row>
    <row r="64" ht="30" customHeight="1" spans="1:8">
      <c r="A64" s="196">
        <v>954.1899</v>
      </c>
      <c r="B64" s="22">
        <v>49</v>
      </c>
      <c r="C64" s="15" t="s">
        <v>129</v>
      </c>
      <c r="D64" s="27" t="s">
        <v>130</v>
      </c>
      <c r="E64" s="27" t="s">
        <v>207</v>
      </c>
      <c r="F64" s="188" t="s">
        <v>208</v>
      </c>
      <c r="G64" s="27">
        <v>1</v>
      </c>
      <c r="H64" s="15">
        <v>20250902</v>
      </c>
    </row>
    <row r="65" spans="1:8">
      <c r="A65" s="196">
        <v>954.1914</v>
      </c>
      <c r="B65" s="22">
        <v>49</v>
      </c>
      <c r="C65" s="15" t="s">
        <v>129</v>
      </c>
      <c r="D65" s="27" t="s">
        <v>130</v>
      </c>
      <c r="E65" s="27" t="s">
        <v>158</v>
      </c>
      <c r="F65" s="31" t="s">
        <v>209</v>
      </c>
      <c r="G65" s="27">
        <v>0</v>
      </c>
      <c r="H65" s="15">
        <v>20250902</v>
      </c>
    </row>
    <row r="66" spans="1:8">
      <c r="A66" s="230">
        <v>954.151</v>
      </c>
      <c r="B66" s="180">
        <v>53</v>
      </c>
      <c r="C66" s="180" t="s">
        <v>129</v>
      </c>
      <c r="D66" s="181" t="s">
        <v>130</v>
      </c>
      <c r="E66" s="181" t="s">
        <v>131</v>
      </c>
      <c r="F66" s="190" t="s">
        <v>210</v>
      </c>
      <c r="G66" s="175">
        <v>0</v>
      </c>
      <c r="H66" s="15">
        <v>20250902</v>
      </c>
    </row>
    <row r="67" spans="1:8">
      <c r="A67" s="196">
        <v>954.1559</v>
      </c>
      <c r="B67" s="22">
        <v>53</v>
      </c>
      <c r="C67" s="15" t="s">
        <v>129</v>
      </c>
      <c r="D67" s="27" t="s">
        <v>151</v>
      </c>
      <c r="E67" s="27" t="s">
        <v>131</v>
      </c>
      <c r="F67" s="31" t="s">
        <v>211</v>
      </c>
      <c r="G67" s="27">
        <v>0</v>
      </c>
      <c r="H67" s="15">
        <v>20250902</v>
      </c>
    </row>
    <row r="68" ht="15.75" spans="1:8">
      <c r="A68" s="196">
        <v>954.1382</v>
      </c>
      <c r="B68" s="15">
        <v>55</v>
      </c>
      <c r="C68" s="22" t="s">
        <v>122</v>
      </c>
      <c r="D68" s="22" t="s">
        <v>201</v>
      </c>
      <c r="E68" s="22" t="s">
        <v>123</v>
      </c>
      <c r="F68" s="228" t="s">
        <v>212</v>
      </c>
      <c r="G68" s="22">
        <v>1</v>
      </c>
      <c r="H68" s="15">
        <v>20250902</v>
      </c>
    </row>
    <row r="69" ht="15.75" spans="1:8">
      <c r="A69" s="196">
        <v>954.1312</v>
      </c>
      <c r="B69" s="15">
        <v>55</v>
      </c>
      <c r="C69" s="22" t="s">
        <v>122</v>
      </c>
      <c r="D69" s="22" t="s">
        <v>201</v>
      </c>
      <c r="E69" s="22" t="s">
        <v>123</v>
      </c>
      <c r="F69" s="231" t="s">
        <v>213</v>
      </c>
      <c r="G69" s="22">
        <v>1</v>
      </c>
      <c r="H69" s="15">
        <v>20250902</v>
      </c>
    </row>
    <row r="70" ht="15.75" spans="1:8">
      <c r="A70" s="196">
        <v>954.1412</v>
      </c>
      <c r="B70" s="22">
        <v>55</v>
      </c>
      <c r="C70" s="15" t="s">
        <v>129</v>
      </c>
      <c r="D70" s="27" t="s">
        <v>151</v>
      </c>
      <c r="E70" s="27" t="s">
        <v>139</v>
      </c>
      <c r="F70" s="31" t="s">
        <v>214</v>
      </c>
      <c r="G70" s="27">
        <v>0</v>
      </c>
      <c r="H70" s="15">
        <v>20250902</v>
      </c>
    </row>
    <row r="71" ht="27" spans="1:8">
      <c r="A71" s="196">
        <v>954.1316</v>
      </c>
      <c r="B71" s="22">
        <v>56</v>
      </c>
      <c r="C71" s="22" t="s">
        <v>170</v>
      </c>
      <c r="D71" s="22" t="s">
        <v>171</v>
      </c>
      <c r="E71" s="22" t="s">
        <v>172</v>
      </c>
      <c r="F71" s="195" t="s">
        <v>173</v>
      </c>
      <c r="G71" s="22">
        <v>1</v>
      </c>
      <c r="H71" s="15">
        <v>20250902</v>
      </c>
    </row>
    <row r="72" spans="1:8">
      <c r="A72" s="196">
        <v>954.1242</v>
      </c>
      <c r="B72" s="22">
        <v>57</v>
      </c>
      <c r="C72" s="15" t="s">
        <v>129</v>
      </c>
      <c r="D72" s="27" t="s">
        <v>151</v>
      </c>
      <c r="E72" s="27" t="s">
        <v>207</v>
      </c>
      <c r="F72" s="31" t="s">
        <v>215</v>
      </c>
      <c r="G72" s="27">
        <v>0</v>
      </c>
      <c r="H72" s="15">
        <v>20250902</v>
      </c>
    </row>
    <row r="73" spans="1:8">
      <c r="A73" s="196">
        <v>954.1192</v>
      </c>
      <c r="B73" s="22">
        <v>57</v>
      </c>
      <c r="C73" s="15" t="s">
        <v>129</v>
      </c>
      <c r="D73" s="27" t="s">
        <v>151</v>
      </c>
      <c r="E73" s="27" t="s">
        <v>158</v>
      </c>
      <c r="F73" s="31" t="s">
        <v>216</v>
      </c>
      <c r="G73" s="27">
        <v>0</v>
      </c>
      <c r="H73" s="15">
        <v>20250902</v>
      </c>
    </row>
    <row r="74" spans="1:8">
      <c r="A74" s="18">
        <v>954.1158</v>
      </c>
      <c r="B74" s="22">
        <v>58</v>
      </c>
      <c r="C74" s="15" t="s">
        <v>129</v>
      </c>
      <c r="D74" s="27" t="s">
        <v>151</v>
      </c>
      <c r="E74" s="27" t="s">
        <v>131</v>
      </c>
      <c r="F74" s="188" t="s">
        <v>217</v>
      </c>
      <c r="G74" s="27">
        <v>1</v>
      </c>
      <c r="H74" s="15">
        <v>20250902</v>
      </c>
    </row>
    <row r="75" spans="1:8">
      <c r="A75" s="18">
        <v>954.06</v>
      </c>
      <c r="B75" s="177">
        <v>64</v>
      </c>
      <c r="C75" s="201" t="s">
        <v>17</v>
      </c>
      <c r="D75" s="115" t="s">
        <v>177</v>
      </c>
      <c r="E75" s="187" t="s">
        <v>19</v>
      </c>
      <c r="F75" s="183" t="s">
        <v>198</v>
      </c>
      <c r="G75" s="175">
        <v>1</v>
      </c>
      <c r="H75" s="15">
        <v>20250902</v>
      </c>
    </row>
    <row r="76" spans="1:8">
      <c r="A76" s="18">
        <v>954</v>
      </c>
      <c r="B76" s="177">
        <v>70</v>
      </c>
      <c r="C76" s="201" t="s">
        <v>17</v>
      </c>
      <c r="D76" s="115" t="s">
        <v>18</v>
      </c>
      <c r="E76" s="187" t="s">
        <v>19</v>
      </c>
      <c r="F76" s="182" t="s">
        <v>218</v>
      </c>
      <c r="G76" s="175">
        <v>1</v>
      </c>
      <c r="H76" s="15">
        <v>20250902</v>
      </c>
    </row>
    <row r="77" spans="1:8">
      <c r="A77" s="18" t="s">
        <v>91</v>
      </c>
      <c r="B77" s="177" t="s">
        <v>91</v>
      </c>
      <c r="C77" s="201" t="s">
        <v>219</v>
      </c>
      <c r="D77" s="115" t="s">
        <v>219</v>
      </c>
      <c r="E77" s="187" t="s">
        <v>91</v>
      </c>
      <c r="F77" s="183" t="s">
        <v>93</v>
      </c>
      <c r="G77" s="175">
        <v>0</v>
      </c>
      <c r="H77" s="15">
        <v>20250902</v>
      </c>
    </row>
    <row r="78" ht="15.75" spans="1:8">
      <c r="A78" s="18" t="s">
        <v>91</v>
      </c>
      <c r="B78" s="177">
        <v>71</v>
      </c>
      <c r="C78" s="187" t="s">
        <v>8</v>
      </c>
      <c r="D78" s="115" t="s">
        <v>220</v>
      </c>
      <c r="E78" s="175" t="s">
        <v>184</v>
      </c>
      <c r="F78" s="183" t="s">
        <v>221</v>
      </c>
      <c r="G78" s="175">
        <v>1</v>
      </c>
      <c r="H78" s="15">
        <v>20250902</v>
      </c>
    </row>
    <row r="79" ht="27" spans="1:8">
      <c r="A79" s="18">
        <v>954.62</v>
      </c>
      <c r="B79" s="15" t="s">
        <v>94</v>
      </c>
      <c r="C79" s="22" t="s">
        <v>170</v>
      </c>
      <c r="D79" s="22" t="s">
        <v>170</v>
      </c>
      <c r="E79" s="22" t="s">
        <v>172</v>
      </c>
      <c r="F79" s="31" t="s">
        <v>222</v>
      </c>
      <c r="G79" s="22">
        <v>1</v>
      </c>
      <c r="H79" s="15">
        <v>20250902</v>
      </c>
    </row>
    <row r="80" ht="27" spans="1:8">
      <c r="A80" s="196">
        <v>954.5303</v>
      </c>
      <c r="B80" s="15" t="s">
        <v>99</v>
      </c>
      <c r="C80" s="22" t="s">
        <v>170</v>
      </c>
      <c r="D80" s="22" t="s">
        <v>170</v>
      </c>
      <c r="E80" s="22" t="s">
        <v>172</v>
      </c>
      <c r="F80" s="31" t="s">
        <v>222</v>
      </c>
      <c r="G80" s="22">
        <v>1</v>
      </c>
      <c r="H80" s="15">
        <v>20250902</v>
      </c>
    </row>
    <row r="81" ht="27" spans="1:10">
      <c r="A81" s="196">
        <v>954.4405</v>
      </c>
      <c r="B81" s="15" t="s">
        <v>100</v>
      </c>
      <c r="C81" s="22" t="s">
        <v>170</v>
      </c>
      <c r="D81" s="22" t="s">
        <v>170</v>
      </c>
      <c r="E81" s="22" t="s">
        <v>172</v>
      </c>
      <c r="F81" s="31" t="s">
        <v>222</v>
      </c>
      <c r="G81" s="22">
        <v>1</v>
      </c>
      <c r="H81" s="15">
        <v>20250902</v>
      </c>
    </row>
    <row r="82" ht="27" spans="1:10">
      <c r="A82" s="18">
        <v>954.352</v>
      </c>
      <c r="B82" s="15" t="s">
        <v>101</v>
      </c>
      <c r="C82" s="22" t="s">
        <v>170</v>
      </c>
      <c r="D82" s="22" t="s">
        <v>170</v>
      </c>
      <c r="E82" s="22" t="s">
        <v>172</v>
      </c>
      <c r="F82" s="31" t="s">
        <v>222</v>
      </c>
      <c r="G82" s="22">
        <v>1</v>
      </c>
      <c r="H82" s="15">
        <v>20250902</v>
      </c>
    </row>
    <row r="83" ht="27" spans="1:10">
      <c r="A83" s="18">
        <v>954.263</v>
      </c>
      <c r="B83" s="15" t="s">
        <v>102</v>
      </c>
      <c r="C83" s="22" t="s">
        <v>170</v>
      </c>
      <c r="D83" s="22" t="s">
        <v>170</v>
      </c>
      <c r="E83" s="22" t="s">
        <v>172</v>
      </c>
      <c r="F83" s="31" t="s">
        <v>222</v>
      </c>
      <c r="G83" s="22">
        <v>1</v>
      </c>
      <c r="H83" s="15">
        <v>20250902</v>
      </c>
    </row>
    <row r="84" ht="27" spans="1:10">
      <c r="A84" s="196">
        <v>954.173</v>
      </c>
      <c r="B84" s="15" t="s">
        <v>103</v>
      </c>
      <c r="C84" s="22" t="s">
        <v>170</v>
      </c>
      <c r="D84" s="22" t="s">
        <v>170</v>
      </c>
      <c r="E84" s="22" t="s">
        <v>172</v>
      </c>
      <c r="F84" s="31" t="s">
        <v>222</v>
      </c>
      <c r="G84" s="22">
        <v>1</v>
      </c>
      <c r="H84" s="15">
        <v>20250902</v>
      </c>
    </row>
    <row r="85" ht="27" spans="1:10">
      <c r="A85" s="18">
        <v>954.089</v>
      </c>
      <c r="B85" s="15" t="s">
        <v>223</v>
      </c>
      <c r="C85" s="22" t="s">
        <v>170</v>
      </c>
      <c r="D85" s="22" t="s">
        <v>170</v>
      </c>
      <c r="E85" s="22" t="s">
        <v>172</v>
      </c>
      <c r="F85" s="31" t="s">
        <v>222</v>
      </c>
      <c r="G85" s="22">
        <v>1</v>
      </c>
      <c r="H85" s="15">
        <v>20250902</v>
      </c>
    </row>
    <row r="86" spans="1:10">
      <c r="B86" s="16"/>
      <c r="D86" s="16"/>
      <c r="E86" s="16"/>
      <c r="F86" s="16"/>
      <c r="G86" s="16"/>
      <c r="J86" s="232"/>
    </row>
    <row r="87" spans="1:10">
      <c r="B87" s="16"/>
      <c r="D87" s="16"/>
      <c r="E87" s="16"/>
      <c r="F87" s="16"/>
      <c r="G87" s="16"/>
    </row>
  </sheetData>
  <autoFilter xmlns:etc="http://www.wps.cn/officeDocument/2017/etCustomData" ref="A1:K87" etc:filterBottomFollowUsedRange="0">
    <extLst/>
  </autoFilter>
  <sortState ref="A2:H76">
    <sortCondition ref="B2:B76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72"/>
  <sheetViews>
    <sheetView workbookViewId="0">
      <selection activeCell="C33" sqref="C$1:C$1048576"/>
    </sheetView>
  </sheetViews>
  <sheetFormatPr defaultColWidth="9" defaultRowHeight="15" outlineLevelCol="7"/>
  <cols>
    <col min="1" max="1" width="9" style="12"/>
    <col min="2" max="2" width="9.125" style="12" customWidth="1"/>
    <col min="3" max="3" width="9" style="12"/>
    <col min="4" max="4" width="9.875" style="12" customWidth="1"/>
    <col min="5" max="5" width="11.125" style="12" customWidth="1"/>
    <col min="6" max="6" width="65.625" style="12" customWidth="1"/>
    <col min="7" max="7" width="9.125" style="12" customWidth="1"/>
    <col min="8" max="8" width="9.5" style="15" customWidth="1"/>
    <col min="9" max="16384" width="9" style="16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spans="1:8">
      <c r="A2" s="217">
        <v>964.85</v>
      </c>
      <c r="B2" s="22">
        <v>0</v>
      </c>
      <c r="C2" s="12" t="s">
        <v>224</v>
      </c>
      <c r="D2" s="12" t="s">
        <v>225</v>
      </c>
      <c r="E2" s="19" t="s">
        <v>226</v>
      </c>
      <c r="F2" s="21" t="s">
        <v>227</v>
      </c>
      <c r="G2" s="19">
        <v>1</v>
      </c>
      <c r="H2" s="15">
        <v>20250902</v>
      </c>
    </row>
    <row r="3" spans="1:8">
      <c r="A3" s="217">
        <v>964.2255</v>
      </c>
      <c r="B3" s="12">
        <v>1</v>
      </c>
      <c r="C3" s="12" t="s">
        <v>129</v>
      </c>
      <c r="D3" s="19" t="s">
        <v>228</v>
      </c>
      <c r="E3" s="20" t="s">
        <v>15</v>
      </c>
      <c r="F3" s="109" t="s">
        <v>229</v>
      </c>
      <c r="G3" s="27">
        <v>1</v>
      </c>
      <c r="H3" s="15">
        <v>20250902</v>
      </c>
    </row>
    <row r="4" ht="27" spans="1:8">
      <c r="A4" s="217">
        <v>964.225</v>
      </c>
      <c r="B4" s="12">
        <v>1</v>
      </c>
      <c r="C4" s="22" t="s">
        <v>129</v>
      </c>
      <c r="D4" s="19" t="s">
        <v>228</v>
      </c>
      <c r="E4" s="20" t="s">
        <v>33</v>
      </c>
      <c r="F4" s="21" t="s">
        <v>230</v>
      </c>
      <c r="G4" s="19">
        <v>1</v>
      </c>
      <c r="H4" s="15">
        <v>20250902</v>
      </c>
    </row>
    <row r="5" spans="1:8">
      <c r="A5" s="217">
        <v>964.224</v>
      </c>
      <c r="B5" s="12">
        <v>1</v>
      </c>
      <c r="C5" s="12" t="s">
        <v>129</v>
      </c>
      <c r="D5" s="19" t="s">
        <v>231</v>
      </c>
      <c r="E5" s="20" t="s">
        <v>232</v>
      </c>
      <c r="F5" s="218" t="s">
        <v>233</v>
      </c>
      <c r="G5" s="19">
        <v>1</v>
      </c>
      <c r="H5" s="15">
        <v>20250902</v>
      </c>
    </row>
    <row r="6" spans="1:8">
      <c r="A6" s="217">
        <v>964.2255</v>
      </c>
      <c r="B6" s="12">
        <v>1</v>
      </c>
      <c r="C6" s="12" t="s">
        <v>129</v>
      </c>
      <c r="D6" s="19" t="s">
        <v>231</v>
      </c>
      <c r="E6" s="20" t="s">
        <v>232</v>
      </c>
      <c r="F6" s="218" t="s">
        <v>234</v>
      </c>
      <c r="G6" s="19">
        <v>1</v>
      </c>
      <c r="H6" s="15">
        <v>20250902</v>
      </c>
    </row>
    <row r="7" spans="1:8">
      <c r="A7" s="217">
        <v>964.225</v>
      </c>
      <c r="B7" s="12">
        <v>1</v>
      </c>
      <c r="C7" s="12" t="s">
        <v>129</v>
      </c>
      <c r="D7" s="19" t="s">
        <v>235</v>
      </c>
      <c r="E7" s="19" t="s">
        <v>236</v>
      </c>
      <c r="F7" s="21" t="s">
        <v>237</v>
      </c>
      <c r="G7" s="19">
        <v>1</v>
      </c>
      <c r="H7" s="15">
        <v>20250902</v>
      </c>
    </row>
    <row r="8" ht="15.75" spans="1:8">
      <c r="A8" s="217">
        <v>964.222</v>
      </c>
      <c r="B8" s="70">
        <v>1</v>
      </c>
      <c r="C8" s="29" t="s">
        <v>238</v>
      </c>
      <c r="D8" s="110" t="s">
        <v>239</v>
      </c>
      <c r="E8" s="25" t="s">
        <v>240</v>
      </c>
      <c r="F8" s="67" t="s">
        <v>241</v>
      </c>
      <c r="G8" s="25">
        <v>1</v>
      </c>
      <c r="H8" s="15">
        <v>20250902</v>
      </c>
    </row>
    <row r="9" ht="15.75" spans="1:8">
      <c r="A9" s="217">
        <v>964.222</v>
      </c>
      <c r="B9" s="70">
        <v>1</v>
      </c>
      <c r="C9" s="29" t="s">
        <v>238</v>
      </c>
      <c r="D9" s="25" t="s">
        <v>242</v>
      </c>
      <c r="E9" s="25" t="s">
        <v>240</v>
      </c>
      <c r="F9" s="67" t="s">
        <v>243</v>
      </c>
      <c r="G9" s="25">
        <v>1</v>
      </c>
      <c r="H9" s="15">
        <v>20250902</v>
      </c>
    </row>
    <row r="10" ht="15.75" spans="1:8">
      <c r="A10" s="217">
        <v>964.222</v>
      </c>
      <c r="B10" s="70">
        <v>1</v>
      </c>
      <c r="C10" s="29" t="s">
        <v>238</v>
      </c>
      <c r="D10" s="110" t="s">
        <v>239</v>
      </c>
      <c r="E10" s="25" t="s">
        <v>244</v>
      </c>
      <c r="F10" s="67" t="s">
        <v>245</v>
      </c>
      <c r="G10" s="25">
        <v>1</v>
      </c>
      <c r="H10" s="15">
        <v>20250902</v>
      </c>
    </row>
    <row r="11" ht="15.75" spans="1:8">
      <c r="A11" s="217">
        <v>964.222</v>
      </c>
      <c r="B11" s="70">
        <v>1</v>
      </c>
      <c r="C11" s="29" t="s">
        <v>238</v>
      </c>
      <c r="D11" s="25" t="s">
        <v>242</v>
      </c>
      <c r="E11" s="25" t="s">
        <v>244</v>
      </c>
      <c r="F11" s="67" t="s">
        <v>246</v>
      </c>
      <c r="G11" s="25">
        <v>1</v>
      </c>
      <c r="H11" s="15">
        <v>20250902</v>
      </c>
    </row>
    <row r="12" spans="1:8">
      <c r="A12" s="217">
        <v>964.222</v>
      </c>
      <c r="B12" s="111">
        <v>1</v>
      </c>
      <c r="C12" s="29" t="s">
        <v>247</v>
      </c>
      <c r="D12" s="25" t="s">
        <v>242</v>
      </c>
      <c r="E12" s="25" t="s">
        <v>248</v>
      </c>
      <c r="F12" s="219" t="s">
        <v>249</v>
      </c>
      <c r="G12" s="25">
        <v>1</v>
      </c>
      <c r="H12" s="15">
        <v>20250902</v>
      </c>
    </row>
    <row r="13" spans="1:8">
      <c r="A13" s="217">
        <v>964.223</v>
      </c>
      <c r="B13" s="111">
        <v>1</v>
      </c>
      <c r="C13" s="29" t="s">
        <v>247</v>
      </c>
      <c r="D13" s="25" t="s">
        <v>242</v>
      </c>
      <c r="E13" s="20" t="s">
        <v>250</v>
      </c>
      <c r="F13" s="162" t="s">
        <v>251</v>
      </c>
      <c r="G13" s="25">
        <v>1</v>
      </c>
      <c r="H13" s="15">
        <v>20250902</v>
      </c>
    </row>
    <row r="14" spans="1:8">
      <c r="A14" s="217">
        <v>964.2296</v>
      </c>
      <c r="B14" s="12">
        <v>2</v>
      </c>
      <c r="C14" s="12" t="s">
        <v>129</v>
      </c>
      <c r="D14" s="19" t="s">
        <v>228</v>
      </c>
      <c r="E14" s="20" t="s">
        <v>41</v>
      </c>
      <c r="F14" s="21" t="s">
        <v>252</v>
      </c>
      <c r="G14" s="19">
        <v>1</v>
      </c>
      <c r="H14" s="15">
        <v>20250902</v>
      </c>
    </row>
    <row r="15" spans="1:8">
      <c r="A15" s="217">
        <v>964.2326</v>
      </c>
      <c r="B15" s="22">
        <v>2</v>
      </c>
      <c r="C15" s="22" t="s">
        <v>253</v>
      </c>
      <c r="D15" s="22" t="s">
        <v>126</v>
      </c>
      <c r="E15" s="22" t="s">
        <v>254</v>
      </c>
      <c r="F15" s="31" t="s">
        <v>255</v>
      </c>
      <c r="G15" s="22">
        <v>1</v>
      </c>
      <c r="H15" s="15">
        <v>20250902</v>
      </c>
    </row>
    <row r="16" spans="1:8">
      <c r="A16" s="217">
        <v>964.2446</v>
      </c>
      <c r="B16" s="175">
        <v>4</v>
      </c>
      <c r="C16" s="175" t="s">
        <v>125</v>
      </c>
      <c r="D16" s="187" t="s">
        <v>18</v>
      </c>
      <c r="E16" s="187" t="s">
        <v>256</v>
      </c>
      <c r="F16" s="183" t="s">
        <v>257</v>
      </c>
      <c r="G16" s="175">
        <v>1</v>
      </c>
      <c r="H16" s="15">
        <v>20250902</v>
      </c>
    </row>
    <row r="17" ht="15.75" spans="1:8">
      <c r="A17" s="217">
        <v>964.2446</v>
      </c>
      <c r="B17" s="70">
        <v>4</v>
      </c>
      <c r="C17" s="29" t="s">
        <v>238</v>
      </c>
      <c r="D17" s="25" t="s">
        <v>258</v>
      </c>
      <c r="E17" s="25" t="s">
        <v>244</v>
      </c>
      <c r="F17" s="67" t="s">
        <v>259</v>
      </c>
      <c r="G17" s="25">
        <v>1</v>
      </c>
      <c r="H17" s="15">
        <v>20250902</v>
      </c>
    </row>
    <row r="18" ht="30" customHeight="1" spans="1:8">
      <c r="A18" s="217">
        <v>964.2476</v>
      </c>
      <c r="B18" s="199">
        <v>4</v>
      </c>
      <c r="C18" s="175" t="s">
        <v>21</v>
      </c>
      <c r="D18" s="173" t="s">
        <v>26</v>
      </c>
      <c r="E18" s="173" t="s">
        <v>29</v>
      </c>
      <c r="F18" s="182" t="s">
        <v>260</v>
      </c>
      <c r="G18" s="131">
        <v>1</v>
      </c>
      <c r="H18" s="15">
        <v>20250902</v>
      </c>
    </row>
    <row r="19" ht="30" customHeight="1" spans="1:8">
      <c r="A19" s="217">
        <v>964.263</v>
      </c>
      <c r="B19" s="199">
        <v>6</v>
      </c>
      <c r="C19" s="175" t="s">
        <v>21</v>
      </c>
      <c r="D19" s="173" t="s">
        <v>40</v>
      </c>
      <c r="E19" s="173" t="s">
        <v>29</v>
      </c>
      <c r="F19" s="183" t="s">
        <v>162</v>
      </c>
      <c r="G19" s="131">
        <v>1</v>
      </c>
      <c r="H19" s="15">
        <v>20250902</v>
      </c>
    </row>
    <row r="20" ht="15.75" spans="1:8">
      <c r="A20" s="217">
        <v>964.2659</v>
      </c>
      <c r="B20" s="22">
        <v>6</v>
      </c>
      <c r="C20" s="22" t="s">
        <v>253</v>
      </c>
      <c r="D20" s="22" t="s">
        <v>261</v>
      </c>
      <c r="E20" s="22" t="s">
        <v>262</v>
      </c>
      <c r="F20" s="31" t="s">
        <v>263</v>
      </c>
      <c r="G20" s="22">
        <v>0</v>
      </c>
      <c r="H20" s="15">
        <v>20250902</v>
      </c>
    </row>
    <row r="21" ht="15.75" spans="1:8">
      <c r="A21" s="217">
        <v>964.3334</v>
      </c>
      <c r="B21" s="70">
        <v>15</v>
      </c>
      <c r="C21" s="29" t="s">
        <v>238</v>
      </c>
      <c r="D21" s="110" t="s">
        <v>264</v>
      </c>
      <c r="E21" s="25" t="s">
        <v>244</v>
      </c>
      <c r="F21" s="67" t="s">
        <v>265</v>
      </c>
      <c r="G21" s="25">
        <v>1</v>
      </c>
      <c r="H21" s="15">
        <v>20250902</v>
      </c>
    </row>
    <row r="22" spans="1:8">
      <c r="A22" s="217">
        <v>964.3441</v>
      </c>
      <c r="B22" s="12">
        <v>17</v>
      </c>
      <c r="C22" s="12" t="s">
        <v>129</v>
      </c>
      <c r="D22" s="12" t="s">
        <v>151</v>
      </c>
      <c r="E22" s="20" t="s">
        <v>33</v>
      </c>
      <c r="F22" s="21" t="s">
        <v>266</v>
      </c>
      <c r="G22" s="19">
        <v>0</v>
      </c>
      <c r="H22" s="15">
        <v>20250902</v>
      </c>
    </row>
    <row r="23" ht="30" customHeight="1" spans="1:8">
      <c r="A23" s="217">
        <v>964.345</v>
      </c>
      <c r="B23" s="124">
        <v>17</v>
      </c>
      <c r="C23" s="175" t="s">
        <v>21</v>
      </c>
      <c r="D23" s="173" t="s">
        <v>40</v>
      </c>
      <c r="E23" s="173" t="s">
        <v>23</v>
      </c>
      <c r="F23" s="182" t="s">
        <v>267</v>
      </c>
      <c r="G23" s="126">
        <v>1</v>
      </c>
      <c r="H23" s="15">
        <v>20250902</v>
      </c>
    </row>
    <row r="24" spans="1:8">
      <c r="A24" s="217">
        <v>964.3511</v>
      </c>
      <c r="B24" s="25">
        <v>17</v>
      </c>
      <c r="C24" s="29" t="s">
        <v>268</v>
      </c>
      <c r="D24" s="25" t="s">
        <v>269</v>
      </c>
      <c r="E24" s="25" t="s">
        <v>270</v>
      </c>
      <c r="F24" s="67" t="s">
        <v>271</v>
      </c>
      <c r="G24" s="25">
        <v>1</v>
      </c>
      <c r="H24" s="15">
        <v>20250902</v>
      </c>
    </row>
    <row r="25" spans="1:8">
      <c r="A25" s="217">
        <v>964.3739</v>
      </c>
      <c r="B25" s="12">
        <v>21</v>
      </c>
      <c r="C25" s="12" t="s">
        <v>129</v>
      </c>
      <c r="D25" s="19" t="s">
        <v>272</v>
      </c>
      <c r="E25" s="20" t="s">
        <v>41</v>
      </c>
      <c r="F25" s="21" t="s">
        <v>273</v>
      </c>
      <c r="G25" s="19">
        <v>1</v>
      </c>
      <c r="H25" s="15">
        <v>20250902</v>
      </c>
    </row>
    <row r="26" ht="15.75" spans="1:8">
      <c r="A26" s="217">
        <v>964.4108</v>
      </c>
      <c r="B26" s="70">
        <v>26</v>
      </c>
      <c r="C26" s="29" t="s">
        <v>238</v>
      </c>
      <c r="D26" s="110" t="s">
        <v>264</v>
      </c>
      <c r="E26" s="25" t="s">
        <v>244</v>
      </c>
      <c r="F26" s="67" t="s">
        <v>274</v>
      </c>
      <c r="G26" s="25">
        <v>1</v>
      </c>
      <c r="H26" s="15">
        <v>20250902</v>
      </c>
    </row>
    <row r="27" spans="1:8">
      <c r="A27" s="217">
        <v>964.4335</v>
      </c>
      <c r="B27" s="12">
        <v>29</v>
      </c>
      <c r="C27" s="12" t="s">
        <v>129</v>
      </c>
      <c r="D27" s="19" t="s">
        <v>228</v>
      </c>
      <c r="E27" s="20" t="s">
        <v>33</v>
      </c>
      <c r="F27" s="21" t="s">
        <v>275</v>
      </c>
      <c r="G27" s="27">
        <v>0</v>
      </c>
      <c r="H27" s="15">
        <v>20250902</v>
      </c>
    </row>
    <row r="28" ht="27" spans="1:8">
      <c r="A28" s="217">
        <v>964.4939</v>
      </c>
      <c r="B28" s="22">
        <v>37</v>
      </c>
      <c r="C28" s="22" t="s">
        <v>170</v>
      </c>
      <c r="D28" s="22" t="s">
        <v>171</v>
      </c>
      <c r="E28" s="22" t="s">
        <v>172</v>
      </c>
      <c r="F28" s="31" t="s">
        <v>276</v>
      </c>
      <c r="G28" s="22">
        <v>1</v>
      </c>
      <c r="H28" s="15">
        <v>20250902</v>
      </c>
    </row>
    <row r="29" spans="1:8">
      <c r="A29" s="217">
        <v>964.5186</v>
      </c>
      <c r="B29" s="22">
        <v>40</v>
      </c>
      <c r="C29" s="23" t="s">
        <v>17</v>
      </c>
      <c r="D29" s="23" t="s">
        <v>18</v>
      </c>
      <c r="E29" s="23" t="s">
        <v>19</v>
      </c>
      <c r="F29" s="31" t="s">
        <v>277</v>
      </c>
      <c r="G29" s="22">
        <v>1</v>
      </c>
      <c r="H29" s="15">
        <v>20250902</v>
      </c>
    </row>
    <row r="30" spans="1:8">
      <c r="A30" s="217">
        <v>964.5342</v>
      </c>
      <c r="B30" s="25">
        <v>42</v>
      </c>
      <c r="C30" s="29" t="s">
        <v>268</v>
      </c>
      <c r="D30" s="25" t="s">
        <v>269</v>
      </c>
      <c r="E30" s="25" t="s">
        <v>270</v>
      </c>
      <c r="F30" s="67" t="s">
        <v>278</v>
      </c>
      <c r="G30" s="25">
        <v>1</v>
      </c>
      <c r="H30" s="15">
        <v>20250902</v>
      </c>
    </row>
    <row r="31" spans="1:8">
      <c r="A31" s="217">
        <v>964.5561</v>
      </c>
      <c r="B31" s="25">
        <v>45</v>
      </c>
      <c r="C31" s="29" t="s">
        <v>268</v>
      </c>
      <c r="D31" s="25" t="s">
        <v>269</v>
      </c>
      <c r="E31" s="25" t="s">
        <v>270</v>
      </c>
      <c r="F31" s="67" t="s">
        <v>279</v>
      </c>
      <c r="G31" s="25">
        <v>1</v>
      </c>
      <c r="H31" s="15">
        <v>20250902</v>
      </c>
    </row>
    <row r="32" spans="1:8">
      <c r="A32" s="217">
        <v>964.5618</v>
      </c>
      <c r="B32" s="111">
        <v>46</v>
      </c>
      <c r="C32" s="29" t="s">
        <v>247</v>
      </c>
      <c r="D32" s="25" t="s">
        <v>242</v>
      </c>
      <c r="E32" s="25" t="s">
        <v>248</v>
      </c>
      <c r="F32" s="66" t="s">
        <v>280</v>
      </c>
      <c r="G32" s="25">
        <v>1</v>
      </c>
      <c r="H32" s="15">
        <v>20250902</v>
      </c>
    </row>
    <row r="33" spans="1:8">
      <c r="A33" s="220">
        <v>964.5633</v>
      </c>
      <c r="B33" s="113">
        <v>47</v>
      </c>
      <c r="C33" s="212" t="s">
        <v>247</v>
      </c>
      <c r="D33" s="131" t="s">
        <v>242</v>
      </c>
      <c r="E33" s="131" t="s">
        <v>248</v>
      </c>
      <c r="F33" s="221" t="s">
        <v>281</v>
      </c>
      <c r="G33" s="131">
        <v>1</v>
      </c>
      <c r="H33" s="15">
        <v>20250902</v>
      </c>
    </row>
    <row r="34" spans="1:8">
      <c r="A34" s="217">
        <v>964.587</v>
      </c>
      <c r="B34" s="86">
        <v>49</v>
      </c>
      <c r="C34" s="22" t="s">
        <v>12</v>
      </c>
      <c r="D34" s="22" t="s">
        <v>12</v>
      </c>
      <c r="E34" s="22" t="s">
        <v>282</v>
      </c>
      <c r="F34" s="31" t="s">
        <v>283</v>
      </c>
      <c r="G34" s="22">
        <v>1</v>
      </c>
      <c r="H34" s="15">
        <v>20250902</v>
      </c>
    </row>
    <row r="35" spans="1:8">
      <c r="A35" s="220">
        <v>964.636</v>
      </c>
      <c r="B35" s="177">
        <v>56</v>
      </c>
      <c r="C35" s="212" t="s">
        <v>247</v>
      </c>
      <c r="D35" s="124" t="s">
        <v>151</v>
      </c>
      <c r="E35" s="131" t="s">
        <v>248</v>
      </c>
      <c r="F35" s="221" t="s">
        <v>284</v>
      </c>
      <c r="G35" s="175">
        <v>1</v>
      </c>
      <c r="H35" s="15">
        <v>20250902</v>
      </c>
    </row>
    <row r="36" ht="27" spans="1:8">
      <c r="A36" s="217">
        <v>964.6418</v>
      </c>
      <c r="B36" s="22">
        <v>57</v>
      </c>
      <c r="C36" s="22" t="s">
        <v>170</v>
      </c>
      <c r="D36" s="22" t="s">
        <v>171</v>
      </c>
      <c r="E36" s="22" t="s">
        <v>172</v>
      </c>
      <c r="F36" s="31" t="s">
        <v>276</v>
      </c>
      <c r="G36" s="22">
        <v>1</v>
      </c>
      <c r="H36" s="15">
        <v>20250902</v>
      </c>
    </row>
    <row r="37" spans="1:8">
      <c r="A37" s="217">
        <v>964.6572</v>
      </c>
      <c r="B37" s="12">
        <v>59</v>
      </c>
      <c r="C37" s="12" t="s">
        <v>129</v>
      </c>
      <c r="D37" s="19" t="s">
        <v>235</v>
      </c>
      <c r="E37" s="20" t="s">
        <v>41</v>
      </c>
      <c r="F37" s="21" t="s">
        <v>285</v>
      </c>
      <c r="G37" s="19">
        <v>1</v>
      </c>
      <c r="H37" s="15">
        <v>20250902</v>
      </c>
    </row>
    <row r="38" spans="1:8">
      <c r="A38" s="217">
        <v>964.6573</v>
      </c>
      <c r="B38" s="12">
        <v>59</v>
      </c>
      <c r="C38" s="12" t="s">
        <v>129</v>
      </c>
      <c r="D38" s="19" t="s">
        <v>235</v>
      </c>
      <c r="E38" s="20" t="s">
        <v>15</v>
      </c>
      <c r="F38" s="21" t="s">
        <v>286</v>
      </c>
      <c r="G38" s="19">
        <v>1</v>
      </c>
      <c r="H38" s="15">
        <v>20250902</v>
      </c>
    </row>
    <row r="39" spans="1:8">
      <c r="A39" s="217">
        <v>964.6607</v>
      </c>
      <c r="B39" s="12">
        <v>59</v>
      </c>
      <c r="C39" s="12" t="s">
        <v>129</v>
      </c>
      <c r="D39" s="19" t="s">
        <v>287</v>
      </c>
      <c r="E39" s="20" t="s">
        <v>15</v>
      </c>
      <c r="F39" s="21" t="s">
        <v>288</v>
      </c>
      <c r="G39" s="19">
        <v>1</v>
      </c>
      <c r="H39" s="15">
        <v>20250902</v>
      </c>
    </row>
    <row r="40" ht="15.75" spans="1:8">
      <c r="A40" s="217">
        <v>964.6645</v>
      </c>
      <c r="B40" s="70">
        <v>60</v>
      </c>
      <c r="C40" s="29" t="s">
        <v>238</v>
      </c>
      <c r="D40" s="110" t="s">
        <v>239</v>
      </c>
      <c r="E40" s="25" t="s">
        <v>240</v>
      </c>
      <c r="F40" s="67" t="s">
        <v>289</v>
      </c>
      <c r="G40" s="25">
        <v>1</v>
      </c>
      <c r="H40" s="15">
        <v>20250902</v>
      </c>
    </row>
    <row r="41" spans="1:8">
      <c r="A41" s="217">
        <v>964.6723</v>
      </c>
      <c r="B41" s="12">
        <v>61</v>
      </c>
      <c r="C41" s="12" t="s">
        <v>129</v>
      </c>
      <c r="D41" s="19" t="s">
        <v>290</v>
      </c>
      <c r="E41" s="20" t="s">
        <v>33</v>
      </c>
      <c r="F41" s="21" t="s">
        <v>291</v>
      </c>
      <c r="G41" s="19">
        <v>0</v>
      </c>
      <c r="H41" s="15">
        <v>20250902</v>
      </c>
    </row>
    <row r="42" spans="1:8">
      <c r="A42" s="217">
        <v>964.6723</v>
      </c>
      <c r="B42" s="12">
        <v>61</v>
      </c>
      <c r="C42" s="28" t="s">
        <v>17</v>
      </c>
      <c r="D42" s="20" t="s">
        <v>96</v>
      </c>
      <c r="E42" s="20" t="s">
        <v>292</v>
      </c>
      <c r="F42" s="21" t="s">
        <v>293</v>
      </c>
      <c r="G42" s="19">
        <v>1</v>
      </c>
      <c r="H42" s="15">
        <v>20250902</v>
      </c>
    </row>
    <row r="43" ht="15.75" spans="1:8">
      <c r="A43" s="217">
        <v>964.6723</v>
      </c>
      <c r="B43" s="70">
        <v>61</v>
      </c>
      <c r="C43" s="29" t="s">
        <v>238</v>
      </c>
      <c r="D43" s="25" t="s">
        <v>294</v>
      </c>
      <c r="E43" s="25" t="s">
        <v>244</v>
      </c>
      <c r="F43" s="67" t="s">
        <v>295</v>
      </c>
      <c r="G43" s="25">
        <v>1</v>
      </c>
      <c r="H43" s="15">
        <v>20250902</v>
      </c>
    </row>
    <row r="44" spans="1:8">
      <c r="A44" s="217">
        <v>964.6799</v>
      </c>
      <c r="B44" s="12">
        <v>62</v>
      </c>
      <c r="C44" s="12" t="s">
        <v>129</v>
      </c>
      <c r="D44" s="19" t="s">
        <v>290</v>
      </c>
      <c r="E44" s="20" t="s">
        <v>33</v>
      </c>
      <c r="F44" s="21" t="s">
        <v>296</v>
      </c>
      <c r="G44" s="19">
        <v>0</v>
      </c>
      <c r="H44" s="15">
        <v>20250902</v>
      </c>
    </row>
    <row r="45" ht="15.75" spans="1:8">
      <c r="A45" s="217">
        <v>964.6875</v>
      </c>
      <c r="B45" s="70">
        <v>63</v>
      </c>
      <c r="C45" s="29" t="s">
        <v>238</v>
      </c>
      <c r="D45" s="25" t="s">
        <v>294</v>
      </c>
      <c r="E45" s="25" t="s">
        <v>244</v>
      </c>
      <c r="F45" s="67" t="s">
        <v>297</v>
      </c>
      <c r="G45" s="25">
        <v>1</v>
      </c>
      <c r="H45" s="15">
        <v>20250902</v>
      </c>
    </row>
    <row r="46" spans="1:8">
      <c r="A46" s="220">
        <v>964.695</v>
      </c>
      <c r="B46" s="137">
        <v>64</v>
      </c>
      <c r="C46" s="124" t="s">
        <v>129</v>
      </c>
      <c r="D46" s="126" t="s">
        <v>235</v>
      </c>
      <c r="E46" s="131" t="s">
        <v>248</v>
      </c>
      <c r="F46" s="221" t="s">
        <v>298</v>
      </c>
      <c r="G46" s="131">
        <v>1</v>
      </c>
      <c r="H46" s="15">
        <v>20250902</v>
      </c>
    </row>
    <row r="47" ht="30" customHeight="1" spans="1:8">
      <c r="A47" s="220">
        <v>964.7124</v>
      </c>
      <c r="B47" s="137">
        <v>66</v>
      </c>
      <c r="C47" s="175" t="s">
        <v>21</v>
      </c>
      <c r="D47" s="173" t="s">
        <v>40</v>
      </c>
      <c r="E47" s="173" t="s">
        <v>23</v>
      </c>
      <c r="F47" s="183" t="s">
        <v>299</v>
      </c>
      <c r="G47" s="131">
        <v>1</v>
      </c>
      <c r="H47" s="15">
        <v>20250902</v>
      </c>
    </row>
    <row r="48" spans="1:8">
      <c r="A48" s="220">
        <v>964.721</v>
      </c>
      <c r="B48" s="140">
        <v>68</v>
      </c>
      <c r="C48" s="124" t="s">
        <v>129</v>
      </c>
      <c r="D48" s="126" t="s">
        <v>287</v>
      </c>
      <c r="E48" s="125" t="s">
        <v>15</v>
      </c>
      <c r="F48" s="127" t="s">
        <v>300</v>
      </c>
      <c r="G48" s="131">
        <v>1</v>
      </c>
      <c r="H48" s="15">
        <v>20250902</v>
      </c>
    </row>
    <row r="49" spans="1:8">
      <c r="A49" s="220">
        <v>964.7255</v>
      </c>
      <c r="B49" s="12">
        <v>68</v>
      </c>
      <c r="C49" s="12" t="s">
        <v>129</v>
      </c>
      <c r="D49" s="19" t="s">
        <v>290</v>
      </c>
      <c r="E49" s="20" t="s">
        <v>33</v>
      </c>
      <c r="F49" s="21" t="s">
        <v>301</v>
      </c>
      <c r="G49" s="19">
        <v>0</v>
      </c>
      <c r="H49" s="15">
        <v>20250902</v>
      </c>
    </row>
    <row r="50" spans="1:8">
      <c r="A50" s="220">
        <v>964.7305</v>
      </c>
      <c r="B50" s="124">
        <v>68</v>
      </c>
      <c r="C50" s="124" t="s">
        <v>129</v>
      </c>
      <c r="D50" s="126" t="s">
        <v>290</v>
      </c>
      <c r="E50" s="125" t="s">
        <v>15</v>
      </c>
      <c r="F50" s="129" t="s">
        <v>302</v>
      </c>
      <c r="G50" s="126">
        <v>1</v>
      </c>
      <c r="H50" s="15">
        <v>20250902</v>
      </c>
    </row>
    <row r="51" spans="1:8">
      <c r="A51" s="217">
        <v>964.7484</v>
      </c>
      <c r="B51" s="12">
        <v>71</v>
      </c>
      <c r="C51" s="28" t="s">
        <v>17</v>
      </c>
      <c r="D51" s="20" t="s">
        <v>96</v>
      </c>
      <c r="E51" s="20" t="s">
        <v>292</v>
      </c>
      <c r="F51" s="21" t="s">
        <v>303</v>
      </c>
      <c r="G51" s="19">
        <v>1</v>
      </c>
      <c r="H51" s="15">
        <v>20250902</v>
      </c>
    </row>
    <row r="52" spans="1:8">
      <c r="A52" s="217">
        <v>964.7504</v>
      </c>
      <c r="B52" s="25">
        <v>71</v>
      </c>
      <c r="C52" s="29" t="s">
        <v>268</v>
      </c>
      <c r="D52" s="25" t="s">
        <v>269</v>
      </c>
      <c r="E52" s="25" t="s">
        <v>270</v>
      </c>
      <c r="F52" s="67" t="s">
        <v>304</v>
      </c>
      <c r="G52" s="25">
        <v>1</v>
      </c>
      <c r="H52" s="15">
        <v>20250902</v>
      </c>
    </row>
    <row r="53" spans="1:8">
      <c r="A53" s="217">
        <v>964.756</v>
      </c>
      <c r="B53" s="12">
        <v>72</v>
      </c>
      <c r="C53" s="12" t="s">
        <v>129</v>
      </c>
      <c r="D53" s="19" t="s">
        <v>290</v>
      </c>
      <c r="E53" s="20" t="s">
        <v>33</v>
      </c>
      <c r="F53" s="21" t="s">
        <v>305</v>
      </c>
      <c r="G53" s="19">
        <v>0</v>
      </c>
      <c r="H53" s="15">
        <v>20250902</v>
      </c>
    </row>
    <row r="54" ht="15.75" spans="1:8">
      <c r="A54" s="217">
        <v>964.756</v>
      </c>
      <c r="B54" s="70">
        <v>72</v>
      </c>
      <c r="C54" s="29" t="s">
        <v>238</v>
      </c>
      <c r="D54" s="110" t="s">
        <v>264</v>
      </c>
      <c r="E54" s="25" t="s">
        <v>244</v>
      </c>
      <c r="F54" s="67" t="s">
        <v>306</v>
      </c>
      <c r="G54" s="25">
        <v>1</v>
      </c>
      <c r="H54" s="15">
        <v>20250902</v>
      </c>
    </row>
    <row r="55" spans="1:8">
      <c r="A55" s="217">
        <v>964.8285</v>
      </c>
      <c r="B55" s="25">
        <v>81</v>
      </c>
      <c r="C55" s="29" t="s">
        <v>268</v>
      </c>
      <c r="D55" s="25" t="s">
        <v>269</v>
      </c>
      <c r="E55" s="25" t="s">
        <v>270</v>
      </c>
      <c r="F55" s="67" t="s">
        <v>307</v>
      </c>
      <c r="G55" s="25">
        <v>1</v>
      </c>
      <c r="H55" s="15">
        <v>20250902</v>
      </c>
    </row>
    <row r="56" spans="1:8">
      <c r="A56" s="217">
        <v>964.8315</v>
      </c>
      <c r="B56" s="12">
        <v>82</v>
      </c>
      <c r="C56" s="12" t="s">
        <v>129</v>
      </c>
      <c r="D56" s="19" t="s">
        <v>228</v>
      </c>
      <c r="E56" s="20" t="s">
        <v>41</v>
      </c>
      <c r="F56" s="21" t="s">
        <v>308</v>
      </c>
      <c r="G56" s="19">
        <v>1</v>
      </c>
      <c r="H56" s="15">
        <v>20250902</v>
      </c>
    </row>
    <row r="57" spans="1:8">
      <c r="A57" s="220">
        <v>964.8315</v>
      </c>
      <c r="B57" s="124">
        <v>82</v>
      </c>
      <c r="C57" s="124" t="s">
        <v>129</v>
      </c>
      <c r="D57" s="126" t="s">
        <v>228</v>
      </c>
      <c r="E57" s="125" t="s">
        <v>33</v>
      </c>
      <c r="F57" s="127" t="s">
        <v>309</v>
      </c>
      <c r="G57" s="126">
        <v>0</v>
      </c>
      <c r="H57" s="15">
        <v>20250902</v>
      </c>
    </row>
    <row r="58" spans="1:8">
      <c r="A58" s="112">
        <v>964.84</v>
      </c>
      <c r="B58" s="137">
        <v>83</v>
      </c>
      <c r="C58" s="124" t="s">
        <v>129</v>
      </c>
      <c r="D58" s="126" t="s">
        <v>290</v>
      </c>
      <c r="E58" s="125" t="s">
        <v>33</v>
      </c>
      <c r="F58" s="127" t="s">
        <v>310</v>
      </c>
      <c r="G58" s="131">
        <v>0</v>
      </c>
      <c r="H58" s="15">
        <v>20250902</v>
      </c>
    </row>
    <row r="59" spans="1:8">
      <c r="A59" s="217">
        <v>964.8389</v>
      </c>
      <c r="B59" s="12">
        <v>83</v>
      </c>
      <c r="C59" s="12" t="s">
        <v>129</v>
      </c>
      <c r="D59" s="19" t="s">
        <v>228</v>
      </c>
      <c r="E59" s="20" t="s">
        <v>33</v>
      </c>
      <c r="F59" s="21" t="s">
        <v>311</v>
      </c>
      <c r="G59" s="19">
        <v>0</v>
      </c>
      <c r="H59" s="15">
        <v>20250902</v>
      </c>
    </row>
    <row r="60" spans="1:8">
      <c r="A60" s="217">
        <v>964.8389</v>
      </c>
      <c r="B60" s="12">
        <v>83</v>
      </c>
      <c r="C60" s="12" t="s">
        <v>129</v>
      </c>
      <c r="D60" s="19" t="s">
        <v>228</v>
      </c>
      <c r="E60" s="20" t="s">
        <v>41</v>
      </c>
      <c r="F60" s="21" t="s">
        <v>312</v>
      </c>
      <c r="G60" s="19">
        <v>1</v>
      </c>
      <c r="H60" s="15">
        <v>20250902</v>
      </c>
    </row>
    <row r="61" ht="15.75" spans="1:8">
      <c r="A61" s="18">
        <v>964.8389</v>
      </c>
      <c r="B61" s="70">
        <v>83</v>
      </c>
      <c r="C61" s="29" t="s">
        <v>238</v>
      </c>
      <c r="D61" s="25" t="s">
        <v>242</v>
      </c>
      <c r="E61" s="25" t="s">
        <v>240</v>
      </c>
      <c r="F61" s="67" t="s">
        <v>313</v>
      </c>
      <c r="G61" s="25">
        <v>1</v>
      </c>
      <c r="H61" s="15">
        <v>20250902</v>
      </c>
    </row>
    <row r="62" spans="1:8">
      <c r="A62" s="18">
        <v>964.8465</v>
      </c>
      <c r="B62" s="12">
        <v>84</v>
      </c>
      <c r="C62" s="12" t="s">
        <v>129</v>
      </c>
      <c r="D62" s="19" t="s">
        <v>235</v>
      </c>
      <c r="E62" s="20" t="s">
        <v>314</v>
      </c>
      <c r="F62" s="21" t="s">
        <v>315</v>
      </c>
      <c r="G62" s="19">
        <v>1</v>
      </c>
      <c r="H62" s="15">
        <v>20250902</v>
      </c>
    </row>
    <row r="63" ht="15.75" spans="1:8">
      <c r="A63" s="18" t="s">
        <v>91</v>
      </c>
      <c r="B63" s="124">
        <v>85</v>
      </c>
      <c r="C63" s="124" t="s">
        <v>129</v>
      </c>
      <c r="D63" s="125" t="s">
        <v>9</v>
      </c>
      <c r="E63" s="131" t="s">
        <v>244</v>
      </c>
      <c r="F63" s="221" t="s">
        <v>316</v>
      </c>
      <c r="G63" s="126">
        <v>1</v>
      </c>
      <c r="H63" s="15">
        <v>20250902</v>
      </c>
    </row>
    <row r="64" spans="1:8">
      <c r="A64" s="18" t="s">
        <v>91</v>
      </c>
      <c r="B64" s="124" t="s">
        <v>91</v>
      </c>
      <c r="C64" s="130" t="s">
        <v>219</v>
      </c>
      <c r="D64" s="126" t="s">
        <v>91</v>
      </c>
      <c r="E64" s="125" t="s">
        <v>91</v>
      </c>
      <c r="F64" s="127" t="s">
        <v>93</v>
      </c>
      <c r="G64" s="126">
        <v>0</v>
      </c>
      <c r="H64" s="15">
        <v>20250902</v>
      </c>
    </row>
    <row r="65" ht="27" spans="1:8">
      <c r="A65" s="18">
        <v>964.22</v>
      </c>
      <c r="B65" s="15" t="s">
        <v>94</v>
      </c>
      <c r="C65" s="22" t="s">
        <v>170</v>
      </c>
      <c r="D65" s="22" t="s">
        <v>170</v>
      </c>
      <c r="E65" s="22" t="s">
        <v>172</v>
      </c>
      <c r="F65" s="31" t="s">
        <v>222</v>
      </c>
      <c r="G65" s="22">
        <v>1</v>
      </c>
      <c r="H65" s="15">
        <v>20250902</v>
      </c>
    </row>
    <row r="66" ht="27" spans="1:8">
      <c r="A66" s="18">
        <v>964.298</v>
      </c>
      <c r="B66" s="15" t="s">
        <v>99</v>
      </c>
      <c r="C66" s="22" t="s">
        <v>170</v>
      </c>
      <c r="D66" s="22" t="s">
        <v>170</v>
      </c>
      <c r="E66" s="22" t="s">
        <v>172</v>
      </c>
      <c r="F66" s="31" t="s">
        <v>222</v>
      </c>
      <c r="G66" s="22">
        <v>1</v>
      </c>
      <c r="H66" s="15">
        <v>20250902</v>
      </c>
    </row>
    <row r="67" ht="27" spans="1:8">
      <c r="A67" s="18">
        <v>964.374</v>
      </c>
      <c r="B67" s="15" t="s">
        <v>100</v>
      </c>
      <c r="C67" s="22" t="s">
        <v>170</v>
      </c>
      <c r="D67" s="22" t="s">
        <v>170</v>
      </c>
      <c r="E67" s="22" t="s">
        <v>172</v>
      </c>
      <c r="F67" s="31" t="s">
        <v>222</v>
      </c>
      <c r="G67" s="22">
        <v>1</v>
      </c>
      <c r="H67" s="15">
        <v>20250902</v>
      </c>
    </row>
    <row r="68" ht="27" spans="1:8">
      <c r="A68" s="18">
        <v>964.448</v>
      </c>
      <c r="B68" s="15" t="s">
        <v>101</v>
      </c>
      <c r="C68" s="22" t="s">
        <v>170</v>
      </c>
      <c r="D68" s="22" t="s">
        <v>170</v>
      </c>
      <c r="E68" s="22" t="s">
        <v>172</v>
      </c>
      <c r="F68" s="31" t="s">
        <v>222</v>
      </c>
      <c r="G68" s="22">
        <v>1</v>
      </c>
      <c r="H68" s="15">
        <v>20250902</v>
      </c>
    </row>
    <row r="69" ht="27" spans="1:8">
      <c r="A69" s="18">
        <v>964.524</v>
      </c>
      <c r="B69" s="15" t="s">
        <v>102</v>
      </c>
      <c r="C69" s="22" t="s">
        <v>170</v>
      </c>
      <c r="D69" s="22" t="s">
        <v>170</v>
      </c>
      <c r="E69" s="22" t="s">
        <v>172</v>
      </c>
      <c r="F69" s="31" t="s">
        <v>222</v>
      </c>
      <c r="G69" s="22">
        <v>1</v>
      </c>
      <c r="H69" s="15">
        <v>20250902</v>
      </c>
    </row>
    <row r="70" ht="27" spans="1:8">
      <c r="A70" s="18">
        <v>964.596</v>
      </c>
      <c r="B70" s="15" t="s">
        <v>103</v>
      </c>
      <c r="C70" s="22" t="s">
        <v>170</v>
      </c>
      <c r="D70" s="22" t="s">
        <v>170</v>
      </c>
      <c r="E70" s="22" t="s">
        <v>172</v>
      </c>
      <c r="F70" s="31" t="s">
        <v>222</v>
      </c>
      <c r="G70" s="22">
        <v>1</v>
      </c>
      <c r="H70" s="15">
        <v>20250902</v>
      </c>
    </row>
    <row r="71" ht="27" spans="1:8">
      <c r="A71" s="18">
        <v>964.672</v>
      </c>
      <c r="B71" s="15" t="s">
        <v>223</v>
      </c>
      <c r="C71" s="22" t="s">
        <v>170</v>
      </c>
      <c r="D71" s="22" t="s">
        <v>170</v>
      </c>
      <c r="E71" s="22" t="s">
        <v>172</v>
      </c>
      <c r="F71" s="31" t="s">
        <v>222</v>
      </c>
      <c r="G71" s="22">
        <v>1</v>
      </c>
      <c r="H71" s="15">
        <v>20250902</v>
      </c>
    </row>
    <row r="72" ht="27" spans="1:8">
      <c r="A72" s="18">
        <v>964.748</v>
      </c>
      <c r="B72" s="15" t="s">
        <v>317</v>
      </c>
      <c r="C72" s="22" t="s">
        <v>170</v>
      </c>
      <c r="D72" s="22" t="s">
        <v>170</v>
      </c>
      <c r="E72" s="22" t="s">
        <v>172</v>
      </c>
      <c r="F72" s="31" t="s">
        <v>222</v>
      </c>
      <c r="G72" s="22">
        <v>1</v>
      </c>
      <c r="H72" s="15">
        <v>20250902</v>
      </c>
    </row>
  </sheetData>
  <autoFilter xmlns:etc="http://www.wps.cn/officeDocument/2017/etCustomData" ref="A1:H72" etc:filterBottomFollowUsedRange="0">
    <extLst/>
  </autoFilter>
  <sortState ref="A2:H89">
    <sortCondition ref="B2:B89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125"/>
  <sheetViews>
    <sheetView topLeftCell="A95" workbookViewId="0">
      <selection activeCell="E103" sqref="E103:F103"/>
    </sheetView>
  </sheetViews>
  <sheetFormatPr defaultColWidth="9" defaultRowHeight="15" outlineLevelCol="7"/>
  <cols>
    <col min="1" max="1" width="9" style="15"/>
    <col min="2" max="2" width="9" style="12"/>
    <col min="3" max="3" width="9.00833333333333" style="12" customWidth="1"/>
    <col min="4" max="5" width="9" style="12"/>
    <col min="6" max="6" width="72.625" style="12" customWidth="1"/>
    <col min="7" max="7" width="9" style="12"/>
    <col min="8" max="8" width="9.5" style="12" customWidth="1"/>
    <col min="9" max="16384" width="9" style="16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ht="15.75" spans="1:8">
      <c r="A2" s="18">
        <v>964.839</v>
      </c>
      <c r="B2" s="22">
        <v>0</v>
      </c>
      <c r="C2" s="12" t="s">
        <v>224</v>
      </c>
      <c r="D2" s="12" t="s">
        <v>318</v>
      </c>
      <c r="E2" s="12" t="s">
        <v>319</v>
      </c>
      <c r="F2" s="204" t="s">
        <v>320</v>
      </c>
      <c r="G2" s="12">
        <v>0</v>
      </c>
      <c r="H2" s="15">
        <v>20250902</v>
      </c>
    </row>
    <row r="3" ht="15.75" spans="1:8">
      <c r="A3" s="18">
        <v>964.839</v>
      </c>
      <c r="B3" s="110">
        <v>0</v>
      </c>
      <c r="C3" s="25" t="s">
        <v>321</v>
      </c>
      <c r="D3" s="25" t="s">
        <v>322</v>
      </c>
      <c r="E3" s="25" t="s">
        <v>323</v>
      </c>
      <c r="F3" s="161" t="s">
        <v>324</v>
      </c>
      <c r="G3" s="25">
        <v>1</v>
      </c>
      <c r="H3" s="15">
        <v>20250902</v>
      </c>
    </row>
    <row r="4" spans="1:8">
      <c r="A4" s="18">
        <v>964.836</v>
      </c>
      <c r="B4" s="12">
        <v>1</v>
      </c>
      <c r="C4" s="12" t="s">
        <v>129</v>
      </c>
      <c r="D4" s="27" t="s">
        <v>179</v>
      </c>
      <c r="E4" s="27" t="s">
        <v>207</v>
      </c>
      <c r="F4" s="205" t="s">
        <v>325</v>
      </c>
      <c r="G4" s="27">
        <v>1</v>
      </c>
      <c r="H4" s="15">
        <v>20250902</v>
      </c>
    </row>
    <row r="5" ht="15.75" spans="1:8">
      <c r="A5" s="18">
        <v>964.839</v>
      </c>
      <c r="B5" s="12">
        <v>1</v>
      </c>
      <c r="C5" s="12" t="s">
        <v>129</v>
      </c>
      <c r="D5" s="27" t="s">
        <v>151</v>
      </c>
      <c r="E5" s="27" t="s">
        <v>139</v>
      </c>
      <c r="F5" s="205" t="s">
        <v>326</v>
      </c>
      <c r="G5" s="27">
        <v>0</v>
      </c>
      <c r="H5" s="15">
        <v>20250902</v>
      </c>
    </row>
    <row r="6" ht="15.75" spans="1:8">
      <c r="A6" s="18">
        <v>964.837</v>
      </c>
      <c r="B6" s="25">
        <v>1</v>
      </c>
      <c r="C6" s="25" t="s">
        <v>238</v>
      </c>
      <c r="D6" s="25" t="s">
        <v>264</v>
      </c>
      <c r="E6" s="25" t="s">
        <v>244</v>
      </c>
      <c r="F6" s="161" t="s">
        <v>327</v>
      </c>
      <c r="G6" s="25">
        <v>1</v>
      </c>
      <c r="H6" s="15">
        <v>20250902</v>
      </c>
    </row>
    <row r="7" spans="1:8">
      <c r="A7" s="18">
        <v>964.837</v>
      </c>
      <c r="B7" s="111">
        <v>1</v>
      </c>
      <c r="C7" s="25" t="s">
        <v>247</v>
      </c>
      <c r="D7" s="25" t="s">
        <v>242</v>
      </c>
      <c r="E7" s="25" t="s">
        <v>250</v>
      </c>
      <c r="F7" s="161" t="s">
        <v>328</v>
      </c>
      <c r="G7" s="25">
        <v>1</v>
      </c>
      <c r="H7" s="15">
        <v>20250902</v>
      </c>
    </row>
    <row r="8" spans="1:8">
      <c r="A8" s="18">
        <v>964.835</v>
      </c>
      <c r="B8" s="111">
        <v>1</v>
      </c>
      <c r="C8" s="25" t="s">
        <v>247</v>
      </c>
      <c r="D8" s="25" t="s">
        <v>242</v>
      </c>
      <c r="E8" s="25" t="s">
        <v>248</v>
      </c>
      <c r="F8" s="161" t="s">
        <v>329</v>
      </c>
      <c r="G8" s="25">
        <v>1</v>
      </c>
      <c r="H8" s="15">
        <v>20250902</v>
      </c>
    </row>
    <row r="9" spans="1:8">
      <c r="A9" s="112">
        <v>964.833</v>
      </c>
      <c r="B9" s="124">
        <v>1</v>
      </c>
      <c r="C9" s="124" t="s">
        <v>129</v>
      </c>
      <c r="D9" s="181" t="s">
        <v>179</v>
      </c>
      <c r="E9" s="131" t="s">
        <v>248</v>
      </c>
      <c r="F9" s="190" t="s">
        <v>330</v>
      </c>
      <c r="G9" s="181">
        <v>1</v>
      </c>
      <c r="H9" s="15">
        <v>20250902</v>
      </c>
    </row>
    <row r="10" spans="1:8">
      <c r="A10" s="18">
        <v>964.8275</v>
      </c>
      <c r="B10" s="12">
        <v>2</v>
      </c>
      <c r="C10" s="12" t="s">
        <v>129</v>
      </c>
      <c r="D10" s="27" t="s">
        <v>135</v>
      </c>
      <c r="E10" s="27" t="s">
        <v>158</v>
      </c>
      <c r="F10" s="205" t="s">
        <v>331</v>
      </c>
      <c r="G10" s="27">
        <v>0</v>
      </c>
      <c r="H10" s="15">
        <v>20250902</v>
      </c>
    </row>
    <row r="11" spans="1:8">
      <c r="A11" s="18">
        <v>964.8213</v>
      </c>
      <c r="B11" s="12">
        <v>3</v>
      </c>
      <c r="C11" s="12" t="s">
        <v>129</v>
      </c>
      <c r="D11" s="27" t="s">
        <v>135</v>
      </c>
      <c r="E11" s="27" t="s">
        <v>158</v>
      </c>
      <c r="F11" s="205" t="s">
        <v>332</v>
      </c>
      <c r="G11" s="27">
        <v>0</v>
      </c>
      <c r="H11" s="15">
        <v>20250902</v>
      </c>
    </row>
    <row r="12" ht="15.75" spans="1:8">
      <c r="A12" s="18">
        <v>964.8171</v>
      </c>
      <c r="B12" s="12">
        <v>4</v>
      </c>
      <c r="C12" s="12" t="s">
        <v>129</v>
      </c>
      <c r="D12" s="27" t="s">
        <v>151</v>
      </c>
      <c r="E12" s="27" t="s">
        <v>139</v>
      </c>
      <c r="F12" s="205" t="s">
        <v>333</v>
      </c>
      <c r="G12" s="27">
        <v>0</v>
      </c>
      <c r="H12" s="15">
        <v>20250902</v>
      </c>
    </row>
    <row r="13" spans="1:8">
      <c r="A13" s="18">
        <v>964.804</v>
      </c>
      <c r="B13" s="12">
        <v>6</v>
      </c>
      <c r="C13" s="12" t="s">
        <v>129</v>
      </c>
      <c r="D13" s="27" t="s">
        <v>151</v>
      </c>
      <c r="E13" s="27" t="s">
        <v>131</v>
      </c>
      <c r="F13" s="205" t="s">
        <v>334</v>
      </c>
      <c r="G13" s="27">
        <v>1</v>
      </c>
      <c r="H13" s="15">
        <v>20250902</v>
      </c>
    </row>
    <row r="14" spans="1:8">
      <c r="A14" s="18">
        <v>964.7963</v>
      </c>
      <c r="B14" s="12">
        <v>7</v>
      </c>
      <c r="C14" s="12" t="s">
        <v>129</v>
      </c>
      <c r="D14" s="27" t="s">
        <v>151</v>
      </c>
      <c r="E14" s="27" t="s">
        <v>131</v>
      </c>
      <c r="F14" s="205" t="s">
        <v>335</v>
      </c>
      <c r="G14" s="27">
        <v>1</v>
      </c>
      <c r="H14" s="15">
        <v>20250902</v>
      </c>
    </row>
    <row r="15" spans="1:8">
      <c r="A15" s="18">
        <v>964.7893</v>
      </c>
      <c r="B15" s="22">
        <v>7</v>
      </c>
      <c r="C15" s="22" t="s">
        <v>125</v>
      </c>
      <c r="D15" s="22" t="s">
        <v>126</v>
      </c>
      <c r="E15" s="22" t="s">
        <v>127</v>
      </c>
      <c r="F15" s="31" t="s">
        <v>336</v>
      </c>
      <c r="G15" s="22">
        <v>1</v>
      </c>
      <c r="H15" s="15">
        <v>20250902</v>
      </c>
    </row>
    <row r="16" spans="1:8">
      <c r="A16" s="18">
        <v>964.7854</v>
      </c>
      <c r="B16" s="12">
        <v>8</v>
      </c>
      <c r="C16" s="12" t="s">
        <v>129</v>
      </c>
      <c r="D16" s="27" t="s">
        <v>151</v>
      </c>
      <c r="E16" s="27" t="s">
        <v>158</v>
      </c>
      <c r="F16" s="205" t="s">
        <v>337</v>
      </c>
      <c r="G16" s="27">
        <v>0</v>
      </c>
      <c r="H16" s="15">
        <v>20250902</v>
      </c>
    </row>
    <row r="17" spans="1:8">
      <c r="A17" s="18">
        <v>964.7729</v>
      </c>
      <c r="B17" s="12">
        <v>10</v>
      </c>
      <c r="C17" s="12" t="s">
        <v>129</v>
      </c>
      <c r="D17" s="27" t="s">
        <v>151</v>
      </c>
      <c r="E17" s="27" t="s">
        <v>131</v>
      </c>
      <c r="F17" s="205" t="s">
        <v>338</v>
      </c>
      <c r="G17" s="27">
        <v>0</v>
      </c>
      <c r="H17" s="15">
        <v>20250902</v>
      </c>
    </row>
    <row r="18" spans="1:8">
      <c r="A18" s="18">
        <v>964.7689</v>
      </c>
      <c r="B18" s="12">
        <v>10</v>
      </c>
      <c r="C18" s="12" t="s">
        <v>129</v>
      </c>
      <c r="D18" s="27" t="s">
        <v>130</v>
      </c>
      <c r="E18" s="27" t="s">
        <v>131</v>
      </c>
      <c r="F18" s="205" t="s">
        <v>339</v>
      </c>
      <c r="G18" s="27">
        <v>0</v>
      </c>
      <c r="H18" s="15">
        <v>20250902</v>
      </c>
    </row>
    <row r="19" spans="1:8">
      <c r="A19" s="18">
        <v>964.7646</v>
      </c>
      <c r="B19" s="124">
        <v>11</v>
      </c>
      <c r="C19" s="124" t="s">
        <v>340</v>
      </c>
      <c r="D19" s="181" t="s">
        <v>341</v>
      </c>
      <c r="E19" s="181" t="s">
        <v>342</v>
      </c>
      <c r="F19" s="206" t="s">
        <v>343</v>
      </c>
      <c r="G19" s="181">
        <v>1</v>
      </c>
      <c r="H19" s="15">
        <v>20250902</v>
      </c>
    </row>
    <row r="20" spans="1:8">
      <c r="A20" s="18">
        <v>964.7651</v>
      </c>
      <c r="B20" s="12">
        <v>11</v>
      </c>
      <c r="C20" s="12" t="s">
        <v>129</v>
      </c>
      <c r="D20" s="27" t="s">
        <v>151</v>
      </c>
      <c r="E20" s="27" t="s">
        <v>131</v>
      </c>
      <c r="F20" s="205" t="s">
        <v>344</v>
      </c>
      <c r="G20" s="27">
        <v>1</v>
      </c>
      <c r="H20" s="15">
        <v>20250902</v>
      </c>
    </row>
    <row r="21" spans="1:8">
      <c r="A21" s="112">
        <v>964.752</v>
      </c>
      <c r="B21" s="124">
        <v>12</v>
      </c>
      <c r="C21" s="124" t="s">
        <v>129</v>
      </c>
      <c r="D21" s="181" t="s">
        <v>151</v>
      </c>
      <c r="E21" s="181" t="s">
        <v>158</v>
      </c>
      <c r="F21" s="190" t="s">
        <v>345</v>
      </c>
      <c r="G21" s="181">
        <v>0</v>
      </c>
      <c r="H21" s="15">
        <v>20250902</v>
      </c>
    </row>
    <row r="22" ht="15.75" spans="1:8">
      <c r="A22" s="18">
        <v>964.7497</v>
      </c>
      <c r="B22" s="12">
        <v>13</v>
      </c>
      <c r="C22" s="12" t="s">
        <v>129</v>
      </c>
      <c r="D22" s="27" t="s">
        <v>179</v>
      </c>
      <c r="E22" s="27" t="s">
        <v>136</v>
      </c>
      <c r="F22" s="205" t="s">
        <v>346</v>
      </c>
      <c r="G22" s="27">
        <v>1</v>
      </c>
      <c r="H22" s="15">
        <v>20250902</v>
      </c>
    </row>
    <row r="23" spans="1:8">
      <c r="A23" s="18">
        <v>964.7499</v>
      </c>
      <c r="B23" s="12">
        <v>13</v>
      </c>
      <c r="C23" s="12" t="s">
        <v>129</v>
      </c>
      <c r="D23" s="27" t="s">
        <v>130</v>
      </c>
      <c r="E23" s="27" t="s">
        <v>158</v>
      </c>
      <c r="F23" s="205" t="s">
        <v>347</v>
      </c>
      <c r="G23" s="27">
        <v>1</v>
      </c>
      <c r="H23" s="15">
        <v>20250902</v>
      </c>
    </row>
    <row r="24" spans="1:8">
      <c r="A24" s="18">
        <v>964.7497</v>
      </c>
      <c r="B24" s="12">
        <v>13</v>
      </c>
      <c r="C24" s="12" t="s">
        <v>129</v>
      </c>
      <c r="D24" s="27" t="s">
        <v>151</v>
      </c>
      <c r="E24" s="27" t="s">
        <v>131</v>
      </c>
      <c r="F24" s="205" t="s">
        <v>348</v>
      </c>
      <c r="G24" s="27">
        <v>1</v>
      </c>
      <c r="H24" s="15">
        <v>20250902</v>
      </c>
    </row>
    <row r="25" spans="1:8">
      <c r="A25" s="18">
        <v>964.7346</v>
      </c>
      <c r="B25" s="12">
        <v>15</v>
      </c>
      <c r="C25" s="12" t="s">
        <v>129</v>
      </c>
      <c r="D25" s="27" t="s">
        <v>151</v>
      </c>
      <c r="E25" s="27" t="s">
        <v>158</v>
      </c>
      <c r="F25" s="205" t="s">
        <v>349</v>
      </c>
      <c r="G25" s="27">
        <v>1</v>
      </c>
      <c r="H25" s="15">
        <v>20250902</v>
      </c>
    </row>
    <row r="26" spans="1:8">
      <c r="A26" s="18">
        <v>964.7268</v>
      </c>
      <c r="B26" s="12">
        <v>16</v>
      </c>
      <c r="C26" s="12" t="s">
        <v>129</v>
      </c>
      <c r="D26" s="27" t="s">
        <v>151</v>
      </c>
      <c r="E26" s="27" t="s">
        <v>131</v>
      </c>
      <c r="F26" s="205" t="s">
        <v>350</v>
      </c>
      <c r="G26" s="27">
        <v>1</v>
      </c>
      <c r="H26" s="15">
        <v>20250902</v>
      </c>
    </row>
    <row r="27" ht="15.75" spans="1:8">
      <c r="A27" s="18">
        <v>964.7268</v>
      </c>
      <c r="B27" s="12">
        <v>16</v>
      </c>
      <c r="C27" s="12" t="s">
        <v>129</v>
      </c>
      <c r="D27" s="27" t="s">
        <v>179</v>
      </c>
      <c r="E27" s="27" t="s">
        <v>136</v>
      </c>
      <c r="F27" s="205" t="s">
        <v>346</v>
      </c>
      <c r="G27" s="27">
        <v>1</v>
      </c>
      <c r="H27" s="15">
        <v>20250902</v>
      </c>
    </row>
    <row r="28" spans="1:8">
      <c r="A28" s="18">
        <v>964.7111</v>
      </c>
      <c r="B28" s="12">
        <v>18</v>
      </c>
      <c r="C28" s="12" t="s">
        <v>129</v>
      </c>
      <c r="D28" s="27" t="s">
        <v>151</v>
      </c>
      <c r="E28" s="27" t="s">
        <v>207</v>
      </c>
      <c r="F28" s="205" t="s">
        <v>351</v>
      </c>
      <c r="G28" s="27">
        <v>1</v>
      </c>
      <c r="H28" s="15">
        <v>20250902</v>
      </c>
    </row>
    <row r="29" spans="1:8">
      <c r="A29" s="18">
        <v>964.7071</v>
      </c>
      <c r="B29" s="12">
        <v>18</v>
      </c>
      <c r="C29" s="12" t="s">
        <v>129</v>
      </c>
      <c r="D29" s="27" t="s">
        <v>151</v>
      </c>
      <c r="E29" s="27" t="s">
        <v>207</v>
      </c>
      <c r="F29" s="205" t="s">
        <v>352</v>
      </c>
      <c r="G29" s="27">
        <v>0</v>
      </c>
      <c r="H29" s="15">
        <v>20250902</v>
      </c>
    </row>
    <row r="30" spans="1:8">
      <c r="A30" s="112">
        <v>964.6904</v>
      </c>
      <c r="B30" s="175">
        <v>20</v>
      </c>
      <c r="C30" s="124" t="s">
        <v>129</v>
      </c>
      <c r="D30" s="181" t="s">
        <v>353</v>
      </c>
      <c r="E30" s="181" t="s">
        <v>158</v>
      </c>
      <c r="F30" s="190" t="s">
        <v>354</v>
      </c>
      <c r="G30" s="181">
        <v>1</v>
      </c>
      <c r="H30" s="15">
        <v>20250902</v>
      </c>
    </row>
    <row r="31" spans="1:8">
      <c r="A31" s="18">
        <v>964.6914</v>
      </c>
      <c r="B31" s="12">
        <v>20</v>
      </c>
      <c r="C31" s="12" t="s">
        <v>129</v>
      </c>
      <c r="D31" s="12" t="s">
        <v>130</v>
      </c>
      <c r="E31" s="27" t="s">
        <v>158</v>
      </c>
      <c r="F31" s="207" t="s">
        <v>355</v>
      </c>
      <c r="G31" s="27">
        <v>1</v>
      </c>
      <c r="H31" s="15">
        <v>20250902</v>
      </c>
    </row>
    <row r="32" spans="1:8">
      <c r="A32" s="18">
        <v>964.6954</v>
      </c>
      <c r="B32" s="12">
        <v>20</v>
      </c>
      <c r="C32" s="12" t="s">
        <v>129</v>
      </c>
      <c r="D32" s="27" t="s">
        <v>151</v>
      </c>
      <c r="E32" s="27" t="s">
        <v>131</v>
      </c>
      <c r="F32" s="205" t="s">
        <v>356</v>
      </c>
      <c r="G32" s="27">
        <v>0</v>
      </c>
      <c r="H32" s="15">
        <v>20250902</v>
      </c>
    </row>
    <row r="33" spans="1:8">
      <c r="A33" s="18">
        <v>964.6814</v>
      </c>
      <c r="B33" s="12">
        <v>22</v>
      </c>
      <c r="C33" s="12" t="s">
        <v>129</v>
      </c>
      <c r="D33" s="12" t="s">
        <v>135</v>
      </c>
      <c r="E33" s="27" t="s">
        <v>207</v>
      </c>
      <c r="F33" s="205" t="s">
        <v>357</v>
      </c>
      <c r="G33" s="27">
        <v>0</v>
      </c>
      <c r="H33" s="15">
        <v>20250902</v>
      </c>
    </row>
    <row r="34" spans="1:8">
      <c r="A34" s="112">
        <v>964.67</v>
      </c>
      <c r="B34" s="124">
        <v>23</v>
      </c>
      <c r="C34" s="124" t="s">
        <v>129</v>
      </c>
      <c r="D34" s="181" t="s">
        <v>130</v>
      </c>
      <c r="E34" s="181" t="s">
        <v>158</v>
      </c>
      <c r="F34" s="190" t="s">
        <v>358</v>
      </c>
      <c r="G34" s="181">
        <v>0</v>
      </c>
      <c r="H34" s="15">
        <v>20250902</v>
      </c>
    </row>
    <row r="35" spans="1:8">
      <c r="A35" s="18">
        <v>964.6737</v>
      </c>
      <c r="B35" s="12">
        <v>23</v>
      </c>
      <c r="C35" s="12" t="s">
        <v>129</v>
      </c>
      <c r="D35" s="27" t="s">
        <v>151</v>
      </c>
      <c r="E35" s="27" t="s">
        <v>131</v>
      </c>
      <c r="F35" s="205" t="s">
        <v>359</v>
      </c>
      <c r="G35" s="27">
        <v>0</v>
      </c>
      <c r="H35" s="15">
        <v>20250902</v>
      </c>
    </row>
    <row r="36" ht="18" customHeight="1" spans="1:8">
      <c r="A36" s="18">
        <v>964.6658</v>
      </c>
      <c r="B36" s="124">
        <v>24</v>
      </c>
      <c r="C36" s="124" t="s">
        <v>340</v>
      </c>
      <c r="D36" s="181" t="s">
        <v>360</v>
      </c>
      <c r="E36" s="181" t="s">
        <v>342</v>
      </c>
      <c r="F36" s="206" t="s">
        <v>361</v>
      </c>
      <c r="G36" s="181">
        <v>1</v>
      </c>
      <c r="H36" s="15">
        <v>20250902</v>
      </c>
    </row>
    <row r="37" spans="1:8">
      <c r="A37" s="18">
        <v>964.6658</v>
      </c>
      <c r="B37" s="12">
        <v>24</v>
      </c>
      <c r="C37" s="12" t="s">
        <v>129</v>
      </c>
      <c r="D37" s="27" t="s">
        <v>151</v>
      </c>
      <c r="E37" s="27" t="s">
        <v>131</v>
      </c>
      <c r="F37" s="207" t="s">
        <v>362</v>
      </c>
      <c r="G37" s="189">
        <v>1</v>
      </c>
      <c r="H37" s="15">
        <v>20250902</v>
      </c>
    </row>
    <row r="38" spans="1:8">
      <c r="A38" s="18">
        <v>964.6628</v>
      </c>
      <c r="B38" s="12">
        <v>24</v>
      </c>
      <c r="C38" s="12" t="s">
        <v>129</v>
      </c>
      <c r="D38" s="27" t="s">
        <v>179</v>
      </c>
      <c r="E38" s="27" t="s">
        <v>158</v>
      </c>
      <c r="F38" s="205" t="s">
        <v>363</v>
      </c>
      <c r="G38" s="27">
        <v>1</v>
      </c>
      <c r="H38" s="15">
        <v>20250902</v>
      </c>
    </row>
    <row r="39" spans="1:8">
      <c r="A39" s="18">
        <v>964.6588</v>
      </c>
      <c r="B39" s="25">
        <v>24</v>
      </c>
      <c r="C39" s="25" t="s">
        <v>268</v>
      </c>
      <c r="D39" s="25" t="s">
        <v>364</v>
      </c>
      <c r="E39" s="25" t="s">
        <v>365</v>
      </c>
      <c r="F39" s="161" t="s">
        <v>366</v>
      </c>
      <c r="G39" s="25">
        <v>1</v>
      </c>
      <c r="H39" s="15">
        <v>20250902</v>
      </c>
    </row>
    <row r="40" spans="1:8">
      <c r="A40" s="18">
        <v>964.6532</v>
      </c>
      <c r="B40" s="12">
        <v>25</v>
      </c>
      <c r="C40" s="12" t="s">
        <v>129</v>
      </c>
      <c r="D40" s="27" t="s">
        <v>179</v>
      </c>
      <c r="E40" s="27" t="s">
        <v>158</v>
      </c>
      <c r="F40" s="205" t="s">
        <v>367</v>
      </c>
      <c r="G40" s="27">
        <v>1</v>
      </c>
      <c r="H40" s="15">
        <v>20250902</v>
      </c>
    </row>
    <row r="41" spans="1:8">
      <c r="A41" s="18">
        <v>964.6562</v>
      </c>
      <c r="B41" s="25">
        <v>25</v>
      </c>
      <c r="C41" s="25" t="s">
        <v>268</v>
      </c>
      <c r="D41" s="25" t="s">
        <v>364</v>
      </c>
      <c r="E41" s="25" t="s">
        <v>270</v>
      </c>
      <c r="F41" s="161" t="s">
        <v>368</v>
      </c>
      <c r="G41" s="25">
        <v>1</v>
      </c>
      <c r="H41" s="15">
        <v>20250902</v>
      </c>
    </row>
    <row r="42" spans="1:8">
      <c r="A42" s="18">
        <v>964.6504</v>
      </c>
      <c r="B42" s="12">
        <v>26</v>
      </c>
      <c r="C42" s="12" t="s">
        <v>129</v>
      </c>
      <c r="D42" s="27" t="s">
        <v>151</v>
      </c>
      <c r="E42" s="27" t="s">
        <v>131</v>
      </c>
      <c r="F42" s="205" t="s">
        <v>369</v>
      </c>
      <c r="G42" s="27">
        <v>0</v>
      </c>
      <c r="H42" s="15">
        <v>20250902</v>
      </c>
    </row>
    <row r="43" spans="1:8">
      <c r="A43" s="18">
        <v>964.638</v>
      </c>
      <c r="B43" s="12">
        <v>27</v>
      </c>
      <c r="C43" s="12" t="s">
        <v>129</v>
      </c>
      <c r="D43" s="27" t="s">
        <v>179</v>
      </c>
      <c r="E43" s="27" t="s">
        <v>131</v>
      </c>
      <c r="F43" s="208" t="s">
        <v>370</v>
      </c>
      <c r="G43" s="27">
        <v>1</v>
      </c>
      <c r="H43" s="15">
        <v>20250902</v>
      </c>
    </row>
    <row r="44" ht="27" spans="1:8">
      <c r="A44" s="18">
        <v>964.6355</v>
      </c>
      <c r="B44" s="15">
        <v>28</v>
      </c>
      <c r="C44" s="22" t="s">
        <v>170</v>
      </c>
      <c r="D44" s="22" t="s">
        <v>170</v>
      </c>
      <c r="E44" s="22" t="s">
        <v>172</v>
      </c>
      <c r="F44" s="31" t="s">
        <v>371</v>
      </c>
      <c r="G44" s="22">
        <v>2</v>
      </c>
      <c r="H44" s="15">
        <v>20250902</v>
      </c>
    </row>
    <row r="45" spans="1:8">
      <c r="A45" s="18">
        <v>964.632</v>
      </c>
      <c r="B45" s="111">
        <v>28</v>
      </c>
      <c r="C45" s="25" t="s">
        <v>247</v>
      </c>
      <c r="D45" s="25" t="s">
        <v>264</v>
      </c>
      <c r="E45" s="25" t="s">
        <v>372</v>
      </c>
      <c r="F45" s="161" t="s">
        <v>373</v>
      </c>
      <c r="G45" s="25">
        <v>1</v>
      </c>
      <c r="H45" s="15">
        <v>20250902</v>
      </c>
    </row>
    <row r="46" spans="1:8">
      <c r="A46" s="18">
        <v>964.6278</v>
      </c>
      <c r="B46" s="12">
        <v>29</v>
      </c>
      <c r="C46" s="12" t="s">
        <v>129</v>
      </c>
      <c r="D46" s="27" t="s">
        <v>151</v>
      </c>
      <c r="E46" s="27" t="s">
        <v>131</v>
      </c>
      <c r="F46" s="205" t="s">
        <v>334</v>
      </c>
      <c r="G46" s="27">
        <v>1</v>
      </c>
      <c r="H46" s="15">
        <v>20250902</v>
      </c>
    </row>
    <row r="47" spans="1:8">
      <c r="A47" s="18">
        <v>964.6202</v>
      </c>
      <c r="B47" s="12">
        <v>30</v>
      </c>
      <c r="C47" s="12" t="s">
        <v>129</v>
      </c>
      <c r="D47" s="27" t="s">
        <v>151</v>
      </c>
      <c r="E47" s="27" t="s">
        <v>131</v>
      </c>
      <c r="F47" s="205" t="s">
        <v>374</v>
      </c>
      <c r="G47" s="27">
        <v>0</v>
      </c>
      <c r="H47" s="15">
        <v>20250902</v>
      </c>
    </row>
    <row r="48" spans="1:8">
      <c r="A48" s="18">
        <v>964.6182</v>
      </c>
      <c r="B48" s="12">
        <v>30</v>
      </c>
      <c r="C48" s="12" t="s">
        <v>129</v>
      </c>
      <c r="D48" s="27" t="s">
        <v>179</v>
      </c>
      <c r="E48" s="27" t="s">
        <v>158</v>
      </c>
      <c r="F48" s="205" t="s">
        <v>375</v>
      </c>
      <c r="G48" s="27">
        <v>1</v>
      </c>
      <c r="H48" s="15">
        <v>20250902</v>
      </c>
    </row>
    <row r="49" ht="30" customHeight="1" spans="1:8">
      <c r="A49" s="18">
        <v>964.6106</v>
      </c>
      <c r="B49" s="124">
        <v>31</v>
      </c>
      <c r="C49" s="175" t="s">
        <v>21</v>
      </c>
      <c r="D49" s="181" t="s">
        <v>179</v>
      </c>
      <c r="E49" s="181" t="s">
        <v>376</v>
      </c>
      <c r="F49" s="190" t="s">
        <v>377</v>
      </c>
      <c r="G49" s="181">
        <v>1</v>
      </c>
      <c r="H49" s="15">
        <v>20250902</v>
      </c>
    </row>
    <row r="50" spans="1:8">
      <c r="A50" s="112">
        <v>964.612</v>
      </c>
      <c r="B50" s="124">
        <v>31</v>
      </c>
      <c r="C50" s="124" t="s">
        <v>129</v>
      </c>
      <c r="D50" s="181" t="s">
        <v>179</v>
      </c>
      <c r="E50" s="181" t="s">
        <v>158</v>
      </c>
      <c r="F50" s="190" t="s">
        <v>378</v>
      </c>
      <c r="G50" s="181">
        <v>1</v>
      </c>
      <c r="H50" s="15">
        <v>20250902</v>
      </c>
    </row>
    <row r="51" spans="1:8">
      <c r="A51" s="18">
        <v>964.6126</v>
      </c>
      <c r="B51" s="12">
        <v>31</v>
      </c>
      <c r="C51" s="12" t="s">
        <v>129</v>
      </c>
      <c r="D51" s="27" t="s">
        <v>130</v>
      </c>
      <c r="E51" s="27" t="s">
        <v>131</v>
      </c>
      <c r="F51" s="205" t="s">
        <v>379</v>
      </c>
      <c r="G51" s="27">
        <v>0</v>
      </c>
      <c r="H51" s="15">
        <v>20250902</v>
      </c>
    </row>
    <row r="52" spans="1:8">
      <c r="A52" s="18">
        <v>964.6127</v>
      </c>
      <c r="B52" s="12">
        <v>31</v>
      </c>
      <c r="C52" s="12" t="s">
        <v>129</v>
      </c>
      <c r="D52" s="27" t="s">
        <v>135</v>
      </c>
      <c r="E52" s="27" t="s">
        <v>158</v>
      </c>
      <c r="F52" s="205" t="s">
        <v>380</v>
      </c>
      <c r="G52" s="27">
        <v>1</v>
      </c>
      <c r="H52" s="15">
        <v>20250902</v>
      </c>
    </row>
    <row r="53" spans="1:8">
      <c r="A53" s="18">
        <v>964.608</v>
      </c>
      <c r="B53" s="175">
        <v>32</v>
      </c>
      <c r="C53" s="124" t="s">
        <v>129</v>
      </c>
      <c r="D53" s="181" t="s">
        <v>353</v>
      </c>
      <c r="E53" s="181" t="s">
        <v>158</v>
      </c>
      <c r="F53" s="190" t="s">
        <v>381</v>
      </c>
      <c r="G53" s="181">
        <v>1</v>
      </c>
      <c r="H53" s="15">
        <v>20250902</v>
      </c>
    </row>
    <row r="54" spans="1:8">
      <c r="A54" s="18">
        <v>964.605</v>
      </c>
      <c r="B54" s="12">
        <v>32</v>
      </c>
      <c r="C54" s="12" t="s">
        <v>129</v>
      </c>
      <c r="D54" s="27" t="s">
        <v>130</v>
      </c>
      <c r="E54" s="27" t="s">
        <v>131</v>
      </c>
      <c r="F54" s="205" t="s">
        <v>382</v>
      </c>
      <c r="G54" s="27">
        <v>1</v>
      </c>
      <c r="H54" s="15">
        <v>20250902</v>
      </c>
    </row>
    <row r="55" spans="1:8">
      <c r="A55" s="18">
        <v>964.5978</v>
      </c>
      <c r="B55" s="12">
        <v>33</v>
      </c>
      <c r="C55" s="12" t="s">
        <v>129</v>
      </c>
      <c r="D55" s="27" t="s">
        <v>130</v>
      </c>
      <c r="E55" s="27" t="s">
        <v>131</v>
      </c>
      <c r="F55" s="205" t="s">
        <v>383</v>
      </c>
      <c r="G55" s="27">
        <v>0</v>
      </c>
      <c r="H55" s="15">
        <v>20250902</v>
      </c>
    </row>
    <row r="56" spans="1:8">
      <c r="A56" s="18">
        <v>964.5845</v>
      </c>
      <c r="B56" s="12">
        <v>34</v>
      </c>
      <c r="C56" s="12" t="s">
        <v>129</v>
      </c>
      <c r="D56" s="27" t="s">
        <v>179</v>
      </c>
      <c r="E56" s="27" t="s">
        <v>158</v>
      </c>
      <c r="F56" s="205" t="s">
        <v>384</v>
      </c>
      <c r="G56" s="27">
        <v>1</v>
      </c>
      <c r="H56" s="15">
        <v>20250902</v>
      </c>
    </row>
    <row r="57" spans="1:8">
      <c r="A57" s="18">
        <v>964.59</v>
      </c>
      <c r="B57" s="12">
        <v>34</v>
      </c>
      <c r="C57" s="12" t="s">
        <v>129</v>
      </c>
      <c r="D57" s="27" t="s">
        <v>151</v>
      </c>
      <c r="E57" s="27" t="s">
        <v>131</v>
      </c>
      <c r="F57" s="205" t="s">
        <v>385</v>
      </c>
      <c r="G57" s="27">
        <v>0</v>
      </c>
      <c r="H57" s="15">
        <v>20250902</v>
      </c>
    </row>
    <row r="58" spans="1:8">
      <c r="A58" s="18">
        <v>964.5975</v>
      </c>
      <c r="B58" s="12">
        <v>34</v>
      </c>
      <c r="C58" s="12" t="s">
        <v>129</v>
      </c>
      <c r="D58" s="27" t="s">
        <v>130</v>
      </c>
      <c r="E58" s="27" t="s">
        <v>207</v>
      </c>
      <c r="F58" s="205" t="s">
        <v>386</v>
      </c>
      <c r="G58" s="27">
        <v>1</v>
      </c>
      <c r="H58" s="15">
        <v>20250902</v>
      </c>
    </row>
    <row r="59" spans="1:8">
      <c r="A59" s="112">
        <v>964.587</v>
      </c>
      <c r="B59" s="124">
        <v>34</v>
      </c>
      <c r="C59" s="124" t="s">
        <v>129</v>
      </c>
      <c r="D59" s="181" t="s">
        <v>179</v>
      </c>
      <c r="E59" s="181" t="s">
        <v>207</v>
      </c>
      <c r="F59" s="190" t="s">
        <v>387</v>
      </c>
      <c r="G59" s="181">
        <v>1</v>
      </c>
      <c r="H59" s="15">
        <v>20250902</v>
      </c>
    </row>
    <row r="60" spans="1:8">
      <c r="A60" s="112">
        <v>964.579</v>
      </c>
      <c r="B60" s="124">
        <v>35</v>
      </c>
      <c r="C60" s="124" t="s">
        <v>129</v>
      </c>
      <c r="D60" s="181" t="s">
        <v>179</v>
      </c>
      <c r="E60" s="181" t="s">
        <v>158</v>
      </c>
      <c r="F60" s="190" t="s">
        <v>388</v>
      </c>
      <c r="G60" s="181">
        <v>1</v>
      </c>
      <c r="H60" s="15">
        <v>20250902</v>
      </c>
    </row>
    <row r="61" ht="15.75" spans="1:8">
      <c r="A61" s="18">
        <v>964.5746</v>
      </c>
      <c r="B61" s="12">
        <v>36</v>
      </c>
      <c r="C61" s="12" t="s">
        <v>129</v>
      </c>
      <c r="D61" s="27" t="s">
        <v>179</v>
      </c>
      <c r="E61" s="27" t="s">
        <v>139</v>
      </c>
      <c r="F61" s="205" t="s">
        <v>389</v>
      </c>
      <c r="G61" s="27">
        <v>1</v>
      </c>
      <c r="H61" s="15">
        <v>20250902</v>
      </c>
    </row>
    <row r="62" customHeight="1" spans="1:8">
      <c r="A62" s="18">
        <v>964.5746</v>
      </c>
      <c r="B62" s="12">
        <v>36</v>
      </c>
      <c r="C62" s="12" t="s">
        <v>129</v>
      </c>
      <c r="D62" s="27" t="s">
        <v>151</v>
      </c>
      <c r="E62" s="27" t="s">
        <v>131</v>
      </c>
      <c r="F62" s="205" t="s">
        <v>390</v>
      </c>
      <c r="G62" s="27">
        <v>1</v>
      </c>
      <c r="H62" s="15">
        <v>20250902</v>
      </c>
    </row>
    <row r="63" ht="15.75" spans="1:8">
      <c r="A63" s="18">
        <v>964.567</v>
      </c>
      <c r="B63" s="25">
        <v>37</v>
      </c>
      <c r="C63" s="25" t="s">
        <v>238</v>
      </c>
      <c r="D63" s="25" t="s">
        <v>264</v>
      </c>
      <c r="E63" s="25" t="s">
        <v>244</v>
      </c>
      <c r="F63" s="168" t="s">
        <v>391</v>
      </c>
      <c r="G63" s="25">
        <v>1</v>
      </c>
      <c r="H63" s="15">
        <v>20250902</v>
      </c>
    </row>
    <row r="64" spans="1:8">
      <c r="A64" s="112">
        <v>964.554</v>
      </c>
      <c r="B64" s="177">
        <v>38</v>
      </c>
      <c r="C64" s="124" t="s">
        <v>129</v>
      </c>
      <c r="D64" s="181" t="s">
        <v>179</v>
      </c>
      <c r="E64" s="181" t="s">
        <v>158</v>
      </c>
      <c r="F64" s="190" t="s">
        <v>392</v>
      </c>
      <c r="G64" s="175">
        <v>1</v>
      </c>
      <c r="H64" s="15">
        <v>20250902</v>
      </c>
    </row>
    <row r="65" ht="30" customHeight="1" spans="1:8">
      <c r="A65" s="112">
        <v>964.541</v>
      </c>
      <c r="B65" s="177">
        <v>40</v>
      </c>
      <c r="C65" s="175" t="s">
        <v>21</v>
      </c>
      <c r="D65" s="181" t="s">
        <v>179</v>
      </c>
      <c r="E65" s="181" t="s">
        <v>376</v>
      </c>
      <c r="F65" s="192" t="s">
        <v>393</v>
      </c>
      <c r="G65" s="181">
        <v>1</v>
      </c>
      <c r="H65" s="15">
        <v>20250902</v>
      </c>
    </row>
    <row r="66" customHeight="1" spans="1:8">
      <c r="A66" s="18">
        <v>964.539</v>
      </c>
      <c r="B66" s="177">
        <v>40</v>
      </c>
      <c r="C66" s="209" t="s">
        <v>17</v>
      </c>
      <c r="D66" s="115" t="s">
        <v>177</v>
      </c>
      <c r="E66" s="115" t="s">
        <v>394</v>
      </c>
      <c r="F66" s="192" t="s">
        <v>395</v>
      </c>
      <c r="G66" s="181">
        <v>1</v>
      </c>
      <c r="H66" s="15">
        <v>20250902</v>
      </c>
    </row>
    <row r="67" spans="1:8">
      <c r="A67" s="18">
        <v>964.5441</v>
      </c>
      <c r="B67" s="12">
        <v>40</v>
      </c>
      <c r="C67" s="12" t="s">
        <v>129</v>
      </c>
      <c r="D67" s="27" t="s">
        <v>151</v>
      </c>
      <c r="E67" s="27" t="s">
        <v>131</v>
      </c>
      <c r="F67" s="205" t="s">
        <v>396</v>
      </c>
      <c r="G67" s="27">
        <v>1</v>
      </c>
      <c r="H67" s="15">
        <v>20250902</v>
      </c>
    </row>
    <row r="68" spans="1:8">
      <c r="A68" s="18">
        <v>964.5271</v>
      </c>
      <c r="B68" s="12">
        <v>42</v>
      </c>
      <c r="C68" s="12" t="s">
        <v>129</v>
      </c>
      <c r="D68" s="27" t="s">
        <v>151</v>
      </c>
      <c r="E68" s="27" t="s">
        <v>131</v>
      </c>
      <c r="F68" s="205" t="s">
        <v>397</v>
      </c>
      <c r="G68" s="27">
        <v>1</v>
      </c>
      <c r="H68" s="15">
        <v>20250902</v>
      </c>
    </row>
    <row r="69" spans="1:8">
      <c r="A69" s="18">
        <v>964.5214</v>
      </c>
      <c r="B69" s="12">
        <v>43</v>
      </c>
      <c r="C69" s="12" t="s">
        <v>129</v>
      </c>
      <c r="D69" s="27" t="s">
        <v>151</v>
      </c>
      <c r="E69" s="27" t="s">
        <v>131</v>
      </c>
      <c r="F69" s="205" t="s">
        <v>398</v>
      </c>
      <c r="G69" s="210">
        <v>1</v>
      </c>
      <c r="H69" s="15">
        <v>20250902</v>
      </c>
    </row>
    <row r="70" spans="1:8">
      <c r="A70" s="18">
        <v>964.5194</v>
      </c>
      <c r="B70" s="22">
        <v>43</v>
      </c>
      <c r="C70" s="22" t="s">
        <v>125</v>
      </c>
      <c r="D70" s="22" t="s">
        <v>126</v>
      </c>
      <c r="E70" s="22" t="s">
        <v>127</v>
      </c>
      <c r="F70" s="31" t="s">
        <v>399</v>
      </c>
      <c r="G70" s="22">
        <v>1</v>
      </c>
      <c r="H70" s="15">
        <v>20250902</v>
      </c>
    </row>
    <row r="71" ht="15.75" spans="1:8">
      <c r="A71" s="18">
        <v>964.5077</v>
      </c>
      <c r="B71" s="111">
        <v>44</v>
      </c>
      <c r="C71" s="25" t="s">
        <v>247</v>
      </c>
      <c r="D71" s="25" t="s">
        <v>242</v>
      </c>
      <c r="E71" s="27" t="s">
        <v>136</v>
      </c>
      <c r="F71" s="161" t="s">
        <v>400</v>
      </c>
      <c r="G71" s="25">
        <v>1</v>
      </c>
      <c r="H71" s="15">
        <v>20250902</v>
      </c>
    </row>
    <row r="72" ht="15.75" spans="1:8">
      <c r="A72" s="18">
        <v>964.5013</v>
      </c>
      <c r="B72" s="124">
        <v>46</v>
      </c>
      <c r="C72" s="124" t="s">
        <v>129</v>
      </c>
      <c r="D72" s="181" t="s">
        <v>401</v>
      </c>
      <c r="E72" s="181" t="s">
        <v>136</v>
      </c>
      <c r="F72" s="190" t="s">
        <v>402</v>
      </c>
      <c r="G72" s="181">
        <v>1</v>
      </c>
      <c r="H72" s="15">
        <v>20250902</v>
      </c>
    </row>
    <row r="73" ht="15.75" spans="1:8">
      <c r="A73" s="18">
        <v>964.4983</v>
      </c>
      <c r="B73" s="12">
        <v>46</v>
      </c>
      <c r="C73" s="12" t="s">
        <v>129</v>
      </c>
      <c r="D73" s="27" t="s">
        <v>401</v>
      </c>
      <c r="E73" s="27" t="s">
        <v>136</v>
      </c>
      <c r="F73" s="205" t="s">
        <v>403</v>
      </c>
      <c r="G73" s="27">
        <v>1</v>
      </c>
      <c r="H73" s="15">
        <v>20250902</v>
      </c>
    </row>
    <row r="74" spans="1:8">
      <c r="A74" s="112">
        <v>964.486</v>
      </c>
      <c r="B74" s="171">
        <v>47</v>
      </c>
      <c r="C74" s="131" t="s">
        <v>247</v>
      </c>
      <c r="D74" s="181" t="s">
        <v>179</v>
      </c>
      <c r="E74" s="181" t="s">
        <v>158</v>
      </c>
      <c r="F74" s="190" t="s">
        <v>404</v>
      </c>
      <c r="G74" s="175">
        <v>1</v>
      </c>
      <c r="H74" s="15">
        <v>20250902</v>
      </c>
    </row>
    <row r="75" spans="1:8">
      <c r="A75" s="18">
        <v>964.4906</v>
      </c>
      <c r="B75" s="12">
        <v>47</v>
      </c>
      <c r="C75" s="12" t="s">
        <v>129</v>
      </c>
      <c r="D75" s="27" t="s">
        <v>135</v>
      </c>
      <c r="E75" s="27" t="s">
        <v>131</v>
      </c>
      <c r="F75" s="205" t="s">
        <v>405</v>
      </c>
      <c r="G75" s="27">
        <v>1</v>
      </c>
      <c r="H75" s="15">
        <v>20250902</v>
      </c>
    </row>
    <row r="76" ht="15.75" spans="1:8">
      <c r="A76" s="18">
        <v>964.4906</v>
      </c>
      <c r="B76" s="12">
        <v>47</v>
      </c>
      <c r="C76" s="12" t="s">
        <v>129</v>
      </c>
      <c r="D76" s="27" t="s">
        <v>135</v>
      </c>
      <c r="E76" s="27" t="s">
        <v>136</v>
      </c>
      <c r="F76" s="205" t="s">
        <v>406</v>
      </c>
      <c r="G76" s="27">
        <v>1</v>
      </c>
      <c r="H76" s="15">
        <v>20250902</v>
      </c>
    </row>
    <row r="77" spans="1:8">
      <c r="A77" s="18">
        <v>964.4876</v>
      </c>
      <c r="B77" s="12">
        <v>47</v>
      </c>
      <c r="C77" s="12" t="s">
        <v>129</v>
      </c>
      <c r="D77" s="27" t="s">
        <v>135</v>
      </c>
      <c r="E77" s="27" t="s">
        <v>158</v>
      </c>
      <c r="F77" s="207" t="s">
        <v>407</v>
      </c>
      <c r="G77" s="189">
        <v>1</v>
      </c>
      <c r="H77" s="15">
        <v>20250902</v>
      </c>
    </row>
    <row r="78" ht="27" spans="1:8">
      <c r="A78" s="18">
        <v>964.4906</v>
      </c>
      <c r="B78" s="22">
        <v>47</v>
      </c>
      <c r="C78" s="22" t="s">
        <v>170</v>
      </c>
      <c r="D78" s="22" t="s">
        <v>170</v>
      </c>
      <c r="E78" s="22" t="s">
        <v>172</v>
      </c>
      <c r="F78" s="31" t="s">
        <v>371</v>
      </c>
      <c r="G78" s="22">
        <v>2</v>
      </c>
      <c r="H78" s="15">
        <v>20250902</v>
      </c>
    </row>
    <row r="79" spans="1:8">
      <c r="A79" s="112">
        <v>964.477</v>
      </c>
      <c r="B79" s="171">
        <v>48</v>
      </c>
      <c r="C79" s="131" t="s">
        <v>247</v>
      </c>
      <c r="D79" s="181" t="s">
        <v>130</v>
      </c>
      <c r="E79" s="181" t="s">
        <v>131</v>
      </c>
      <c r="F79" s="190" t="s">
        <v>408</v>
      </c>
      <c r="G79" s="131">
        <v>1</v>
      </c>
      <c r="H79" s="15">
        <v>20250902</v>
      </c>
    </row>
    <row r="80" ht="15.75" spans="1:8">
      <c r="A80" s="18">
        <v>964.4829</v>
      </c>
      <c r="B80" s="12">
        <v>48</v>
      </c>
      <c r="C80" s="12" t="s">
        <v>129</v>
      </c>
      <c r="D80" s="27" t="s">
        <v>130</v>
      </c>
      <c r="E80" s="27" t="s">
        <v>136</v>
      </c>
      <c r="F80" s="205" t="s">
        <v>409</v>
      </c>
      <c r="G80" s="27">
        <v>1</v>
      </c>
      <c r="H80" s="15">
        <v>20250902</v>
      </c>
    </row>
    <row r="81" ht="15.75" spans="1:8">
      <c r="A81" s="18">
        <v>964.4789</v>
      </c>
      <c r="B81" s="111">
        <v>48</v>
      </c>
      <c r="C81" s="25" t="s">
        <v>247</v>
      </c>
      <c r="D81" s="25" t="s">
        <v>264</v>
      </c>
      <c r="E81" s="25" t="s">
        <v>410</v>
      </c>
      <c r="F81" s="161" t="s">
        <v>411</v>
      </c>
      <c r="G81" s="25">
        <v>1</v>
      </c>
      <c r="H81" s="15">
        <v>20250902</v>
      </c>
    </row>
    <row r="82" ht="15.75" spans="1:8">
      <c r="A82" s="18">
        <v>964.4752</v>
      </c>
      <c r="B82" s="111">
        <v>49</v>
      </c>
      <c r="C82" s="25" t="s">
        <v>247</v>
      </c>
      <c r="D82" s="25" t="s">
        <v>294</v>
      </c>
      <c r="E82" s="25" t="s">
        <v>410</v>
      </c>
      <c r="F82" s="161" t="s">
        <v>412</v>
      </c>
      <c r="G82" s="25">
        <v>1</v>
      </c>
      <c r="H82" s="15">
        <v>20250902</v>
      </c>
    </row>
    <row r="83" ht="15.75" spans="1:8">
      <c r="A83" s="18">
        <v>964.4752</v>
      </c>
      <c r="B83" s="111">
        <v>49</v>
      </c>
      <c r="C83" s="25" t="s">
        <v>247</v>
      </c>
      <c r="D83" s="25" t="s">
        <v>413</v>
      </c>
      <c r="E83" s="25" t="s">
        <v>410</v>
      </c>
      <c r="F83" s="161" t="s">
        <v>414</v>
      </c>
      <c r="G83" s="25">
        <v>1</v>
      </c>
      <c r="H83" s="15">
        <v>20250902</v>
      </c>
    </row>
    <row r="84" ht="15.75" spans="1:8">
      <c r="A84" s="18">
        <v>964.4674</v>
      </c>
      <c r="B84" s="12">
        <v>50</v>
      </c>
      <c r="C84" s="12" t="s">
        <v>129</v>
      </c>
      <c r="D84" s="27" t="s">
        <v>130</v>
      </c>
      <c r="E84" s="27" t="s">
        <v>136</v>
      </c>
      <c r="F84" s="205" t="s">
        <v>415</v>
      </c>
      <c r="G84" s="27">
        <v>1</v>
      </c>
      <c r="H84" s="15">
        <v>20250902</v>
      </c>
    </row>
    <row r="85" spans="1:8">
      <c r="A85" s="112">
        <v>964.456</v>
      </c>
      <c r="B85" s="124">
        <v>51</v>
      </c>
      <c r="C85" s="124" t="s">
        <v>129</v>
      </c>
      <c r="D85" s="181" t="s">
        <v>130</v>
      </c>
      <c r="E85" s="181" t="s">
        <v>207</v>
      </c>
      <c r="F85" s="190" t="s">
        <v>416</v>
      </c>
      <c r="G85" s="181">
        <v>1</v>
      </c>
      <c r="H85" s="15">
        <v>20250902</v>
      </c>
    </row>
    <row r="86" ht="15.75" spans="1:8">
      <c r="A86" s="18">
        <v>964.4607</v>
      </c>
      <c r="B86" s="12">
        <v>51</v>
      </c>
      <c r="C86" s="12" t="s">
        <v>129</v>
      </c>
      <c r="D86" s="27" t="s">
        <v>135</v>
      </c>
      <c r="E86" s="27" t="s">
        <v>136</v>
      </c>
      <c r="F86" s="205" t="s">
        <v>147</v>
      </c>
      <c r="G86" s="27">
        <v>1</v>
      </c>
      <c r="H86" s="15">
        <v>20250902</v>
      </c>
    </row>
    <row r="87" ht="15.75" spans="1:8">
      <c r="A87" s="18">
        <v>964.4587</v>
      </c>
      <c r="B87" s="12">
        <v>51</v>
      </c>
      <c r="C87" s="12" t="s">
        <v>129</v>
      </c>
      <c r="D87" s="27" t="s">
        <v>401</v>
      </c>
      <c r="E87" s="27" t="s">
        <v>136</v>
      </c>
      <c r="F87" s="205" t="s">
        <v>417</v>
      </c>
      <c r="G87" s="27">
        <v>1</v>
      </c>
      <c r="H87" s="15">
        <v>20250902</v>
      </c>
    </row>
    <row r="88" spans="1:8">
      <c r="A88" s="18">
        <v>964.4483</v>
      </c>
      <c r="B88" s="12">
        <v>52</v>
      </c>
      <c r="C88" s="12" t="s">
        <v>129</v>
      </c>
      <c r="D88" s="27" t="s">
        <v>401</v>
      </c>
      <c r="E88" s="27" t="s">
        <v>207</v>
      </c>
      <c r="F88" s="205" t="s">
        <v>418</v>
      </c>
      <c r="G88" s="27">
        <v>1</v>
      </c>
      <c r="H88" s="15">
        <v>20250902</v>
      </c>
    </row>
    <row r="89" spans="1:8">
      <c r="A89" s="18">
        <v>964.4558</v>
      </c>
      <c r="B89" s="124">
        <v>52</v>
      </c>
      <c r="C89" s="211" t="s">
        <v>247</v>
      </c>
      <c r="D89" s="212" t="s">
        <v>242</v>
      </c>
      <c r="E89" s="212" t="s">
        <v>248</v>
      </c>
      <c r="F89" s="213" t="s">
        <v>419</v>
      </c>
      <c r="G89" s="212">
        <v>1</v>
      </c>
      <c r="H89" s="15">
        <v>20250902</v>
      </c>
    </row>
    <row r="90" spans="1:8">
      <c r="A90" s="18">
        <v>964.441</v>
      </c>
      <c r="B90" s="124">
        <v>53</v>
      </c>
      <c r="C90" s="211" t="s">
        <v>247</v>
      </c>
      <c r="D90" s="212" t="s">
        <v>242</v>
      </c>
      <c r="E90" s="212" t="s">
        <v>248</v>
      </c>
      <c r="F90" s="213" t="s">
        <v>420</v>
      </c>
      <c r="G90" s="212">
        <v>1</v>
      </c>
      <c r="H90" s="15">
        <v>20250902</v>
      </c>
    </row>
    <row r="91" ht="15.75" spans="1:8">
      <c r="A91" s="18">
        <v>964.438</v>
      </c>
      <c r="B91" s="124">
        <v>53</v>
      </c>
      <c r="C91" s="211" t="s">
        <v>247</v>
      </c>
      <c r="D91" s="212" t="s">
        <v>242</v>
      </c>
      <c r="E91" s="212" t="s">
        <v>410</v>
      </c>
      <c r="F91" s="213" t="s">
        <v>421</v>
      </c>
      <c r="G91" s="212">
        <v>1</v>
      </c>
      <c r="H91" s="15">
        <v>20250902</v>
      </c>
    </row>
    <row r="92" spans="1:8">
      <c r="A92" s="18">
        <v>964.4377</v>
      </c>
      <c r="B92" s="12">
        <v>54</v>
      </c>
      <c r="C92" s="12" t="s">
        <v>129</v>
      </c>
      <c r="D92" s="27" t="s">
        <v>151</v>
      </c>
      <c r="E92" s="27" t="s">
        <v>131</v>
      </c>
      <c r="F92" s="205" t="s">
        <v>422</v>
      </c>
      <c r="G92" s="27">
        <v>1</v>
      </c>
      <c r="H92" s="15">
        <v>20250902</v>
      </c>
    </row>
    <row r="93" spans="1:8">
      <c r="A93" s="18">
        <v>964.4382</v>
      </c>
      <c r="B93" s="86">
        <v>54</v>
      </c>
      <c r="C93" s="22" t="s">
        <v>253</v>
      </c>
      <c r="D93" s="22" t="s">
        <v>126</v>
      </c>
      <c r="E93" s="22" t="s">
        <v>254</v>
      </c>
      <c r="F93" s="31" t="s">
        <v>423</v>
      </c>
      <c r="G93" s="22">
        <v>1</v>
      </c>
      <c r="H93" s="15">
        <v>20250902</v>
      </c>
    </row>
    <row r="94" ht="15.75" spans="1:8">
      <c r="A94" s="112">
        <v>964.414</v>
      </c>
      <c r="B94" s="177">
        <v>57</v>
      </c>
      <c r="C94" s="124" t="s">
        <v>129</v>
      </c>
      <c r="D94" s="181" t="s">
        <v>130</v>
      </c>
      <c r="E94" s="181" t="s">
        <v>136</v>
      </c>
      <c r="F94" s="190" t="s">
        <v>424</v>
      </c>
      <c r="G94" s="175">
        <v>1</v>
      </c>
      <c r="H94" s="15">
        <v>20250902</v>
      </c>
    </row>
    <row r="95" spans="1:8">
      <c r="A95" s="112">
        <v>964.4</v>
      </c>
      <c r="B95" s="177">
        <v>58</v>
      </c>
      <c r="C95" s="124" t="s">
        <v>129</v>
      </c>
      <c r="D95" s="181" t="s">
        <v>179</v>
      </c>
      <c r="E95" s="181" t="s">
        <v>131</v>
      </c>
      <c r="F95" s="190" t="s">
        <v>425</v>
      </c>
      <c r="G95" s="175">
        <v>1</v>
      </c>
      <c r="H95" s="15">
        <v>20250902</v>
      </c>
    </row>
    <row r="96" spans="1:8">
      <c r="A96" s="18">
        <v>964.4059</v>
      </c>
      <c r="B96" s="111">
        <v>58</v>
      </c>
      <c r="C96" s="25" t="s">
        <v>247</v>
      </c>
      <c r="D96" s="25" t="s">
        <v>242</v>
      </c>
      <c r="E96" s="25" t="s">
        <v>372</v>
      </c>
      <c r="F96" s="214" t="s">
        <v>426</v>
      </c>
      <c r="G96" s="215">
        <v>1</v>
      </c>
      <c r="H96" s="15">
        <v>20250902</v>
      </c>
    </row>
    <row r="97" ht="15.75" spans="1:8">
      <c r="A97" s="18">
        <v>964.3891</v>
      </c>
      <c r="B97" s="171">
        <v>60</v>
      </c>
      <c r="C97" s="209" t="s">
        <v>17</v>
      </c>
      <c r="D97" s="115" t="s">
        <v>177</v>
      </c>
      <c r="E97" s="115" t="s">
        <v>394</v>
      </c>
      <c r="F97" s="192" t="s">
        <v>427</v>
      </c>
      <c r="G97" s="181">
        <v>1</v>
      </c>
      <c r="H97" s="15">
        <v>20250902</v>
      </c>
    </row>
    <row r="98" ht="15.75" spans="1:8">
      <c r="A98" s="18">
        <v>964.376</v>
      </c>
      <c r="B98" s="171">
        <v>62</v>
      </c>
      <c r="C98" s="209" t="s">
        <v>17</v>
      </c>
      <c r="D98" s="115" t="s">
        <v>177</v>
      </c>
      <c r="E98" s="115" t="s">
        <v>394</v>
      </c>
      <c r="F98" s="190" t="s">
        <v>428</v>
      </c>
      <c r="G98" s="181">
        <v>1</v>
      </c>
      <c r="H98" s="15">
        <v>20250902</v>
      </c>
    </row>
    <row r="99" spans="1:8">
      <c r="A99" s="18">
        <v>964.3689</v>
      </c>
      <c r="B99" s="12">
        <v>63</v>
      </c>
      <c r="C99" s="12" t="s">
        <v>129</v>
      </c>
      <c r="D99" s="27" t="s">
        <v>135</v>
      </c>
      <c r="E99" s="27" t="s">
        <v>158</v>
      </c>
      <c r="F99" s="205" t="s">
        <v>429</v>
      </c>
      <c r="G99" s="27">
        <v>1</v>
      </c>
      <c r="H99" s="15">
        <v>20250902</v>
      </c>
    </row>
    <row r="100" ht="15.75" spans="1:8">
      <c r="A100" s="18">
        <v>964.348</v>
      </c>
      <c r="B100" s="124">
        <v>65</v>
      </c>
      <c r="C100" s="209" t="s">
        <v>17</v>
      </c>
      <c r="D100" s="115" t="s">
        <v>177</v>
      </c>
      <c r="E100" s="115" t="s">
        <v>394</v>
      </c>
      <c r="F100" s="190" t="s">
        <v>430</v>
      </c>
      <c r="G100" s="181">
        <v>1</v>
      </c>
      <c r="H100" s="15">
        <v>20250902</v>
      </c>
    </row>
    <row r="101" ht="15.75" spans="1:8">
      <c r="A101" s="18">
        <v>964.353</v>
      </c>
      <c r="B101" s="124">
        <v>65</v>
      </c>
      <c r="C101" s="209" t="s">
        <v>17</v>
      </c>
      <c r="D101" s="115" t="s">
        <v>18</v>
      </c>
      <c r="E101" s="115" t="s">
        <v>394</v>
      </c>
      <c r="F101" s="190" t="s">
        <v>431</v>
      </c>
      <c r="G101" s="181">
        <v>1</v>
      </c>
      <c r="H101" s="15">
        <v>20250902</v>
      </c>
    </row>
    <row r="102" spans="1:8">
      <c r="A102" s="18">
        <v>964.3126</v>
      </c>
      <c r="B102" s="86">
        <v>70</v>
      </c>
      <c r="C102" s="22" t="s">
        <v>253</v>
      </c>
      <c r="D102" s="22" t="s">
        <v>126</v>
      </c>
      <c r="E102" s="22" t="s">
        <v>254</v>
      </c>
      <c r="F102" s="31" t="s">
        <v>432</v>
      </c>
      <c r="G102" s="22">
        <v>1</v>
      </c>
      <c r="H102" s="15">
        <v>20250902</v>
      </c>
    </row>
    <row r="103" ht="30" customHeight="1" spans="1:8">
      <c r="A103" s="18">
        <v>964.2894</v>
      </c>
      <c r="B103" s="177">
        <v>73</v>
      </c>
      <c r="C103" s="175" t="s">
        <v>21</v>
      </c>
      <c r="D103" s="181" t="s">
        <v>179</v>
      </c>
      <c r="E103" s="115" t="s">
        <v>29</v>
      </c>
      <c r="F103" s="190" t="s">
        <v>433</v>
      </c>
      <c r="G103" s="181">
        <v>1</v>
      </c>
      <c r="H103" s="15">
        <v>20250902</v>
      </c>
    </row>
    <row r="104" ht="15.75" spans="1:8">
      <c r="A104" s="18">
        <v>964.2842</v>
      </c>
      <c r="B104" s="25">
        <v>74</v>
      </c>
      <c r="C104" s="25" t="s">
        <v>238</v>
      </c>
      <c r="D104" s="25" t="s">
        <v>264</v>
      </c>
      <c r="E104" s="25" t="s">
        <v>244</v>
      </c>
      <c r="F104" s="161" t="s">
        <v>434</v>
      </c>
      <c r="G104" s="25">
        <v>1</v>
      </c>
      <c r="H104" s="15">
        <v>20250902</v>
      </c>
    </row>
    <row r="105" spans="1:8">
      <c r="A105" s="18">
        <v>964.2648</v>
      </c>
      <c r="B105" s="131">
        <v>76</v>
      </c>
      <c r="C105" s="209" t="s">
        <v>17</v>
      </c>
      <c r="D105" s="115" t="s">
        <v>18</v>
      </c>
      <c r="E105" s="131" t="s">
        <v>154</v>
      </c>
      <c r="F105" s="216" t="s">
        <v>435</v>
      </c>
      <c r="G105" s="131">
        <v>1</v>
      </c>
      <c r="H105" s="15">
        <v>20250902</v>
      </c>
    </row>
    <row r="106" spans="1:8">
      <c r="A106" s="18">
        <v>964.2581</v>
      </c>
      <c r="B106" s="131">
        <v>77</v>
      </c>
      <c r="C106" s="209" t="s">
        <v>17</v>
      </c>
      <c r="D106" s="115" t="s">
        <v>18</v>
      </c>
      <c r="E106" s="131" t="s">
        <v>154</v>
      </c>
      <c r="F106" s="206" t="s">
        <v>436</v>
      </c>
      <c r="G106" s="131">
        <v>1</v>
      </c>
      <c r="H106" s="15">
        <v>20250902</v>
      </c>
    </row>
    <row r="107" spans="1:8">
      <c r="A107" s="18">
        <v>964.2591</v>
      </c>
      <c r="B107" s="25">
        <v>77</v>
      </c>
      <c r="C107" s="25" t="s">
        <v>268</v>
      </c>
      <c r="D107" s="25" t="s">
        <v>364</v>
      </c>
      <c r="E107" s="25" t="s">
        <v>270</v>
      </c>
      <c r="F107" s="161" t="s">
        <v>368</v>
      </c>
      <c r="G107" s="25">
        <v>1</v>
      </c>
      <c r="H107" s="15">
        <v>20250902</v>
      </c>
    </row>
    <row r="108" spans="1:8">
      <c r="A108" s="18">
        <v>964.2102</v>
      </c>
      <c r="B108" s="12">
        <v>83</v>
      </c>
      <c r="C108" s="12" t="s">
        <v>129</v>
      </c>
      <c r="D108" s="27" t="s">
        <v>151</v>
      </c>
      <c r="E108" s="27" t="s">
        <v>437</v>
      </c>
      <c r="F108" s="205" t="s">
        <v>438</v>
      </c>
      <c r="G108" s="27">
        <v>1</v>
      </c>
      <c r="H108" s="15">
        <v>20250902</v>
      </c>
    </row>
    <row r="109" spans="1:8">
      <c r="A109" s="18">
        <v>964.1938</v>
      </c>
      <c r="B109" s="25">
        <v>85</v>
      </c>
      <c r="C109" s="25" t="s">
        <v>268</v>
      </c>
      <c r="D109" s="25" t="s">
        <v>364</v>
      </c>
      <c r="E109" s="25" t="s">
        <v>270</v>
      </c>
      <c r="F109" s="161" t="s">
        <v>439</v>
      </c>
      <c r="G109" s="25">
        <v>1</v>
      </c>
      <c r="H109" s="15">
        <v>20250902</v>
      </c>
    </row>
    <row r="110" spans="1:8">
      <c r="A110" s="18">
        <v>964.197</v>
      </c>
      <c r="B110" s="131">
        <v>85</v>
      </c>
      <c r="C110" s="124" t="s">
        <v>129</v>
      </c>
      <c r="D110" s="181" t="s">
        <v>151</v>
      </c>
      <c r="E110" s="181" t="s">
        <v>437</v>
      </c>
      <c r="F110" s="190" t="s">
        <v>440</v>
      </c>
      <c r="G110" s="181">
        <v>1</v>
      </c>
      <c r="H110" s="15">
        <v>20250902</v>
      </c>
    </row>
    <row r="111" spans="1:8">
      <c r="A111" s="112">
        <v>964.146</v>
      </c>
      <c r="B111" s="180">
        <v>91</v>
      </c>
      <c r="C111" s="124" t="s">
        <v>129</v>
      </c>
      <c r="D111" s="181" t="s">
        <v>179</v>
      </c>
      <c r="E111" s="181" t="s">
        <v>158</v>
      </c>
      <c r="F111" s="190" t="s">
        <v>441</v>
      </c>
      <c r="G111" s="175">
        <v>1</v>
      </c>
      <c r="H111" s="15">
        <v>20250902</v>
      </c>
    </row>
    <row r="112" ht="15.75" spans="1:8">
      <c r="A112" s="18">
        <v>964.1537</v>
      </c>
      <c r="B112" s="12">
        <v>91</v>
      </c>
      <c r="C112" s="12" t="s">
        <v>129</v>
      </c>
      <c r="D112" s="27" t="s">
        <v>151</v>
      </c>
      <c r="E112" s="27" t="s">
        <v>139</v>
      </c>
      <c r="F112" s="205" t="s">
        <v>442</v>
      </c>
      <c r="G112" s="27">
        <v>1</v>
      </c>
      <c r="H112" s="15">
        <v>20250902</v>
      </c>
    </row>
    <row r="113" spans="1:8">
      <c r="A113" s="18">
        <v>964.1487</v>
      </c>
      <c r="B113" s="12">
        <v>91</v>
      </c>
      <c r="C113" s="12" t="s">
        <v>129</v>
      </c>
      <c r="D113" s="27" t="s">
        <v>179</v>
      </c>
      <c r="E113" s="27" t="s">
        <v>158</v>
      </c>
      <c r="F113" s="205" t="s">
        <v>443</v>
      </c>
      <c r="G113" s="27">
        <v>0</v>
      </c>
      <c r="H113" s="15">
        <v>20250902</v>
      </c>
    </row>
    <row r="114" spans="1:8">
      <c r="A114" s="18">
        <v>964.1457</v>
      </c>
      <c r="B114" s="15">
        <v>91</v>
      </c>
      <c r="C114" s="22" t="s">
        <v>125</v>
      </c>
      <c r="D114" s="22" t="s">
        <v>126</v>
      </c>
      <c r="E114" s="22" t="s">
        <v>127</v>
      </c>
      <c r="F114" s="31" t="s">
        <v>444</v>
      </c>
      <c r="G114" s="22">
        <v>1</v>
      </c>
      <c r="H114" s="15">
        <v>20250902</v>
      </c>
    </row>
    <row r="115" ht="15.75" spans="1:8">
      <c r="A115" s="18">
        <v>964.1477</v>
      </c>
      <c r="B115" s="110">
        <v>91</v>
      </c>
      <c r="C115" s="110" t="s">
        <v>238</v>
      </c>
      <c r="D115" s="110" t="s">
        <v>242</v>
      </c>
      <c r="E115" s="110" t="s">
        <v>445</v>
      </c>
      <c r="F115" s="161" t="s">
        <v>446</v>
      </c>
      <c r="G115" s="25">
        <v>1</v>
      </c>
      <c r="H115" s="15">
        <v>20250902</v>
      </c>
    </row>
    <row r="116" spans="1:8">
      <c r="A116" s="18" t="s">
        <v>91</v>
      </c>
      <c r="B116" s="124" t="s">
        <v>91</v>
      </c>
      <c r="C116" s="124" t="s">
        <v>447</v>
      </c>
      <c r="D116" s="181" t="s">
        <v>91</v>
      </c>
      <c r="E116" s="181" t="s">
        <v>91</v>
      </c>
      <c r="F116" s="182" t="s">
        <v>448</v>
      </c>
      <c r="G116" s="181">
        <v>0</v>
      </c>
      <c r="H116" s="15">
        <v>20250902</v>
      </c>
    </row>
    <row r="117" ht="27" spans="1:8">
      <c r="A117" s="18">
        <v>964.839</v>
      </c>
      <c r="B117" s="15" t="s">
        <v>94</v>
      </c>
      <c r="C117" s="22" t="s">
        <v>170</v>
      </c>
      <c r="D117" s="22" t="s">
        <v>170</v>
      </c>
      <c r="E117" s="22" t="s">
        <v>172</v>
      </c>
      <c r="F117" s="31" t="s">
        <v>222</v>
      </c>
      <c r="G117" s="22">
        <v>1</v>
      </c>
      <c r="H117" s="15">
        <v>20250902</v>
      </c>
    </row>
    <row r="118" ht="27" spans="1:8">
      <c r="A118" s="18">
        <v>964.7651</v>
      </c>
      <c r="B118" s="15" t="s">
        <v>99</v>
      </c>
      <c r="C118" s="22" t="s">
        <v>170</v>
      </c>
      <c r="D118" s="22" t="s">
        <v>170</v>
      </c>
      <c r="E118" s="22" t="s">
        <v>172</v>
      </c>
      <c r="F118" s="31" t="s">
        <v>222</v>
      </c>
      <c r="G118" s="22">
        <v>1</v>
      </c>
      <c r="H118" s="15">
        <v>20250902</v>
      </c>
    </row>
    <row r="119" ht="27" spans="1:8">
      <c r="A119" s="18">
        <v>964.688</v>
      </c>
      <c r="B119" s="15" t="s">
        <v>100</v>
      </c>
      <c r="C119" s="22" t="s">
        <v>170</v>
      </c>
      <c r="D119" s="22" t="s">
        <v>170</v>
      </c>
      <c r="E119" s="22" t="s">
        <v>172</v>
      </c>
      <c r="F119" s="31" t="s">
        <v>222</v>
      </c>
      <c r="G119" s="22">
        <v>1</v>
      </c>
      <c r="H119" s="15">
        <v>20250902</v>
      </c>
    </row>
    <row r="120" ht="27" spans="1:8">
      <c r="A120" s="18">
        <v>964.613</v>
      </c>
      <c r="B120" s="15" t="s">
        <v>101</v>
      </c>
      <c r="C120" s="22" t="s">
        <v>170</v>
      </c>
      <c r="D120" s="22" t="s">
        <v>170</v>
      </c>
      <c r="E120" s="22" t="s">
        <v>172</v>
      </c>
      <c r="F120" s="31" t="s">
        <v>222</v>
      </c>
      <c r="G120" s="22">
        <v>1</v>
      </c>
      <c r="H120" s="15">
        <v>20250902</v>
      </c>
    </row>
    <row r="121" ht="27" spans="1:8">
      <c r="A121" s="18">
        <v>964.537</v>
      </c>
      <c r="B121" s="15" t="s">
        <v>102</v>
      </c>
      <c r="C121" s="22" t="s">
        <v>170</v>
      </c>
      <c r="D121" s="22" t="s">
        <v>170</v>
      </c>
      <c r="E121" s="22" t="s">
        <v>172</v>
      </c>
      <c r="F121" s="31" t="s">
        <v>222</v>
      </c>
      <c r="G121" s="22">
        <v>1</v>
      </c>
      <c r="H121" s="15">
        <v>20250902</v>
      </c>
    </row>
    <row r="122" ht="27" spans="1:8">
      <c r="A122" s="18">
        <v>964.461</v>
      </c>
      <c r="B122" s="15" t="s">
        <v>103</v>
      </c>
      <c r="C122" s="22" t="s">
        <v>170</v>
      </c>
      <c r="D122" s="22" t="s">
        <v>170</v>
      </c>
      <c r="E122" s="22" t="s">
        <v>172</v>
      </c>
      <c r="F122" s="31" t="s">
        <v>222</v>
      </c>
      <c r="G122" s="22">
        <v>1</v>
      </c>
      <c r="H122" s="15">
        <v>20250902</v>
      </c>
    </row>
    <row r="123" ht="27" spans="1:8">
      <c r="A123" s="18">
        <v>964.384</v>
      </c>
      <c r="B123" s="15" t="s">
        <v>223</v>
      </c>
      <c r="C123" s="22" t="s">
        <v>170</v>
      </c>
      <c r="D123" s="22" t="s">
        <v>170</v>
      </c>
      <c r="E123" s="22" t="s">
        <v>172</v>
      </c>
      <c r="F123" s="31" t="s">
        <v>222</v>
      </c>
      <c r="G123" s="22">
        <v>1</v>
      </c>
      <c r="H123" s="15">
        <v>20250902</v>
      </c>
    </row>
    <row r="124" ht="27" spans="1:8">
      <c r="A124" s="18">
        <v>964.307</v>
      </c>
      <c r="B124" s="15" t="s">
        <v>449</v>
      </c>
      <c r="C124" s="22" t="s">
        <v>170</v>
      </c>
      <c r="D124" s="22" t="s">
        <v>170</v>
      </c>
      <c r="E124" s="22" t="s">
        <v>172</v>
      </c>
      <c r="F124" s="31" t="s">
        <v>222</v>
      </c>
      <c r="G124" s="22">
        <v>1</v>
      </c>
      <c r="H124" s="15">
        <v>20250902</v>
      </c>
    </row>
    <row r="125" ht="27" spans="1:8">
      <c r="A125" s="18">
        <v>964.23</v>
      </c>
      <c r="B125" s="15" t="s">
        <v>450</v>
      </c>
      <c r="C125" s="22" t="s">
        <v>170</v>
      </c>
      <c r="D125" s="22" t="s">
        <v>170</v>
      </c>
      <c r="E125" s="22" t="s">
        <v>172</v>
      </c>
      <c r="F125" s="31" t="s">
        <v>222</v>
      </c>
      <c r="G125" s="22">
        <v>1</v>
      </c>
      <c r="H125" s="15">
        <v>20250902</v>
      </c>
    </row>
  </sheetData>
  <autoFilter xmlns:etc="http://www.wps.cn/officeDocument/2017/etCustomData" ref="A1:H125" etc:filterBottomFollowUsedRange="0">
    <extLst/>
  </autoFilter>
  <sortState ref="A2:H123">
    <sortCondition ref="B2:B123"/>
  </sortState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86"/>
  <sheetViews>
    <sheetView topLeftCell="A61" workbookViewId="0">
      <selection activeCell="F75" sqref="F75"/>
    </sheetView>
  </sheetViews>
  <sheetFormatPr defaultColWidth="9" defaultRowHeight="15" outlineLevelCol="7"/>
  <cols>
    <col min="1" max="1" width="9" style="16"/>
    <col min="2" max="2" width="9.125" style="12" customWidth="1"/>
    <col min="3" max="4" width="9" style="15"/>
    <col min="5" max="5" width="9" style="12"/>
    <col min="6" max="6" width="73.875" style="16" customWidth="1"/>
    <col min="7" max="7" width="9.125" style="12" customWidth="1"/>
    <col min="8" max="8" width="9.5" style="16" customWidth="1"/>
    <col min="9" max="16384" width="9" style="16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spans="1:8">
      <c r="A2" s="18">
        <v>967.547</v>
      </c>
      <c r="B2" s="22">
        <v>0</v>
      </c>
      <c r="C2" s="23" t="s">
        <v>106</v>
      </c>
      <c r="D2" s="23" t="s">
        <v>451</v>
      </c>
      <c r="E2" s="23" t="s">
        <v>108</v>
      </c>
      <c r="F2" s="193" t="s">
        <v>452</v>
      </c>
      <c r="G2" s="22">
        <v>0</v>
      </c>
      <c r="H2" s="15">
        <v>20250903</v>
      </c>
    </row>
    <row r="3" spans="1:8">
      <c r="A3" s="18">
        <v>968.647</v>
      </c>
      <c r="B3" s="175">
        <v>0</v>
      </c>
      <c r="C3" s="187" t="s">
        <v>453</v>
      </c>
      <c r="D3" s="187" t="s">
        <v>454</v>
      </c>
      <c r="E3" s="187" t="s">
        <v>91</v>
      </c>
      <c r="F3" s="194" t="s">
        <v>455</v>
      </c>
      <c r="G3" s="175">
        <v>0</v>
      </c>
      <c r="H3" s="15">
        <v>20250903</v>
      </c>
    </row>
    <row r="4" spans="1:8">
      <c r="A4" s="18">
        <v>967.547</v>
      </c>
      <c r="B4" s="22">
        <v>1</v>
      </c>
      <c r="C4" s="22" t="s">
        <v>125</v>
      </c>
      <c r="D4" s="22" t="s">
        <v>126</v>
      </c>
      <c r="E4" s="22" t="s">
        <v>456</v>
      </c>
      <c r="F4" s="195" t="s">
        <v>457</v>
      </c>
      <c r="G4" s="22">
        <v>1</v>
      </c>
      <c r="H4" s="15">
        <v>20250903</v>
      </c>
    </row>
    <row r="5" spans="1:8">
      <c r="A5" s="18">
        <v>967.547</v>
      </c>
      <c r="B5" s="189" t="s">
        <v>458</v>
      </c>
      <c r="C5" s="22" t="s">
        <v>125</v>
      </c>
      <c r="D5" s="22" t="s">
        <v>126</v>
      </c>
      <c r="E5" s="22" t="s">
        <v>127</v>
      </c>
      <c r="F5" s="31" t="s">
        <v>459</v>
      </c>
      <c r="G5" s="22">
        <v>1</v>
      </c>
      <c r="H5" s="15">
        <v>20250903</v>
      </c>
    </row>
    <row r="6" spans="1:8">
      <c r="A6" s="196">
        <v>967.549</v>
      </c>
      <c r="B6" s="111">
        <v>1</v>
      </c>
      <c r="C6" s="64" t="s">
        <v>8</v>
      </c>
      <c r="D6" s="64" t="s">
        <v>26</v>
      </c>
      <c r="E6" s="64" t="s">
        <v>232</v>
      </c>
      <c r="F6" s="121" t="s">
        <v>460</v>
      </c>
      <c r="G6" s="25">
        <v>1</v>
      </c>
      <c r="H6" s="15">
        <v>20250903</v>
      </c>
    </row>
    <row r="7" spans="1:8">
      <c r="A7" s="112">
        <v>967.552</v>
      </c>
      <c r="B7" s="177">
        <v>1</v>
      </c>
      <c r="C7" s="173" t="s">
        <v>8</v>
      </c>
      <c r="D7" s="126" t="s">
        <v>231</v>
      </c>
      <c r="E7" s="173" t="s">
        <v>232</v>
      </c>
      <c r="F7" s="116" t="s">
        <v>461</v>
      </c>
      <c r="G7" s="175">
        <v>1</v>
      </c>
      <c r="H7" s="15">
        <v>20250903</v>
      </c>
    </row>
    <row r="8" spans="1:8">
      <c r="A8" s="112">
        <v>967.557</v>
      </c>
      <c r="B8" s="177">
        <v>2</v>
      </c>
      <c r="C8" s="173" t="s">
        <v>8</v>
      </c>
      <c r="D8" s="126" t="s">
        <v>231</v>
      </c>
      <c r="E8" s="125" t="s">
        <v>15</v>
      </c>
      <c r="F8" s="127" t="s">
        <v>462</v>
      </c>
      <c r="G8" s="175">
        <v>1</v>
      </c>
      <c r="H8" s="15">
        <v>20250903</v>
      </c>
    </row>
    <row r="9" spans="1:8">
      <c r="A9" s="18">
        <v>967.5646</v>
      </c>
      <c r="B9" s="12">
        <v>3</v>
      </c>
      <c r="C9" s="15" t="s">
        <v>129</v>
      </c>
      <c r="D9" s="19" t="s">
        <v>290</v>
      </c>
      <c r="E9" s="20" t="s">
        <v>15</v>
      </c>
      <c r="F9" s="21" t="s">
        <v>463</v>
      </c>
      <c r="G9" s="19">
        <v>0</v>
      </c>
      <c r="H9" s="15">
        <v>20250903</v>
      </c>
    </row>
    <row r="10" spans="1:8">
      <c r="A10" s="18">
        <v>967.574</v>
      </c>
      <c r="B10" s="124">
        <v>4</v>
      </c>
      <c r="C10" s="175" t="s">
        <v>125</v>
      </c>
      <c r="D10" s="175" t="s">
        <v>126</v>
      </c>
      <c r="E10" s="175" t="s">
        <v>127</v>
      </c>
      <c r="F10" s="183" t="s">
        <v>464</v>
      </c>
      <c r="G10" s="126">
        <v>1</v>
      </c>
      <c r="H10" s="15">
        <v>20250903</v>
      </c>
    </row>
    <row r="11" spans="1:8">
      <c r="A11" s="18">
        <v>967.5818</v>
      </c>
      <c r="B11" s="12">
        <v>5</v>
      </c>
      <c r="C11" s="15" t="s">
        <v>129</v>
      </c>
      <c r="D11" s="19" t="s">
        <v>228</v>
      </c>
      <c r="E11" s="20" t="s">
        <v>15</v>
      </c>
      <c r="F11" s="21" t="s">
        <v>465</v>
      </c>
      <c r="G11" s="19">
        <v>0</v>
      </c>
      <c r="H11" s="15">
        <v>20250903</v>
      </c>
    </row>
    <row r="12" spans="1:8">
      <c r="A12" s="18">
        <v>967.5828</v>
      </c>
      <c r="B12" s="12">
        <v>5</v>
      </c>
      <c r="C12" s="15" t="s">
        <v>129</v>
      </c>
      <c r="D12" s="19" t="s">
        <v>231</v>
      </c>
      <c r="E12" s="20" t="s">
        <v>232</v>
      </c>
      <c r="F12" s="21" t="s">
        <v>466</v>
      </c>
      <c r="G12" s="19">
        <v>1</v>
      </c>
      <c r="H12" s="15">
        <v>20250903</v>
      </c>
    </row>
    <row r="13" spans="1:8">
      <c r="A13" s="18">
        <v>967.5949</v>
      </c>
      <c r="B13" s="12">
        <v>6</v>
      </c>
      <c r="C13" s="15" t="s">
        <v>129</v>
      </c>
      <c r="D13" s="19" t="s">
        <v>290</v>
      </c>
      <c r="E13" s="19" t="s">
        <v>467</v>
      </c>
      <c r="F13" s="21" t="s">
        <v>468</v>
      </c>
      <c r="G13" s="19">
        <v>1</v>
      </c>
      <c r="H13" s="15">
        <v>20250903</v>
      </c>
    </row>
    <row r="14" ht="15.75" spans="1:8">
      <c r="A14" s="18">
        <v>967.5879</v>
      </c>
      <c r="B14" s="68">
        <v>6</v>
      </c>
      <c r="C14" s="197" t="s">
        <v>25</v>
      </c>
      <c r="D14" s="197" t="s">
        <v>40</v>
      </c>
      <c r="E14" s="197" t="s">
        <v>27</v>
      </c>
      <c r="F14" s="195" t="s">
        <v>469</v>
      </c>
      <c r="G14" s="25">
        <v>1</v>
      </c>
      <c r="H14" s="15">
        <v>20250903</v>
      </c>
    </row>
    <row r="15" ht="15.75" spans="1:8">
      <c r="A15" s="18">
        <v>967.606</v>
      </c>
      <c r="B15" s="70">
        <v>8</v>
      </c>
      <c r="C15" s="64" t="s">
        <v>25</v>
      </c>
      <c r="D15" s="64" t="s">
        <v>49</v>
      </c>
      <c r="E15" s="64" t="s">
        <v>470</v>
      </c>
      <c r="F15" s="121" t="s">
        <v>471</v>
      </c>
      <c r="G15" s="25">
        <v>1</v>
      </c>
      <c r="H15" s="15">
        <v>20250903</v>
      </c>
    </row>
    <row r="16" ht="15.75" spans="1:8">
      <c r="A16" s="18">
        <v>967.615</v>
      </c>
      <c r="B16" s="70">
        <v>9</v>
      </c>
      <c r="C16" s="64" t="s">
        <v>25</v>
      </c>
      <c r="D16" s="64" t="s">
        <v>49</v>
      </c>
      <c r="E16" s="64" t="s">
        <v>470</v>
      </c>
      <c r="F16" s="121" t="s">
        <v>472</v>
      </c>
      <c r="G16" s="25">
        <v>1</v>
      </c>
      <c r="H16" s="15">
        <v>20250903</v>
      </c>
    </row>
    <row r="17" ht="15.75" spans="1:8">
      <c r="A17" s="18">
        <v>967.6242</v>
      </c>
      <c r="B17" s="70">
        <v>10</v>
      </c>
      <c r="C17" s="64" t="s">
        <v>25</v>
      </c>
      <c r="D17" s="64" t="s">
        <v>49</v>
      </c>
      <c r="E17" s="64" t="s">
        <v>470</v>
      </c>
      <c r="F17" s="121" t="s">
        <v>473</v>
      </c>
      <c r="G17" s="25">
        <v>1</v>
      </c>
      <c r="H17" s="15">
        <v>20250903</v>
      </c>
    </row>
    <row r="18" spans="1:8">
      <c r="A18" s="18">
        <v>967.6335</v>
      </c>
      <c r="B18" s="12">
        <v>11</v>
      </c>
      <c r="C18" s="15" t="s">
        <v>129</v>
      </c>
      <c r="D18" s="19" t="s">
        <v>290</v>
      </c>
      <c r="E18" s="20" t="s">
        <v>15</v>
      </c>
      <c r="F18" s="21" t="s">
        <v>474</v>
      </c>
      <c r="G18" s="19">
        <v>1</v>
      </c>
      <c r="H18" s="15">
        <v>20250903</v>
      </c>
    </row>
    <row r="19" spans="1:8">
      <c r="A19" s="18">
        <v>967.6393</v>
      </c>
      <c r="B19" s="175">
        <v>11</v>
      </c>
      <c r="C19" s="180" t="s">
        <v>129</v>
      </c>
      <c r="D19" s="173" t="s">
        <v>26</v>
      </c>
      <c r="E19" s="125" t="s">
        <v>15</v>
      </c>
      <c r="F19" s="129" t="s">
        <v>475</v>
      </c>
      <c r="G19" s="126">
        <v>1</v>
      </c>
      <c r="H19" s="15">
        <v>20250903</v>
      </c>
    </row>
    <row r="20" spans="1:8">
      <c r="A20" s="18">
        <v>967.645</v>
      </c>
      <c r="B20" s="175">
        <v>12</v>
      </c>
      <c r="C20" s="180" t="s">
        <v>129</v>
      </c>
      <c r="D20" s="173" t="s">
        <v>26</v>
      </c>
      <c r="E20" s="125" t="s">
        <v>15</v>
      </c>
      <c r="F20" s="129" t="s">
        <v>476</v>
      </c>
      <c r="G20" s="126">
        <v>1</v>
      </c>
      <c r="H20" s="15">
        <v>20250903</v>
      </c>
    </row>
    <row r="21" spans="1:8">
      <c r="A21" s="18">
        <v>967.6545</v>
      </c>
      <c r="B21" s="175">
        <v>13</v>
      </c>
      <c r="C21" s="180" t="s">
        <v>129</v>
      </c>
      <c r="D21" s="173" t="s">
        <v>26</v>
      </c>
      <c r="E21" s="125" t="s">
        <v>15</v>
      </c>
      <c r="F21" s="129" t="s">
        <v>477</v>
      </c>
      <c r="G21" s="126">
        <v>1</v>
      </c>
      <c r="H21" s="15">
        <v>20250903</v>
      </c>
    </row>
    <row r="22" ht="15.75" spans="1:8">
      <c r="A22" s="18">
        <v>967.6513</v>
      </c>
      <c r="B22" s="70">
        <v>13</v>
      </c>
      <c r="C22" s="64" t="s">
        <v>25</v>
      </c>
      <c r="D22" s="64" t="s">
        <v>478</v>
      </c>
      <c r="E22" s="64" t="s">
        <v>470</v>
      </c>
      <c r="F22" s="121" t="s">
        <v>479</v>
      </c>
      <c r="G22" s="25">
        <v>1</v>
      </c>
      <c r="H22" s="15">
        <v>20250903</v>
      </c>
    </row>
    <row r="23" spans="1:8">
      <c r="A23" s="18">
        <v>967.6698</v>
      </c>
      <c r="B23" s="12">
        <v>15</v>
      </c>
      <c r="C23" s="15" t="s">
        <v>129</v>
      </c>
      <c r="D23" s="19" t="s">
        <v>235</v>
      </c>
      <c r="E23" s="20" t="s">
        <v>33</v>
      </c>
      <c r="F23" s="21" t="s">
        <v>480</v>
      </c>
      <c r="G23" s="19">
        <v>0</v>
      </c>
      <c r="H23" s="15">
        <v>20250903</v>
      </c>
    </row>
    <row r="24" spans="1:8">
      <c r="A24" s="18">
        <v>967.6863</v>
      </c>
      <c r="B24" s="12">
        <v>17</v>
      </c>
      <c r="C24" s="15" t="s">
        <v>129</v>
      </c>
      <c r="D24" s="20" t="s">
        <v>9</v>
      </c>
      <c r="E24" s="20" t="s">
        <v>33</v>
      </c>
      <c r="F24" s="21" t="s">
        <v>481</v>
      </c>
      <c r="G24" s="27">
        <v>0</v>
      </c>
      <c r="H24" s="15">
        <v>20250903</v>
      </c>
    </row>
    <row r="25" spans="1:8">
      <c r="A25" s="18">
        <v>967.7033</v>
      </c>
      <c r="B25" s="22">
        <v>18</v>
      </c>
      <c r="C25" s="22" t="s">
        <v>253</v>
      </c>
      <c r="D25" s="22" t="s">
        <v>126</v>
      </c>
      <c r="E25" s="22" t="s">
        <v>254</v>
      </c>
      <c r="F25" s="31" t="s">
        <v>482</v>
      </c>
      <c r="G25" s="22">
        <v>1</v>
      </c>
      <c r="H25" s="15">
        <v>20250903</v>
      </c>
    </row>
    <row r="26" spans="1:8">
      <c r="A26" s="18">
        <v>967.7043</v>
      </c>
      <c r="B26" s="12">
        <v>19</v>
      </c>
      <c r="C26" s="108" t="s">
        <v>483</v>
      </c>
      <c r="D26" s="174" t="s">
        <v>484</v>
      </c>
      <c r="E26" s="198" t="s">
        <v>33</v>
      </c>
      <c r="F26" s="97" t="s">
        <v>485</v>
      </c>
      <c r="G26" s="174">
        <v>1</v>
      </c>
      <c r="H26" s="15">
        <v>20250903</v>
      </c>
    </row>
    <row r="27" spans="1:8">
      <c r="A27" s="18">
        <v>967.713</v>
      </c>
      <c r="B27" s="12">
        <v>20</v>
      </c>
      <c r="C27" s="15" t="s">
        <v>129</v>
      </c>
      <c r="D27" s="19" t="s">
        <v>290</v>
      </c>
      <c r="E27" s="20" t="s">
        <v>33</v>
      </c>
      <c r="F27" s="21" t="s">
        <v>486</v>
      </c>
      <c r="G27" s="19">
        <v>0</v>
      </c>
      <c r="H27" s="15">
        <v>20250903</v>
      </c>
    </row>
    <row r="28" spans="1:8">
      <c r="A28" s="18">
        <v>967.7223</v>
      </c>
      <c r="B28" s="12">
        <v>21</v>
      </c>
      <c r="C28" s="15" t="s">
        <v>129</v>
      </c>
      <c r="D28" s="19" t="s">
        <v>290</v>
      </c>
      <c r="E28" s="20" t="s">
        <v>33</v>
      </c>
      <c r="F28" s="21" t="s">
        <v>486</v>
      </c>
      <c r="G28" s="19">
        <v>0</v>
      </c>
      <c r="H28" s="15">
        <v>20250903</v>
      </c>
    </row>
    <row r="29" spans="1:8">
      <c r="A29" s="18">
        <v>967.7223</v>
      </c>
      <c r="B29" s="12">
        <v>21</v>
      </c>
      <c r="C29" s="15" t="s">
        <v>129</v>
      </c>
      <c r="D29" s="19" t="s">
        <v>235</v>
      </c>
      <c r="E29" s="20" t="s">
        <v>41</v>
      </c>
      <c r="F29" s="21" t="s">
        <v>487</v>
      </c>
      <c r="G29" s="19">
        <v>1</v>
      </c>
      <c r="H29" s="15">
        <v>20250903</v>
      </c>
    </row>
    <row r="30" spans="1:8">
      <c r="A30" s="18">
        <v>967.7312</v>
      </c>
      <c r="B30" s="12">
        <v>22</v>
      </c>
      <c r="C30" s="15" t="s">
        <v>129</v>
      </c>
      <c r="D30" s="19" t="s">
        <v>228</v>
      </c>
      <c r="E30" s="20" t="s">
        <v>33</v>
      </c>
      <c r="F30" s="21" t="s">
        <v>488</v>
      </c>
      <c r="G30" s="27">
        <v>0</v>
      </c>
      <c r="H30" s="15">
        <v>20250903</v>
      </c>
    </row>
    <row r="31" ht="27" spans="1:8">
      <c r="A31" s="18">
        <v>967.7492</v>
      </c>
      <c r="B31" s="15">
        <v>24</v>
      </c>
      <c r="C31" s="22" t="s">
        <v>170</v>
      </c>
      <c r="D31" s="22" t="s">
        <v>170</v>
      </c>
      <c r="E31" s="22" t="s">
        <v>172</v>
      </c>
      <c r="F31" s="195" t="s">
        <v>489</v>
      </c>
      <c r="G31" s="189">
        <v>1</v>
      </c>
      <c r="H31" s="15">
        <v>20250903</v>
      </c>
    </row>
    <row r="32" ht="15.75" spans="1:8">
      <c r="A32" s="18">
        <v>967.7583</v>
      </c>
      <c r="B32" s="70">
        <v>25</v>
      </c>
      <c r="C32" s="64" t="s">
        <v>25</v>
      </c>
      <c r="D32" s="64" t="s">
        <v>43</v>
      </c>
      <c r="E32" s="64" t="s">
        <v>470</v>
      </c>
      <c r="F32" s="121" t="s">
        <v>490</v>
      </c>
      <c r="G32" s="25">
        <v>1</v>
      </c>
      <c r="H32" s="15">
        <v>20250903</v>
      </c>
    </row>
    <row r="33" spans="1:8">
      <c r="A33" s="18">
        <v>967.7765</v>
      </c>
      <c r="B33" s="12">
        <v>27</v>
      </c>
      <c r="C33" s="15" t="s">
        <v>129</v>
      </c>
      <c r="D33" s="19" t="s">
        <v>290</v>
      </c>
      <c r="E33" s="20" t="s">
        <v>33</v>
      </c>
      <c r="F33" s="21" t="s">
        <v>491</v>
      </c>
      <c r="G33" s="19">
        <v>0</v>
      </c>
      <c r="H33" s="15">
        <v>20250903</v>
      </c>
    </row>
    <row r="34" spans="1:8">
      <c r="A34" s="18">
        <v>967.7856</v>
      </c>
      <c r="B34" s="12">
        <v>28</v>
      </c>
      <c r="C34" s="15" t="s">
        <v>129</v>
      </c>
      <c r="D34" s="19" t="s">
        <v>228</v>
      </c>
      <c r="E34" s="20" t="s">
        <v>33</v>
      </c>
      <c r="F34" s="21" t="s">
        <v>492</v>
      </c>
      <c r="G34" s="19">
        <v>0</v>
      </c>
      <c r="H34" s="15">
        <v>20250903</v>
      </c>
    </row>
    <row r="35" spans="1:8">
      <c r="A35" s="18">
        <v>967.7857</v>
      </c>
      <c r="B35" s="12">
        <v>28</v>
      </c>
      <c r="C35" s="15" t="s">
        <v>129</v>
      </c>
      <c r="D35" s="19" t="s">
        <v>290</v>
      </c>
      <c r="E35" s="20" t="s">
        <v>15</v>
      </c>
      <c r="F35" s="21" t="s">
        <v>286</v>
      </c>
      <c r="G35" s="19">
        <v>1</v>
      </c>
      <c r="H35" s="15">
        <v>20250903</v>
      </c>
    </row>
    <row r="36" spans="1:8">
      <c r="A36" s="18">
        <v>967.7906</v>
      </c>
      <c r="B36" s="25">
        <v>28</v>
      </c>
      <c r="C36" s="64" t="s">
        <v>17</v>
      </c>
      <c r="D36" s="64" t="s">
        <v>493</v>
      </c>
      <c r="E36" s="64" t="s">
        <v>154</v>
      </c>
      <c r="F36" s="121" t="s">
        <v>494</v>
      </c>
      <c r="G36" s="25">
        <v>1</v>
      </c>
      <c r="H36" s="15">
        <v>20250903</v>
      </c>
    </row>
    <row r="37" spans="1:8">
      <c r="A37" s="18">
        <v>967.7946</v>
      </c>
      <c r="B37" s="25">
        <v>29</v>
      </c>
      <c r="C37" s="64" t="s">
        <v>17</v>
      </c>
      <c r="D37" s="64" t="s">
        <v>493</v>
      </c>
      <c r="E37" s="64" t="s">
        <v>154</v>
      </c>
      <c r="F37" s="121" t="s">
        <v>495</v>
      </c>
      <c r="G37" s="25">
        <v>1</v>
      </c>
      <c r="H37" s="15">
        <v>20250903</v>
      </c>
    </row>
    <row r="38" spans="1:8">
      <c r="A38" s="18">
        <v>967.8058</v>
      </c>
      <c r="B38" s="12">
        <v>30</v>
      </c>
      <c r="C38" s="15" t="s">
        <v>129</v>
      </c>
      <c r="D38" s="19" t="s">
        <v>290</v>
      </c>
      <c r="E38" s="20" t="s">
        <v>33</v>
      </c>
      <c r="F38" s="21" t="s">
        <v>496</v>
      </c>
      <c r="G38" s="19">
        <v>0</v>
      </c>
      <c r="H38" s="15">
        <v>20250903</v>
      </c>
    </row>
    <row r="39" spans="1:8">
      <c r="A39" s="18">
        <v>967.8129</v>
      </c>
      <c r="B39" s="12">
        <v>31</v>
      </c>
      <c r="C39" s="15" t="s">
        <v>129</v>
      </c>
      <c r="D39" s="19" t="s">
        <v>290</v>
      </c>
      <c r="E39" s="20" t="s">
        <v>33</v>
      </c>
      <c r="F39" s="21" t="s">
        <v>497</v>
      </c>
      <c r="G39" s="19">
        <v>0</v>
      </c>
      <c r="H39" s="15">
        <v>20250903</v>
      </c>
    </row>
    <row r="40" ht="15.75" spans="1:8">
      <c r="A40" s="18">
        <v>967.8129</v>
      </c>
      <c r="B40" s="25">
        <v>31</v>
      </c>
      <c r="C40" s="64" t="s">
        <v>25</v>
      </c>
      <c r="D40" s="64" t="s">
        <v>49</v>
      </c>
      <c r="E40" s="64" t="s">
        <v>470</v>
      </c>
      <c r="F40" s="121" t="s">
        <v>498</v>
      </c>
      <c r="G40" s="25">
        <v>1</v>
      </c>
      <c r="H40" s="15">
        <v>20250903</v>
      </c>
    </row>
    <row r="41" spans="1:8">
      <c r="A41" s="18">
        <v>967.8206</v>
      </c>
      <c r="B41" s="25">
        <v>32</v>
      </c>
      <c r="C41" s="64" t="s">
        <v>17</v>
      </c>
      <c r="D41" s="64" t="s">
        <v>493</v>
      </c>
      <c r="E41" s="64" t="s">
        <v>154</v>
      </c>
      <c r="F41" s="121" t="s">
        <v>495</v>
      </c>
      <c r="G41" s="25">
        <v>1</v>
      </c>
      <c r="H41" s="15">
        <v>20250903</v>
      </c>
    </row>
    <row r="42" spans="1:8">
      <c r="A42" s="18">
        <v>967.8276</v>
      </c>
      <c r="B42" s="25">
        <v>32</v>
      </c>
      <c r="C42" s="64" t="s">
        <v>17</v>
      </c>
      <c r="D42" s="64" t="s">
        <v>493</v>
      </c>
      <c r="E42" s="64" t="s">
        <v>292</v>
      </c>
      <c r="F42" s="121" t="s">
        <v>499</v>
      </c>
      <c r="G42" s="25">
        <v>1</v>
      </c>
      <c r="H42" s="15">
        <v>20250903</v>
      </c>
    </row>
    <row r="43" spans="1:8">
      <c r="A43" s="18">
        <v>967.8285</v>
      </c>
      <c r="B43" s="12">
        <v>33</v>
      </c>
      <c r="C43" s="15" t="s">
        <v>129</v>
      </c>
      <c r="D43" s="19" t="s">
        <v>290</v>
      </c>
      <c r="E43" s="20" t="s">
        <v>33</v>
      </c>
      <c r="F43" s="21" t="s">
        <v>500</v>
      </c>
      <c r="G43" s="19">
        <v>0</v>
      </c>
      <c r="H43" s="15">
        <v>20250903</v>
      </c>
    </row>
    <row r="44" ht="15.75" spans="1:8">
      <c r="A44" s="18">
        <v>967.8305</v>
      </c>
      <c r="B44" s="68">
        <v>33</v>
      </c>
      <c r="C44" s="197" t="s">
        <v>25</v>
      </c>
      <c r="D44" s="197" t="s">
        <v>26</v>
      </c>
      <c r="E44" s="197" t="s">
        <v>27</v>
      </c>
      <c r="F44" s="121" t="s">
        <v>501</v>
      </c>
      <c r="G44" s="25">
        <v>1</v>
      </c>
      <c r="H44" s="15">
        <v>20250903</v>
      </c>
    </row>
    <row r="45" spans="1:8">
      <c r="A45" s="18">
        <v>967.8827</v>
      </c>
      <c r="B45" s="12">
        <v>39</v>
      </c>
      <c r="C45" s="15" t="s">
        <v>129</v>
      </c>
      <c r="D45" s="19" t="s">
        <v>290</v>
      </c>
      <c r="E45" s="20" t="s">
        <v>33</v>
      </c>
      <c r="F45" s="21" t="s">
        <v>502</v>
      </c>
      <c r="G45" s="19">
        <v>1</v>
      </c>
      <c r="H45" s="15">
        <v>20250903</v>
      </c>
    </row>
    <row r="46" spans="1:8">
      <c r="A46" s="18">
        <v>967.8827</v>
      </c>
      <c r="B46" s="25">
        <v>39</v>
      </c>
      <c r="C46" s="64" t="s">
        <v>17</v>
      </c>
      <c r="D46" s="64" t="s">
        <v>493</v>
      </c>
      <c r="E46" s="64" t="s">
        <v>154</v>
      </c>
      <c r="F46" s="121" t="s">
        <v>495</v>
      </c>
      <c r="G46" s="25">
        <v>1</v>
      </c>
      <c r="H46" s="15">
        <v>20250903</v>
      </c>
    </row>
    <row r="47" spans="1:8">
      <c r="A47" s="18">
        <v>967.8918</v>
      </c>
      <c r="B47" s="12">
        <v>40</v>
      </c>
      <c r="C47" s="15" t="s">
        <v>129</v>
      </c>
      <c r="D47" s="19" t="s">
        <v>228</v>
      </c>
      <c r="E47" s="20" t="s">
        <v>33</v>
      </c>
      <c r="F47" s="21" t="s">
        <v>503</v>
      </c>
      <c r="G47" s="19">
        <v>0</v>
      </c>
      <c r="H47" s="15">
        <v>20250903</v>
      </c>
    </row>
    <row r="48" ht="27" spans="1:8">
      <c r="A48" s="18">
        <v>967.9098</v>
      </c>
      <c r="B48" s="22">
        <v>42</v>
      </c>
      <c r="C48" s="22" t="s">
        <v>170</v>
      </c>
      <c r="D48" s="22" t="s">
        <v>170</v>
      </c>
      <c r="E48" s="22" t="s">
        <v>172</v>
      </c>
      <c r="F48" s="195" t="s">
        <v>489</v>
      </c>
      <c r="G48" s="189">
        <v>1</v>
      </c>
      <c r="H48" s="15">
        <v>20250903</v>
      </c>
    </row>
    <row r="49" spans="1:8">
      <c r="A49" s="18">
        <v>967.9188</v>
      </c>
      <c r="B49" s="12">
        <v>43</v>
      </c>
      <c r="C49" s="15" t="s">
        <v>129</v>
      </c>
      <c r="D49" s="19" t="s">
        <v>228</v>
      </c>
      <c r="E49" s="20" t="s">
        <v>33</v>
      </c>
      <c r="F49" s="21" t="s">
        <v>504</v>
      </c>
      <c r="G49" s="19">
        <v>0</v>
      </c>
      <c r="H49" s="15">
        <v>20250903</v>
      </c>
    </row>
    <row r="50" spans="1:8">
      <c r="A50" s="18">
        <v>967.9279</v>
      </c>
      <c r="B50" s="12">
        <v>44</v>
      </c>
      <c r="C50" s="15" t="s">
        <v>129</v>
      </c>
      <c r="D50" s="19" t="s">
        <v>290</v>
      </c>
      <c r="E50" s="20" t="s">
        <v>33</v>
      </c>
      <c r="F50" s="21" t="s">
        <v>505</v>
      </c>
      <c r="G50" s="19">
        <v>0</v>
      </c>
      <c r="H50" s="15">
        <v>20250903</v>
      </c>
    </row>
    <row r="51" spans="1:8">
      <c r="A51" s="18">
        <v>967.9644</v>
      </c>
      <c r="B51" s="12">
        <v>48</v>
      </c>
      <c r="C51" s="15" t="s">
        <v>129</v>
      </c>
      <c r="D51" s="19" t="s">
        <v>290</v>
      </c>
      <c r="E51" s="20" t="s">
        <v>33</v>
      </c>
      <c r="F51" s="21" t="s">
        <v>506</v>
      </c>
      <c r="G51" s="19">
        <v>0</v>
      </c>
      <c r="H51" s="15">
        <v>20250903</v>
      </c>
    </row>
    <row r="52" spans="1:8">
      <c r="A52" s="18">
        <v>967.9644</v>
      </c>
      <c r="B52" s="25">
        <v>48</v>
      </c>
      <c r="C52" s="64" t="s">
        <v>17</v>
      </c>
      <c r="D52" s="64" t="s">
        <v>493</v>
      </c>
      <c r="E52" s="64" t="s">
        <v>154</v>
      </c>
      <c r="F52" s="121" t="s">
        <v>495</v>
      </c>
      <c r="G52" s="25">
        <v>1</v>
      </c>
      <c r="H52" s="15">
        <v>20250903</v>
      </c>
    </row>
    <row r="53" spans="1:8">
      <c r="A53" s="112">
        <v>967.964</v>
      </c>
      <c r="B53" s="124">
        <v>47</v>
      </c>
      <c r="C53" s="180" t="s">
        <v>129</v>
      </c>
      <c r="D53" s="126" t="s">
        <v>290</v>
      </c>
      <c r="E53" s="125" t="s">
        <v>15</v>
      </c>
      <c r="F53" s="129" t="s">
        <v>507</v>
      </c>
      <c r="G53" s="126">
        <v>1</v>
      </c>
      <c r="H53" s="15">
        <v>20250903</v>
      </c>
    </row>
    <row r="54" spans="1:8">
      <c r="A54" s="18">
        <v>967.9778</v>
      </c>
      <c r="B54" s="199">
        <v>49</v>
      </c>
      <c r="C54" s="180" t="s">
        <v>129</v>
      </c>
      <c r="D54" s="173" t="s">
        <v>26</v>
      </c>
      <c r="E54" s="125" t="s">
        <v>15</v>
      </c>
      <c r="F54" s="129" t="s">
        <v>508</v>
      </c>
      <c r="G54" s="131">
        <v>1</v>
      </c>
      <c r="H54" s="15">
        <v>20250903</v>
      </c>
    </row>
    <row r="55" spans="1:8">
      <c r="A55" s="18">
        <v>967.9827</v>
      </c>
      <c r="B55" s="12">
        <v>50</v>
      </c>
      <c r="C55" s="15" t="s">
        <v>129</v>
      </c>
      <c r="D55" s="19" t="s">
        <v>228</v>
      </c>
      <c r="E55" s="20" t="s">
        <v>41</v>
      </c>
      <c r="F55" s="21" t="s">
        <v>509</v>
      </c>
      <c r="G55" s="19">
        <v>1</v>
      </c>
      <c r="H55" s="15">
        <v>20250903</v>
      </c>
    </row>
    <row r="56" spans="1:8">
      <c r="A56" s="18">
        <v>967.9827</v>
      </c>
      <c r="B56" s="12">
        <v>50</v>
      </c>
      <c r="C56" s="15" t="s">
        <v>129</v>
      </c>
      <c r="D56" s="19" t="s">
        <v>290</v>
      </c>
      <c r="E56" s="20" t="s">
        <v>33</v>
      </c>
      <c r="F56" s="21" t="s">
        <v>510</v>
      </c>
      <c r="G56" s="19">
        <v>0</v>
      </c>
      <c r="H56" s="15">
        <v>20250903</v>
      </c>
    </row>
    <row r="57" spans="1:8">
      <c r="A57" s="18">
        <v>967.9919</v>
      </c>
      <c r="B57" s="12">
        <v>51</v>
      </c>
      <c r="C57" s="15" t="s">
        <v>129</v>
      </c>
      <c r="D57" s="20" t="s">
        <v>49</v>
      </c>
      <c r="E57" s="19" t="s">
        <v>511</v>
      </c>
      <c r="F57" s="21" t="s">
        <v>512</v>
      </c>
      <c r="G57" s="19">
        <v>1</v>
      </c>
      <c r="H57" s="15">
        <v>20250903</v>
      </c>
    </row>
    <row r="58" spans="1:8">
      <c r="A58" s="18">
        <v>968.0205</v>
      </c>
      <c r="B58" s="12">
        <v>54</v>
      </c>
      <c r="C58" s="15" t="s">
        <v>129</v>
      </c>
      <c r="D58" s="19" t="s">
        <v>290</v>
      </c>
      <c r="E58" s="20" t="s">
        <v>33</v>
      </c>
      <c r="F58" s="21" t="s">
        <v>513</v>
      </c>
      <c r="G58" s="19">
        <v>0</v>
      </c>
      <c r="H58" s="15">
        <v>20250903</v>
      </c>
    </row>
    <row r="59" spans="1:8">
      <c r="A59" s="18">
        <v>968.0304</v>
      </c>
      <c r="B59" s="12">
        <v>55</v>
      </c>
      <c r="C59" s="15" t="s">
        <v>129</v>
      </c>
      <c r="D59" s="19" t="s">
        <v>290</v>
      </c>
      <c r="E59" s="20" t="s">
        <v>33</v>
      </c>
      <c r="F59" s="21" t="s">
        <v>514</v>
      </c>
      <c r="G59" s="19">
        <v>0</v>
      </c>
      <c r="H59" s="15">
        <v>20250903</v>
      </c>
    </row>
    <row r="60" spans="1:8">
      <c r="A60" s="18">
        <v>968.0386</v>
      </c>
      <c r="B60" s="15">
        <v>56</v>
      </c>
      <c r="C60" s="22" t="s">
        <v>253</v>
      </c>
      <c r="D60" s="22" t="s">
        <v>126</v>
      </c>
      <c r="E60" s="22" t="s">
        <v>515</v>
      </c>
      <c r="F60" s="31" t="s">
        <v>516</v>
      </c>
      <c r="G60" s="22">
        <v>1</v>
      </c>
      <c r="H60" s="15">
        <v>20250903</v>
      </c>
    </row>
    <row r="61" ht="27" spans="1:8">
      <c r="A61" s="18">
        <v>968.0792</v>
      </c>
      <c r="B61" s="22">
        <v>61</v>
      </c>
      <c r="C61" s="22" t="s">
        <v>170</v>
      </c>
      <c r="D61" s="22" t="s">
        <v>170</v>
      </c>
      <c r="E61" s="22" t="s">
        <v>172</v>
      </c>
      <c r="F61" s="195" t="s">
        <v>489</v>
      </c>
      <c r="G61" s="189">
        <v>1</v>
      </c>
      <c r="H61" s="15">
        <v>20250903</v>
      </c>
    </row>
    <row r="62" spans="1:8">
      <c r="A62" s="18">
        <v>968.0879</v>
      </c>
      <c r="B62" s="175">
        <v>62</v>
      </c>
      <c r="C62" s="180" t="s">
        <v>129</v>
      </c>
      <c r="D62" s="125" t="s">
        <v>43</v>
      </c>
      <c r="E62" s="125" t="s">
        <v>33</v>
      </c>
      <c r="F62" s="129" t="s">
        <v>517</v>
      </c>
      <c r="G62" s="126">
        <v>1</v>
      </c>
      <c r="H62" s="15">
        <v>20250903</v>
      </c>
    </row>
    <row r="63" ht="15.75" spans="1:8">
      <c r="A63" s="18">
        <v>968.0879</v>
      </c>
      <c r="B63" s="68">
        <v>62</v>
      </c>
      <c r="C63" s="197" t="s">
        <v>25</v>
      </c>
      <c r="D63" s="197" t="s">
        <v>26</v>
      </c>
      <c r="E63" s="197" t="s">
        <v>27</v>
      </c>
      <c r="F63" s="121" t="s">
        <v>518</v>
      </c>
      <c r="G63" s="25">
        <v>1</v>
      </c>
      <c r="H63" s="15">
        <v>20250903</v>
      </c>
    </row>
    <row r="64" ht="15.75" spans="1:8">
      <c r="A64" s="18">
        <v>968.092</v>
      </c>
      <c r="B64" s="68">
        <v>63</v>
      </c>
      <c r="C64" s="197" t="s">
        <v>25</v>
      </c>
      <c r="D64" s="197" t="s">
        <v>40</v>
      </c>
      <c r="E64" s="197" t="s">
        <v>27</v>
      </c>
      <c r="F64" s="188" t="s">
        <v>519</v>
      </c>
      <c r="G64" s="25">
        <v>1</v>
      </c>
      <c r="H64" s="15">
        <v>20250903</v>
      </c>
    </row>
    <row r="65" ht="15.75" spans="1:8">
      <c r="A65" s="18">
        <v>968.0963</v>
      </c>
      <c r="B65" s="68">
        <v>64</v>
      </c>
      <c r="C65" s="64" t="s">
        <v>25</v>
      </c>
      <c r="D65" s="64" t="s">
        <v>43</v>
      </c>
      <c r="E65" s="64" t="s">
        <v>470</v>
      </c>
      <c r="F65" s="121" t="s">
        <v>520</v>
      </c>
      <c r="G65" s="25">
        <v>1</v>
      </c>
      <c r="H65" s="15">
        <v>20250903</v>
      </c>
    </row>
    <row r="66" ht="40.5" spans="1:8">
      <c r="A66" s="18">
        <v>968.1548</v>
      </c>
      <c r="B66" s="15">
        <v>71</v>
      </c>
      <c r="C66" s="22" t="s">
        <v>21</v>
      </c>
      <c r="D66" s="200" t="s">
        <v>521</v>
      </c>
      <c r="E66" s="22" t="s">
        <v>58</v>
      </c>
      <c r="F66" s="31" t="s">
        <v>522</v>
      </c>
      <c r="G66" s="22">
        <v>1</v>
      </c>
      <c r="H66" s="15">
        <v>20250903</v>
      </c>
    </row>
    <row r="67" ht="15.75" spans="1:8">
      <c r="A67" s="18">
        <v>968.174</v>
      </c>
      <c r="B67" s="68">
        <v>73</v>
      </c>
      <c r="C67" s="64" t="s">
        <v>25</v>
      </c>
      <c r="D67" s="64" t="s">
        <v>49</v>
      </c>
      <c r="E67" s="64" t="s">
        <v>470</v>
      </c>
      <c r="F67" s="188" t="s">
        <v>523</v>
      </c>
      <c r="G67" s="25">
        <v>1</v>
      </c>
      <c r="H67" s="15">
        <v>20250903</v>
      </c>
    </row>
    <row r="68" spans="1:8">
      <c r="A68" s="18">
        <v>968.232</v>
      </c>
      <c r="B68" s="199">
        <v>79</v>
      </c>
      <c r="C68" s="180" t="s">
        <v>129</v>
      </c>
      <c r="D68" s="173" t="s">
        <v>524</v>
      </c>
      <c r="E68" s="125" t="s">
        <v>15</v>
      </c>
      <c r="F68" s="129" t="s">
        <v>525</v>
      </c>
      <c r="G68" s="126">
        <v>1</v>
      </c>
      <c r="H68" s="15">
        <v>20250903</v>
      </c>
    </row>
    <row r="69" ht="15.75" spans="1:8">
      <c r="A69" s="18">
        <v>968.2368</v>
      </c>
      <c r="B69" s="68">
        <v>80</v>
      </c>
      <c r="C69" s="64" t="s">
        <v>25</v>
      </c>
      <c r="D69" s="64" t="s">
        <v>9</v>
      </c>
      <c r="E69" s="64" t="s">
        <v>470</v>
      </c>
      <c r="F69" s="121" t="s">
        <v>526</v>
      </c>
      <c r="G69" s="25">
        <v>1</v>
      </c>
      <c r="H69" s="15">
        <v>20250903</v>
      </c>
    </row>
    <row r="70" ht="15.75" spans="1:8">
      <c r="A70" s="18">
        <v>968.2459</v>
      </c>
      <c r="B70" s="70">
        <v>81</v>
      </c>
      <c r="C70" s="64" t="s">
        <v>25</v>
      </c>
      <c r="D70" s="64" t="s">
        <v>43</v>
      </c>
      <c r="E70" s="64" t="s">
        <v>470</v>
      </c>
      <c r="F70" s="121" t="s">
        <v>527</v>
      </c>
      <c r="G70" s="25">
        <v>1</v>
      </c>
      <c r="H70" s="15">
        <v>20250903</v>
      </c>
    </row>
    <row r="71" spans="1:8">
      <c r="A71" s="18">
        <v>968.3115</v>
      </c>
      <c r="B71" s="12">
        <v>88</v>
      </c>
      <c r="C71" s="15" t="s">
        <v>129</v>
      </c>
      <c r="D71" s="19" t="s">
        <v>228</v>
      </c>
      <c r="E71" s="20" t="s">
        <v>41</v>
      </c>
      <c r="F71" s="21" t="s">
        <v>528</v>
      </c>
      <c r="G71" s="19">
        <v>1</v>
      </c>
      <c r="H71" s="15">
        <v>20250903</v>
      </c>
    </row>
    <row r="72" ht="15.75" spans="1:8">
      <c r="A72" s="18">
        <v>968.3085</v>
      </c>
      <c r="B72" s="25">
        <v>88</v>
      </c>
      <c r="C72" s="64" t="s">
        <v>25</v>
      </c>
      <c r="D72" s="64" t="s">
        <v>49</v>
      </c>
      <c r="E72" s="64" t="s">
        <v>470</v>
      </c>
      <c r="F72" s="121" t="s">
        <v>529</v>
      </c>
      <c r="G72" s="25">
        <v>1</v>
      </c>
      <c r="H72" s="15">
        <v>20250903</v>
      </c>
    </row>
    <row r="73" ht="25.5" spans="1:8">
      <c r="A73" s="18">
        <v>968.3356</v>
      </c>
      <c r="B73" s="12">
        <v>91</v>
      </c>
      <c r="C73" s="15" t="s">
        <v>129</v>
      </c>
      <c r="D73" s="20" t="s">
        <v>85</v>
      </c>
      <c r="E73" s="20" t="s">
        <v>41</v>
      </c>
      <c r="F73" s="21" t="s">
        <v>530</v>
      </c>
      <c r="G73" s="19">
        <v>1</v>
      </c>
      <c r="H73" s="15">
        <v>20250903</v>
      </c>
    </row>
    <row r="74" ht="15.75" spans="1:8">
      <c r="A74" s="18">
        <v>968.4015</v>
      </c>
      <c r="B74" s="68">
        <v>98</v>
      </c>
      <c r="C74" s="197" t="s">
        <v>25</v>
      </c>
      <c r="D74" s="197" t="s">
        <v>26</v>
      </c>
      <c r="E74" s="197" t="s">
        <v>27</v>
      </c>
      <c r="F74" s="121" t="s">
        <v>531</v>
      </c>
      <c r="G74" s="25">
        <v>1</v>
      </c>
      <c r="H74" s="15">
        <v>20250903</v>
      </c>
    </row>
    <row r="75" ht="30" customHeight="1" spans="1:8">
      <c r="A75" s="18">
        <v>968.425</v>
      </c>
      <c r="B75" s="137">
        <v>100</v>
      </c>
      <c r="C75" s="175" t="s">
        <v>21</v>
      </c>
      <c r="D75" s="173" t="s">
        <v>26</v>
      </c>
      <c r="E75" s="115" t="s">
        <v>29</v>
      </c>
      <c r="F75" s="192" t="s">
        <v>532</v>
      </c>
      <c r="G75" s="131">
        <v>1</v>
      </c>
      <c r="H75" s="15">
        <v>20250903</v>
      </c>
    </row>
    <row r="76" spans="1:8">
      <c r="A76" s="18">
        <v>968.427</v>
      </c>
      <c r="B76" s="12">
        <v>101</v>
      </c>
      <c r="C76" s="15" t="s">
        <v>129</v>
      </c>
      <c r="D76" s="19" t="s">
        <v>228</v>
      </c>
      <c r="E76" s="20" t="s">
        <v>41</v>
      </c>
      <c r="F76" s="21" t="s">
        <v>533</v>
      </c>
      <c r="G76" s="19">
        <v>1</v>
      </c>
      <c r="H76" s="15">
        <v>20250903</v>
      </c>
    </row>
    <row r="77" spans="1:8">
      <c r="A77" s="18">
        <v>968.4464</v>
      </c>
      <c r="B77" s="124">
        <v>103</v>
      </c>
      <c r="C77" s="180" t="s">
        <v>129</v>
      </c>
      <c r="D77" s="173" t="s">
        <v>524</v>
      </c>
      <c r="E77" s="125" t="s">
        <v>15</v>
      </c>
      <c r="F77" s="129" t="s">
        <v>534</v>
      </c>
      <c r="G77" s="126">
        <v>1</v>
      </c>
      <c r="H77" s="15">
        <v>20250903</v>
      </c>
    </row>
    <row r="78" spans="1:8">
      <c r="A78" s="18">
        <v>968.461</v>
      </c>
      <c r="B78" s="124">
        <v>105</v>
      </c>
      <c r="C78" s="201" t="s">
        <v>17</v>
      </c>
      <c r="D78" s="173" t="s">
        <v>177</v>
      </c>
      <c r="E78" s="173" t="s">
        <v>394</v>
      </c>
      <c r="F78" s="192" t="s">
        <v>535</v>
      </c>
      <c r="G78" s="134">
        <v>1</v>
      </c>
      <c r="H78" s="15">
        <v>20250903</v>
      </c>
    </row>
    <row r="79" ht="30" customHeight="1" spans="1:8">
      <c r="A79" s="18">
        <v>968.463</v>
      </c>
      <c r="B79" s="137">
        <v>105</v>
      </c>
      <c r="C79" s="175" t="s">
        <v>21</v>
      </c>
      <c r="D79" s="173" t="s">
        <v>40</v>
      </c>
      <c r="E79" s="115" t="s">
        <v>29</v>
      </c>
      <c r="F79" s="190" t="s">
        <v>536</v>
      </c>
      <c r="G79" s="131">
        <v>1</v>
      </c>
      <c r="H79" s="15">
        <v>20250903</v>
      </c>
    </row>
    <row r="80" spans="1:8">
      <c r="A80" s="112">
        <v>968.562</v>
      </c>
      <c r="B80" s="180">
        <v>116</v>
      </c>
      <c r="C80" s="180" t="s">
        <v>129</v>
      </c>
      <c r="D80" s="126" t="s">
        <v>231</v>
      </c>
      <c r="E80" s="125" t="s">
        <v>15</v>
      </c>
      <c r="F80" s="129" t="s">
        <v>537</v>
      </c>
      <c r="G80" s="177">
        <v>1</v>
      </c>
      <c r="H80" s="15">
        <v>20250903</v>
      </c>
    </row>
    <row r="81" ht="15.75" spans="1:8">
      <c r="A81" s="18">
        <v>968.5696</v>
      </c>
      <c r="B81" s="25">
        <v>117</v>
      </c>
      <c r="C81" s="64" t="s">
        <v>25</v>
      </c>
      <c r="D81" s="64" t="s">
        <v>49</v>
      </c>
      <c r="E81" s="64" t="s">
        <v>470</v>
      </c>
      <c r="F81" s="121" t="s">
        <v>538</v>
      </c>
      <c r="G81" s="25">
        <v>1</v>
      </c>
      <c r="H81" s="15">
        <v>20250903</v>
      </c>
    </row>
    <row r="82" spans="1:8">
      <c r="A82" s="18">
        <v>968.6407</v>
      </c>
      <c r="B82" s="12">
        <v>125</v>
      </c>
      <c r="C82" s="15" t="s">
        <v>129</v>
      </c>
      <c r="D82" s="15" t="s">
        <v>179</v>
      </c>
      <c r="E82" s="12" t="s">
        <v>158</v>
      </c>
      <c r="F82" s="123" t="s">
        <v>539</v>
      </c>
      <c r="G82" s="12">
        <v>1</v>
      </c>
      <c r="H82" s="15">
        <v>20250903</v>
      </c>
    </row>
    <row r="83" spans="1:8">
      <c r="A83" s="18" t="s">
        <v>91</v>
      </c>
      <c r="B83" s="124" t="s">
        <v>91</v>
      </c>
      <c r="C83" s="201" t="s">
        <v>17</v>
      </c>
      <c r="D83" s="180" t="s">
        <v>91</v>
      </c>
      <c r="E83" s="124" t="s">
        <v>91</v>
      </c>
      <c r="F83" s="183" t="s">
        <v>540</v>
      </c>
      <c r="G83" s="124">
        <v>0</v>
      </c>
      <c r="H83" s="15">
        <v>20250903</v>
      </c>
    </row>
    <row r="84" spans="1:8">
      <c r="A84" s="18" t="s">
        <v>91</v>
      </c>
      <c r="B84" s="124" t="s">
        <v>91</v>
      </c>
      <c r="C84" s="180" t="s">
        <v>447</v>
      </c>
      <c r="D84" s="181" t="s">
        <v>91</v>
      </c>
      <c r="E84" s="181" t="s">
        <v>91</v>
      </c>
      <c r="F84" s="182" t="s">
        <v>448</v>
      </c>
      <c r="G84" s="181">
        <v>0</v>
      </c>
      <c r="H84" s="15">
        <v>20250903</v>
      </c>
    </row>
    <row r="85" ht="27" spans="1:8">
      <c r="A85" s="202" t="s">
        <v>91</v>
      </c>
      <c r="B85" s="203" t="s">
        <v>92</v>
      </c>
      <c r="C85" s="200" t="s">
        <v>95</v>
      </c>
      <c r="D85" s="200" t="s">
        <v>95</v>
      </c>
      <c r="E85" s="200" t="s">
        <v>91</v>
      </c>
      <c r="F85" s="195" t="s">
        <v>541</v>
      </c>
      <c r="G85" s="189">
        <v>0</v>
      </c>
      <c r="H85" s="15">
        <v>20250903</v>
      </c>
    </row>
    <row r="86" spans="1:8">
      <c r="A86" s="14"/>
      <c r="B86" s="14"/>
      <c r="E86" s="16"/>
      <c r="G86" s="16"/>
    </row>
  </sheetData>
  <autoFilter xmlns:etc="http://www.wps.cn/officeDocument/2017/etCustomData" ref="A1:H85" etc:filterBottomFollowUsedRange="0">
    <extLst/>
  </autoFilter>
  <sortState ref="A2:H120">
    <sortCondition ref="B2:B120"/>
  </sortState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140"/>
  <sheetViews>
    <sheetView workbookViewId="0">
      <selection activeCell="C110" sqref="C110"/>
    </sheetView>
  </sheetViews>
  <sheetFormatPr defaultColWidth="9" defaultRowHeight="15" outlineLevelCol="7"/>
  <cols>
    <col min="1" max="1" width="9" style="16"/>
    <col min="2" max="3" width="9" style="12"/>
    <col min="4" max="4" width="10.625" style="12" customWidth="1"/>
    <col min="5" max="5" width="10.875" style="12" customWidth="1"/>
    <col min="6" max="6" width="84.125" style="39" customWidth="1"/>
    <col min="7" max="7" width="9" style="12"/>
    <col min="8" max="8" width="9.5" style="12" customWidth="1"/>
  </cols>
  <sheetData>
    <row r="1" ht="27" spans="1:8">
      <c r="A1" s="14" t="s">
        <v>112</v>
      </c>
      <c r="B1" s="14" t="s">
        <v>113</v>
      </c>
      <c r="C1" s="14" t="s">
        <v>2</v>
      </c>
      <c r="D1" s="14" t="s">
        <v>3</v>
      </c>
      <c r="E1" s="14" t="s">
        <v>4</v>
      </c>
      <c r="F1" s="94" t="s">
        <v>114</v>
      </c>
      <c r="G1" s="14" t="s">
        <v>6</v>
      </c>
      <c r="H1" s="14" t="s">
        <v>7</v>
      </c>
    </row>
    <row r="2" spans="1:8">
      <c r="A2" s="18">
        <v>968.61</v>
      </c>
      <c r="B2" s="22" t="s">
        <v>91</v>
      </c>
      <c r="C2" s="12" t="s">
        <v>542</v>
      </c>
      <c r="D2" s="22" t="s">
        <v>115</v>
      </c>
      <c r="E2" s="22" t="s">
        <v>543</v>
      </c>
      <c r="F2" s="188" t="s">
        <v>544</v>
      </c>
      <c r="G2" s="189">
        <v>0</v>
      </c>
      <c r="H2" s="15">
        <v>20250903</v>
      </c>
    </row>
    <row r="3" spans="1:8">
      <c r="A3" s="18">
        <v>968.61</v>
      </c>
      <c r="B3" s="177" t="s">
        <v>91</v>
      </c>
      <c r="C3" s="124" t="s">
        <v>542</v>
      </c>
      <c r="D3" s="175" t="s">
        <v>115</v>
      </c>
      <c r="E3" s="175" t="s">
        <v>91</v>
      </c>
      <c r="F3" s="182" t="s">
        <v>545</v>
      </c>
      <c r="G3" s="181">
        <v>0</v>
      </c>
      <c r="H3" s="15">
        <v>20250903</v>
      </c>
    </row>
    <row r="4" ht="15.75" spans="1:8">
      <c r="A4" s="18">
        <v>967.579</v>
      </c>
      <c r="B4" s="12" t="s">
        <v>91</v>
      </c>
      <c r="C4" s="12" t="s">
        <v>542</v>
      </c>
      <c r="D4" s="12" t="s">
        <v>546</v>
      </c>
      <c r="E4" s="27" t="s">
        <v>547</v>
      </c>
      <c r="F4" s="31" t="s">
        <v>548</v>
      </c>
      <c r="G4" s="27">
        <v>0</v>
      </c>
      <c r="H4" s="15">
        <v>20250903</v>
      </c>
    </row>
    <row r="5" ht="15.75" spans="1:8">
      <c r="A5" s="18">
        <v>967.579</v>
      </c>
      <c r="B5" s="12" t="s">
        <v>91</v>
      </c>
      <c r="C5" s="12" t="s">
        <v>542</v>
      </c>
      <c r="D5" s="12" t="s">
        <v>546</v>
      </c>
      <c r="E5" s="12" t="s">
        <v>118</v>
      </c>
      <c r="F5" s="31" t="s">
        <v>549</v>
      </c>
      <c r="G5" s="27">
        <v>2</v>
      </c>
      <c r="H5" s="15">
        <v>20250903</v>
      </c>
    </row>
    <row r="6" ht="15.75" spans="1:8">
      <c r="A6" s="18">
        <v>968.61</v>
      </c>
      <c r="B6" s="12" t="s">
        <v>91</v>
      </c>
      <c r="C6" s="12" t="s">
        <v>224</v>
      </c>
      <c r="D6" s="12" t="s">
        <v>550</v>
      </c>
      <c r="E6" s="12" t="s">
        <v>551</v>
      </c>
      <c r="F6" s="31" t="s">
        <v>552</v>
      </c>
      <c r="G6" s="27">
        <v>0</v>
      </c>
      <c r="H6" s="15">
        <v>20250903</v>
      </c>
    </row>
    <row r="7" spans="1:8">
      <c r="A7" s="18">
        <v>968.61</v>
      </c>
      <c r="B7" s="124" t="s">
        <v>91</v>
      </c>
      <c r="C7" s="175" t="s">
        <v>553</v>
      </c>
      <c r="D7" s="175" t="s">
        <v>115</v>
      </c>
      <c r="E7" s="124" t="s">
        <v>554</v>
      </c>
      <c r="F7" s="182" t="s">
        <v>555</v>
      </c>
      <c r="G7" s="181">
        <v>1</v>
      </c>
      <c r="H7" s="15">
        <v>20250903</v>
      </c>
    </row>
    <row r="8" spans="1:8">
      <c r="A8" s="18">
        <v>968.6055</v>
      </c>
      <c r="B8" s="12">
        <v>1</v>
      </c>
      <c r="C8" s="12" t="s">
        <v>129</v>
      </c>
      <c r="D8" s="12" t="s">
        <v>179</v>
      </c>
      <c r="E8" s="27" t="s">
        <v>158</v>
      </c>
      <c r="F8" s="31" t="s">
        <v>556</v>
      </c>
      <c r="G8" s="27">
        <v>1</v>
      </c>
      <c r="H8" s="15">
        <v>20250903</v>
      </c>
    </row>
    <row r="9" spans="1:8">
      <c r="A9" s="18">
        <v>968.607</v>
      </c>
      <c r="B9" s="111">
        <v>1</v>
      </c>
      <c r="C9" s="25" t="s">
        <v>247</v>
      </c>
      <c r="D9" s="25" t="s">
        <v>242</v>
      </c>
      <c r="E9" s="25" t="s">
        <v>250</v>
      </c>
      <c r="F9" s="118" t="s">
        <v>557</v>
      </c>
      <c r="G9" s="111">
        <v>1</v>
      </c>
      <c r="H9" s="15">
        <v>20250903</v>
      </c>
    </row>
    <row r="10" spans="1:8">
      <c r="A10" s="18">
        <v>968.5999</v>
      </c>
      <c r="B10" s="27">
        <v>2</v>
      </c>
      <c r="C10" s="12" t="s">
        <v>129</v>
      </c>
      <c r="D10" s="27" t="s">
        <v>151</v>
      </c>
      <c r="E10" s="27" t="s">
        <v>158</v>
      </c>
      <c r="F10" s="31" t="s">
        <v>558</v>
      </c>
      <c r="G10" s="27">
        <v>0</v>
      </c>
      <c r="H10" s="15">
        <v>20250903</v>
      </c>
    </row>
    <row r="11" ht="15.75" spans="1:8">
      <c r="A11" s="18">
        <v>968.6019</v>
      </c>
      <c r="B11" s="27">
        <v>2</v>
      </c>
      <c r="C11" s="12" t="s">
        <v>129</v>
      </c>
      <c r="D11" s="27" t="s">
        <v>151</v>
      </c>
      <c r="E11" s="27" t="s">
        <v>139</v>
      </c>
      <c r="F11" s="31" t="s">
        <v>559</v>
      </c>
      <c r="G11" s="27">
        <v>0</v>
      </c>
      <c r="H11" s="15">
        <v>20250903</v>
      </c>
    </row>
    <row r="12" ht="15.75" spans="1:8">
      <c r="A12" s="18">
        <v>968.6019</v>
      </c>
      <c r="B12" s="27">
        <v>2</v>
      </c>
      <c r="C12" s="12" t="s">
        <v>129</v>
      </c>
      <c r="D12" s="27" t="s">
        <v>130</v>
      </c>
      <c r="E12" s="27" t="s">
        <v>136</v>
      </c>
      <c r="F12" s="31" t="s">
        <v>143</v>
      </c>
      <c r="G12" s="27">
        <v>1</v>
      </c>
      <c r="H12" s="15">
        <v>20250903</v>
      </c>
    </row>
    <row r="13" spans="1:8">
      <c r="A13" s="112">
        <v>968.591</v>
      </c>
      <c r="B13" s="175">
        <v>3</v>
      </c>
      <c r="C13" s="124" t="s">
        <v>129</v>
      </c>
      <c r="D13" s="124" t="s">
        <v>179</v>
      </c>
      <c r="E13" s="181" t="s">
        <v>158</v>
      </c>
      <c r="F13" s="182" t="s">
        <v>560</v>
      </c>
      <c r="G13" s="175">
        <v>1</v>
      </c>
      <c r="H13" s="15">
        <v>20250903</v>
      </c>
    </row>
    <row r="14" spans="1:8">
      <c r="A14" s="18">
        <v>968.5677</v>
      </c>
      <c r="B14" s="27">
        <v>6</v>
      </c>
      <c r="C14" s="12" t="s">
        <v>129</v>
      </c>
      <c r="D14" s="27" t="s">
        <v>151</v>
      </c>
      <c r="E14" s="27" t="s">
        <v>158</v>
      </c>
      <c r="F14" s="31" t="s">
        <v>561</v>
      </c>
      <c r="G14" s="27">
        <v>1</v>
      </c>
      <c r="H14" s="15">
        <v>20250903</v>
      </c>
    </row>
    <row r="15" ht="15.75" spans="1:8">
      <c r="A15" s="18">
        <v>968.5086</v>
      </c>
      <c r="B15" s="27">
        <v>12</v>
      </c>
      <c r="C15" s="12" t="s">
        <v>129</v>
      </c>
      <c r="D15" s="27" t="s">
        <v>130</v>
      </c>
      <c r="E15" s="27" t="s">
        <v>136</v>
      </c>
      <c r="F15" s="31" t="s">
        <v>562</v>
      </c>
      <c r="G15" s="27">
        <v>1</v>
      </c>
      <c r="H15" s="15">
        <v>20250903</v>
      </c>
    </row>
    <row r="16" ht="15.75" spans="1:8">
      <c r="A16" s="18">
        <v>968.5079</v>
      </c>
      <c r="B16" s="27">
        <v>13</v>
      </c>
      <c r="C16" s="12" t="s">
        <v>129</v>
      </c>
      <c r="D16" s="27" t="s">
        <v>130</v>
      </c>
      <c r="E16" s="27" t="s">
        <v>136</v>
      </c>
      <c r="F16" s="31" t="s">
        <v>563</v>
      </c>
      <c r="G16" s="27">
        <v>1</v>
      </c>
      <c r="H16" s="15">
        <v>20250903</v>
      </c>
    </row>
    <row r="17" ht="15.75" spans="1:8">
      <c r="A17" s="18">
        <v>968.4951</v>
      </c>
      <c r="B17" s="27">
        <v>14</v>
      </c>
      <c r="C17" s="12" t="s">
        <v>129</v>
      </c>
      <c r="D17" s="27" t="s">
        <v>130</v>
      </c>
      <c r="E17" s="27" t="s">
        <v>136</v>
      </c>
      <c r="F17" s="31" t="s">
        <v>564</v>
      </c>
      <c r="G17" s="27">
        <v>1</v>
      </c>
      <c r="H17" s="15">
        <v>20250903</v>
      </c>
    </row>
    <row r="18" spans="1:8">
      <c r="A18" s="18">
        <v>968.485</v>
      </c>
      <c r="B18" s="175">
        <v>15</v>
      </c>
      <c r="C18" s="124" t="s">
        <v>129</v>
      </c>
      <c r="D18" s="181" t="s">
        <v>151</v>
      </c>
      <c r="E18" s="175" t="s">
        <v>565</v>
      </c>
      <c r="F18" s="182" t="s">
        <v>566</v>
      </c>
      <c r="G18" s="175">
        <v>1</v>
      </c>
      <c r="H18" s="15">
        <v>20250903</v>
      </c>
    </row>
    <row r="19" ht="15.75" spans="1:8">
      <c r="A19" s="18">
        <v>968.4833</v>
      </c>
      <c r="B19" s="27">
        <v>15</v>
      </c>
      <c r="C19" s="12" t="s">
        <v>129</v>
      </c>
      <c r="D19" s="27" t="s">
        <v>135</v>
      </c>
      <c r="E19" s="27" t="s">
        <v>136</v>
      </c>
      <c r="F19" s="31" t="s">
        <v>562</v>
      </c>
      <c r="G19" s="27">
        <v>1</v>
      </c>
      <c r="H19" s="15">
        <v>20250903</v>
      </c>
    </row>
    <row r="20" spans="1:8">
      <c r="A20" s="18">
        <v>968.458</v>
      </c>
      <c r="B20" s="175">
        <v>18</v>
      </c>
      <c r="C20" s="124" t="s">
        <v>129</v>
      </c>
      <c r="D20" s="131" t="s">
        <v>242</v>
      </c>
      <c r="E20" s="181" t="s">
        <v>158</v>
      </c>
      <c r="F20" s="182" t="s">
        <v>567</v>
      </c>
      <c r="G20" s="181">
        <v>1</v>
      </c>
      <c r="H20" s="15">
        <v>20250903</v>
      </c>
    </row>
    <row r="21" spans="1:8">
      <c r="A21" s="18">
        <v>968.4475</v>
      </c>
      <c r="B21" s="27">
        <v>19</v>
      </c>
      <c r="C21" s="12" t="s">
        <v>129</v>
      </c>
      <c r="D21" s="27" t="s">
        <v>135</v>
      </c>
      <c r="E21" s="27" t="s">
        <v>158</v>
      </c>
      <c r="F21" s="31" t="s">
        <v>568</v>
      </c>
      <c r="G21" s="27">
        <v>1</v>
      </c>
      <c r="H21" s="15">
        <v>20250903</v>
      </c>
    </row>
    <row r="22" spans="1:8">
      <c r="A22" s="18">
        <v>968.4472</v>
      </c>
      <c r="B22" s="27">
        <v>20</v>
      </c>
      <c r="C22" s="12" t="s">
        <v>129</v>
      </c>
      <c r="D22" s="27" t="s">
        <v>138</v>
      </c>
      <c r="E22" s="27" t="s">
        <v>158</v>
      </c>
      <c r="F22" s="31" t="s">
        <v>569</v>
      </c>
      <c r="G22" s="27">
        <v>1</v>
      </c>
      <c r="H22" s="15">
        <v>20250903</v>
      </c>
    </row>
    <row r="23" ht="30" customHeight="1" spans="1:8">
      <c r="A23" s="18">
        <v>968.437</v>
      </c>
      <c r="B23" s="181">
        <v>21</v>
      </c>
      <c r="C23" s="175" t="s">
        <v>21</v>
      </c>
      <c r="D23" s="181" t="s">
        <v>570</v>
      </c>
      <c r="E23" s="181" t="s">
        <v>571</v>
      </c>
      <c r="F23" s="190" t="s">
        <v>572</v>
      </c>
      <c r="G23" s="181">
        <v>1</v>
      </c>
      <c r="H23" s="15">
        <v>20250903</v>
      </c>
    </row>
    <row r="24" spans="1:8">
      <c r="A24" s="18">
        <v>968.43</v>
      </c>
      <c r="B24" s="27">
        <v>21</v>
      </c>
      <c r="C24" s="12" t="s">
        <v>129</v>
      </c>
      <c r="D24" s="27" t="s">
        <v>151</v>
      </c>
      <c r="E24" s="27" t="s">
        <v>158</v>
      </c>
      <c r="F24" s="31" t="s">
        <v>573</v>
      </c>
      <c r="G24" s="27">
        <v>0</v>
      </c>
      <c r="H24" s="15">
        <v>20250903</v>
      </c>
    </row>
    <row r="25" spans="1:8">
      <c r="A25" s="18">
        <v>968.414</v>
      </c>
      <c r="B25" s="181">
        <v>23</v>
      </c>
      <c r="C25" s="177" t="s">
        <v>253</v>
      </c>
      <c r="D25" s="175" t="s">
        <v>126</v>
      </c>
      <c r="E25" s="175" t="s">
        <v>574</v>
      </c>
      <c r="F25" s="182" t="s">
        <v>575</v>
      </c>
      <c r="G25" s="113">
        <v>1</v>
      </c>
      <c r="H25" s="15">
        <v>20250903</v>
      </c>
    </row>
    <row r="26" spans="1:8">
      <c r="A26" s="18">
        <v>968.4035</v>
      </c>
      <c r="B26" s="181">
        <v>25</v>
      </c>
      <c r="C26" s="175" t="s">
        <v>253</v>
      </c>
      <c r="D26" s="175" t="s">
        <v>261</v>
      </c>
      <c r="E26" s="175" t="s">
        <v>515</v>
      </c>
      <c r="F26" s="182" t="s">
        <v>576</v>
      </c>
      <c r="G26" s="181">
        <v>1</v>
      </c>
      <c r="H26" s="15">
        <v>20250903</v>
      </c>
    </row>
    <row r="27" ht="15.75" spans="1:8">
      <c r="A27" s="18">
        <v>968.3985</v>
      </c>
      <c r="B27" s="110">
        <v>25</v>
      </c>
      <c r="C27" s="110" t="s">
        <v>238</v>
      </c>
      <c r="D27" s="110" t="s">
        <v>242</v>
      </c>
      <c r="E27" s="110" t="s">
        <v>240</v>
      </c>
      <c r="F27" s="118" t="s">
        <v>577</v>
      </c>
      <c r="G27" s="111">
        <v>1</v>
      </c>
      <c r="H27" s="15">
        <v>20250903</v>
      </c>
    </row>
    <row r="28" spans="1:8">
      <c r="A28" s="18">
        <v>968.379</v>
      </c>
      <c r="B28" s="131">
        <v>27</v>
      </c>
      <c r="C28" s="124" t="s">
        <v>129</v>
      </c>
      <c r="D28" s="131" t="s">
        <v>242</v>
      </c>
      <c r="E28" s="175" t="s">
        <v>282</v>
      </c>
      <c r="F28" s="116" t="s">
        <v>578</v>
      </c>
      <c r="G28" s="131">
        <v>1</v>
      </c>
      <c r="H28" s="15">
        <v>20250903</v>
      </c>
    </row>
    <row r="29" ht="15.75" spans="1:8">
      <c r="A29" s="18">
        <v>968.3824</v>
      </c>
      <c r="B29" s="27">
        <v>27</v>
      </c>
      <c r="C29" s="12" t="s">
        <v>129</v>
      </c>
      <c r="D29" s="27" t="s">
        <v>130</v>
      </c>
      <c r="E29" s="27" t="s">
        <v>136</v>
      </c>
      <c r="F29" s="31" t="s">
        <v>579</v>
      </c>
      <c r="G29" s="27">
        <v>1</v>
      </c>
      <c r="H29" s="15">
        <v>20250903</v>
      </c>
    </row>
    <row r="30" ht="15.75" spans="1:8">
      <c r="A30" s="18">
        <v>968.3713</v>
      </c>
      <c r="B30" s="27">
        <v>28</v>
      </c>
      <c r="C30" s="12" t="s">
        <v>129</v>
      </c>
      <c r="D30" s="27" t="s">
        <v>130</v>
      </c>
      <c r="E30" s="27" t="s">
        <v>136</v>
      </c>
      <c r="F30" s="31" t="s">
        <v>580</v>
      </c>
      <c r="G30" s="27">
        <v>1</v>
      </c>
      <c r="H30" s="15">
        <v>20250903</v>
      </c>
    </row>
    <row r="31" ht="15.75" spans="1:8">
      <c r="A31" s="18">
        <v>968.3675</v>
      </c>
      <c r="B31" s="191">
        <v>29</v>
      </c>
      <c r="C31" s="12" t="s">
        <v>129</v>
      </c>
      <c r="D31" s="27" t="s">
        <v>130</v>
      </c>
      <c r="E31" s="27" t="s">
        <v>136</v>
      </c>
      <c r="F31" s="31" t="s">
        <v>581</v>
      </c>
      <c r="G31" s="27">
        <v>1</v>
      </c>
      <c r="H31" s="15">
        <v>20250903</v>
      </c>
    </row>
    <row r="32" spans="1:8">
      <c r="A32" s="18">
        <v>968.355</v>
      </c>
      <c r="B32" s="181">
        <v>30</v>
      </c>
      <c r="C32" s="124" t="s">
        <v>129</v>
      </c>
      <c r="D32" s="181" t="s">
        <v>151</v>
      </c>
      <c r="E32" s="181" t="s">
        <v>131</v>
      </c>
      <c r="F32" s="182" t="s">
        <v>582</v>
      </c>
      <c r="G32" s="181">
        <v>1</v>
      </c>
      <c r="H32" s="15">
        <v>20250903</v>
      </c>
    </row>
    <row r="33" spans="1:8">
      <c r="A33" s="18">
        <v>968.3599</v>
      </c>
      <c r="B33" s="191">
        <v>30</v>
      </c>
      <c r="C33" s="12" t="s">
        <v>129</v>
      </c>
      <c r="D33" s="27" t="s">
        <v>135</v>
      </c>
      <c r="E33" s="27" t="s">
        <v>158</v>
      </c>
      <c r="F33" s="31" t="s">
        <v>583</v>
      </c>
      <c r="G33" s="27">
        <v>1</v>
      </c>
      <c r="H33" s="15">
        <v>20250903</v>
      </c>
    </row>
    <row r="34" spans="1:8">
      <c r="A34" s="18">
        <v>968.3599</v>
      </c>
      <c r="B34" s="191">
        <v>30</v>
      </c>
      <c r="C34" s="12" t="s">
        <v>129</v>
      </c>
      <c r="D34" s="27" t="s">
        <v>151</v>
      </c>
      <c r="E34" s="27" t="s">
        <v>158</v>
      </c>
      <c r="F34" s="31" t="s">
        <v>583</v>
      </c>
      <c r="G34" s="27">
        <v>1</v>
      </c>
      <c r="H34" s="15">
        <v>20250903</v>
      </c>
    </row>
    <row r="35" spans="1:8">
      <c r="A35" s="18">
        <v>968.3599</v>
      </c>
      <c r="B35" s="191">
        <v>30</v>
      </c>
      <c r="C35" s="12" t="s">
        <v>129</v>
      </c>
      <c r="D35" s="27" t="s">
        <v>130</v>
      </c>
      <c r="E35" s="27" t="s">
        <v>158</v>
      </c>
      <c r="F35" s="31" t="s">
        <v>583</v>
      </c>
      <c r="G35" s="27">
        <v>1</v>
      </c>
      <c r="H35" s="15">
        <v>20250903</v>
      </c>
    </row>
    <row r="36" ht="28.5" spans="1:8">
      <c r="A36" s="18">
        <v>968.3451</v>
      </c>
      <c r="B36" s="191">
        <v>31</v>
      </c>
      <c r="C36" s="12" t="s">
        <v>129</v>
      </c>
      <c r="D36" s="27" t="s">
        <v>584</v>
      </c>
      <c r="E36" s="27" t="s">
        <v>158</v>
      </c>
      <c r="F36" s="188" t="s">
        <v>585</v>
      </c>
      <c r="G36" s="189">
        <v>1</v>
      </c>
      <c r="H36" s="15">
        <v>20250903</v>
      </c>
    </row>
    <row r="37" spans="1:8">
      <c r="A37" s="18">
        <v>968.3513</v>
      </c>
      <c r="B37" s="191">
        <v>31</v>
      </c>
      <c r="C37" s="12" t="s">
        <v>129</v>
      </c>
      <c r="D37" s="27" t="s">
        <v>151</v>
      </c>
      <c r="E37" s="27" t="s">
        <v>158</v>
      </c>
      <c r="F37" s="31" t="s">
        <v>586</v>
      </c>
      <c r="G37" s="27">
        <v>1</v>
      </c>
      <c r="H37" s="15">
        <v>20250903</v>
      </c>
    </row>
    <row r="38" ht="15.75" spans="1:8">
      <c r="A38" s="18">
        <v>968.3471</v>
      </c>
      <c r="B38" s="191">
        <v>31</v>
      </c>
      <c r="C38" s="12" t="s">
        <v>129</v>
      </c>
      <c r="D38" s="27" t="s">
        <v>130</v>
      </c>
      <c r="E38" s="27" t="s">
        <v>136</v>
      </c>
      <c r="F38" s="31" t="s">
        <v>587</v>
      </c>
      <c r="G38" s="27">
        <v>1</v>
      </c>
      <c r="H38" s="15">
        <v>20250903</v>
      </c>
    </row>
    <row r="39" ht="15.75" spans="1:8">
      <c r="A39" s="18">
        <v>968.3403</v>
      </c>
      <c r="B39" s="110">
        <v>32</v>
      </c>
      <c r="C39" s="25" t="s">
        <v>238</v>
      </c>
      <c r="D39" s="25" t="s">
        <v>264</v>
      </c>
      <c r="E39" s="25" t="s">
        <v>244</v>
      </c>
      <c r="F39" s="118" t="s">
        <v>588</v>
      </c>
      <c r="G39" s="111">
        <v>1</v>
      </c>
      <c r="H39" s="15">
        <v>20250903</v>
      </c>
    </row>
    <row r="40" spans="1:8">
      <c r="A40" s="18">
        <v>968.323</v>
      </c>
      <c r="B40" s="131">
        <v>34</v>
      </c>
      <c r="C40" s="124" t="s">
        <v>129</v>
      </c>
      <c r="D40" s="131" t="s">
        <v>242</v>
      </c>
      <c r="E40" s="181" t="s">
        <v>158</v>
      </c>
      <c r="F40" s="116" t="s">
        <v>589</v>
      </c>
      <c r="G40" s="113">
        <v>1</v>
      </c>
      <c r="H40" s="15">
        <v>20250903</v>
      </c>
    </row>
    <row r="41" spans="1:8">
      <c r="A41" s="18">
        <v>968.3159</v>
      </c>
      <c r="B41" s="191">
        <v>35</v>
      </c>
      <c r="C41" s="12" t="s">
        <v>129</v>
      </c>
      <c r="D41" s="27" t="s">
        <v>151</v>
      </c>
      <c r="E41" s="27" t="s">
        <v>158</v>
      </c>
      <c r="F41" s="31" t="s">
        <v>590</v>
      </c>
      <c r="G41" s="27">
        <v>0</v>
      </c>
      <c r="H41" s="15">
        <v>20250903</v>
      </c>
    </row>
    <row r="42" ht="15.75" spans="1:8">
      <c r="A42" s="18">
        <v>968.3089</v>
      </c>
      <c r="B42" s="110">
        <v>35</v>
      </c>
      <c r="C42" s="25" t="s">
        <v>238</v>
      </c>
      <c r="D42" s="25" t="s">
        <v>264</v>
      </c>
      <c r="E42" s="25" t="s">
        <v>244</v>
      </c>
      <c r="F42" s="118" t="s">
        <v>591</v>
      </c>
      <c r="G42" s="111">
        <v>1</v>
      </c>
      <c r="H42" s="15">
        <v>20250903</v>
      </c>
    </row>
    <row r="43" ht="15.75" spans="1:8">
      <c r="A43" s="18">
        <v>968.2502</v>
      </c>
      <c r="B43" s="110">
        <v>42</v>
      </c>
      <c r="C43" s="25" t="s">
        <v>238</v>
      </c>
      <c r="D43" s="25" t="s">
        <v>264</v>
      </c>
      <c r="E43" s="25" t="s">
        <v>244</v>
      </c>
      <c r="F43" s="118" t="s">
        <v>592</v>
      </c>
      <c r="G43" s="111">
        <v>1</v>
      </c>
      <c r="H43" s="15">
        <v>20250903</v>
      </c>
    </row>
    <row r="44" ht="15.75" spans="1:8">
      <c r="A44" s="18">
        <v>968.2357</v>
      </c>
      <c r="B44" s="110">
        <v>44</v>
      </c>
      <c r="C44" s="25" t="s">
        <v>238</v>
      </c>
      <c r="D44" s="25" t="s">
        <v>264</v>
      </c>
      <c r="E44" s="25" t="s">
        <v>244</v>
      </c>
      <c r="F44" s="118" t="s">
        <v>593</v>
      </c>
      <c r="G44" s="111">
        <v>1</v>
      </c>
      <c r="H44" s="15">
        <v>20250903</v>
      </c>
    </row>
    <row r="45" spans="1:8">
      <c r="A45" s="18">
        <v>968.2357</v>
      </c>
      <c r="B45" s="131">
        <v>44</v>
      </c>
      <c r="C45" s="140" t="s">
        <v>594</v>
      </c>
      <c r="D45" s="131" t="s">
        <v>595</v>
      </c>
      <c r="E45" s="131" t="s">
        <v>596</v>
      </c>
      <c r="F45" s="116" t="s">
        <v>597</v>
      </c>
      <c r="G45" s="113">
        <v>1</v>
      </c>
      <c r="H45" s="15">
        <v>20250903</v>
      </c>
    </row>
    <row r="46" spans="1:8">
      <c r="A46" s="18">
        <v>968.23</v>
      </c>
      <c r="B46" s="131">
        <v>44</v>
      </c>
      <c r="C46" s="175" t="s">
        <v>253</v>
      </c>
      <c r="D46" s="175" t="s">
        <v>126</v>
      </c>
      <c r="E46" s="175" t="s">
        <v>515</v>
      </c>
      <c r="F46" s="182" t="s">
        <v>218</v>
      </c>
      <c r="G46" s="181">
        <v>1</v>
      </c>
      <c r="H46" s="15">
        <v>20250903</v>
      </c>
    </row>
    <row r="47" spans="1:8">
      <c r="A47" s="18">
        <v>968.216</v>
      </c>
      <c r="B47" s="175">
        <v>47</v>
      </c>
      <c r="C47" s="124" t="s">
        <v>129</v>
      </c>
      <c r="D47" s="131" t="s">
        <v>242</v>
      </c>
      <c r="E47" s="181" t="s">
        <v>158</v>
      </c>
      <c r="F47" s="182" t="s">
        <v>598</v>
      </c>
      <c r="G47" s="175">
        <v>1</v>
      </c>
      <c r="H47" s="15">
        <v>20250903</v>
      </c>
    </row>
    <row r="48" spans="1:8">
      <c r="A48" s="18">
        <v>968.1986</v>
      </c>
      <c r="B48" s="25">
        <v>48</v>
      </c>
      <c r="C48" s="25" t="s">
        <v>268</v>
      </c>
      <c r="D48" s="25" t="s">
        <v>364</v>
      </c>
      <c r="E48" s="25" t="s">
        <v>270</v>
      </c>
      <c r="F48" s="118" t="s">
        <v>279</v>
      </c>
      <c r="G48" s="111">
        <v>1</v>
      </c>
      <c r="H48" s="15">
        <v>20250903</v>
      </c>
    </row>
    <row r="49" spans="1:8">
      <c r="A49" s="18">
        <v>968.1942</v>
      </c>
      <c r="B49" s="191">
        <v>49</v>
      </c>
      <c r="C49" s="12" t="s">
        <v>129</v>
      </c>
      <c r="D49" s="27" t="s">
        <v>135</v>
      </c>
      <c r="E49" s="27" t="s">
        <v>158</v>
      </c>
      <c r="F49" s="31" t="s">
        <v>599</v>
      </c>
      <c r="G49" s="27">
        <v>1</v>
      </c>
      <c r="H49" s="15">
        <v>20250903</v>
      </c>
    </row>
    <row r="50" spans="1:8">
      <c r="A50" s="18">
        <v>968.1626</v>
      </c>
      <c r="B50" s="22">
        <v>54</v>
      </c>
      <c r="C50" s="22" t="s">
        <v>253</v>
      </c>
      <c r="D50" s="22" t="s">
        <v>126</v>
      </c>
      <c r="E50" s="22" t="s">
        <v>515</v>
      </c>
      <c r="F50" s="31" t="s">
        <v>600</v>
      </c>
      <c r="G50" s="22">
        <v>1</v>
      </c>
      <c r="H50" s="15">
        <v>20250903</v>
      </c>
    </row>
    <row r="51" spans="1:8">
      <c r="A51" s="18">
        <v>968.1564</v>
      </c>
      <c r="B51" s="175">
        <v>55</v>
      </c>
      <c r="C51" s="177" t="s">
        <v>253</v>
      </c>
      <c r="D51" s="175" t="s">
        <v>261</v>
      </c>
      <c r="E51" s="175" t="s">
        <v>601</v>
      </c>
      <c r="F51" s="182" t="s">
        <v>602</v>
      </c>
      <c r="G51" s="175">
        <v>1</v>
      </c>
      <c r="H51" s="15">
        <v>20250903</v>
      </c>
    </row>
    <row r="52" spans="1:8">
      <c r="A52" s="18">
        <v>968.1564</v>
      </c>
      <c r="B52" s="191">
        <v>55</v>
      </c>
      <c r="C52" s="12" t="s">
        <v>129</v>
      </c>
      <c r="D52" s="27" t="s">
        <v>179</v>
      </c>
      <c r="E52" s="27" t="s">
        <v>207</v>
      </c>
      <c r="F52" s="31" t="s">
        <v>603</v>
      </c>
      <c r="G52" s="27">
        <v>1</v>
      </c>
      <c r="H52" s="15">
        <v>20250903</v>
      </c>
    </row>
    <row r="53" spans="1:8">
      <c r="A53" s="18">
        <v>968.1559</v>
      </c>
      <c r="B53" s="191">
        <v>55</v>
      </c>
      <c r="C53" s="12" t="s">
        <v>129</v>
      </c>
      <c r="D53" s="27" t="s">
        <v>135</v>
      </c>
      <c r="E53" s="27" t="s">
        <v>207</v>
      </c>
      <c r="F53" s="31" t="s">
        <v>604</v>
      </c>
      <c r="G53" s="27">
        <v>1</v>
      </c>
      <c r="H53" s="15">
        <v>20250903</v>
      </c>
    </row>
    <row r="54" spans="1:8">
      <c r="A54" s="18">
        <v>968.1534</v>
      </c>
      <c r="B54" s="191">
        <v>55</v>
      </c>
      <c r="C54" s="12" t="s">
        <v>129</v>
      </c>
      <c r="D54" s="27" t="s">
        <v>151</v>
      </c>
      <c r="E54" s="27" t="s">
        <v>605</v>
      </c>
      <c r="F54" s="31" t="s">
        <v>606</v>
      </c>
      <c r="G54" s="27">
        <v>1</v>
      </c>
      <c r="H54" s="15">
        <v>20250903</v>
      </c>
    </row>
    <row r="55" spans="1:8">
      <c r="A55" s="18">
        <v>968.1559</v>
      </c>
      <c r="B55" s="111">
        <v>55</v>
      </c>
      <c r="C55" s="25" t="s">
        <v>247</v>
      </c>
      <c r="D55" s="25" t="s">
        <v>242</v>
      </c>
      <c r="E55" s="25" t="s">
        <v>250</v>
      </c>
      <c r="F55" s="118" t="s">
        <v>607</v>
      </c>
      <c r="G55" s="111">
        <v>1</v>
      </c>
      <c r="H55" s="15">
        <v>20250903</v>
      </c>
    </row>
    <row r="56" spans="1:8">
      <c r="A56" s="18">
        <v>968.1456</v>
      </c>
      <c r="B56" s="191">
        <v>56</v>
      </c>
      <c r="C56" s="12" t="s">
        <v>129</v>
      </c>
      <c r="D56" s="27" t="s">
        <v>151</v>
      </c>
      <c r="E56" s="27" t="s">
        <v>608</v>
      </c>
      <c r="F56" s="31" t="s">
        <v>609</v>
      </c>
      <c r="G56" s="27">
        <v>1</v>
      </c>
      <c r="H56" s="15">
        <v>20250903</v>
      </c>
    </row>
    <row r="57" ht="15.75" spans="1:8">
      <c r="A57" s="18">
        <v>968.1319</v>
      </c>
      <c r="B57" s="111">
        <v>58</v>
      </c>
      <c r="C57" s="25" t="s">
        <v>247</v>
      </c>
      <c r="D57" s="25" t="s">
        <v>242</v>
      </c>
      <c r="E57" s="25" t="s">
        <v>410</v>
      </c>
      <c r="F57" s="161" t="s">
        <v>610</v>
      </c>
      <c r="G57" s="111">
        <v>1</v>
      </c>
      <c r="H57" s="15">
        <v>20250903</v>
      </c>
    </row>
    <row r="58" spans="1:8">
      <c r="A58" s="18">
        <v>968.126</v>
      </c>
      <c r="B58" s="113">
        <v>59</v>
      </c>
      <c r="C58" s="177" t="s">
        <v>253</v>
      </c>
      <c r="D58" s="175" t="s">
        <v>261</v>
      </c>
      <c r="E58" s="175" t="s">
        <v>574</v>
      </c>
      <c r="F58" s="182" t="s">
        <v>611</v>
      </c>
      <c r="G58" s="113">
        <v>1</v>
      </c>
      <c r="H58" s="15">
        <v>20250903</v>
      </c>
    </row>
    <row r="59" ht="15.75" spans="1:8">
      <c r="A59" s="18">
        <v>968.105</v>
      </c>
      <c r="B59" s="191">
        <v>62</v>
      </c>
      <c r="C59" s="12" t="s">
        <v>129</v>
      </c>
      <c r="D59" s="27" t="s">
        <v>135</v>
      </c>
      <c r="E59" s="27" t="s">
        <v>136</v>
      </c>
      <c r="F59" s="31" t="s">
        <v>612</v>
      </c>
      <c r="G59" s="27">
        <v>1</v>
      </c>
      <c r="H59" s="15">
        <v>20250903</v>
      </c>
    </row>
    <row r="60" spans="1:8">
      <c r="A60" s="18">
        <v>968.105</v>
      </c>
      <c r="B60" s="191">
        <v>62</v>
      </c>
      <c r="C60" s="12" t="s">
        <v>129</v>
      </c>
      <c r="D60" s="27" t="s">
        <v>130</v>
      </c>
      <c r="E60" s="27" t="s">
        <v>131</v>
      </c>
      <c r="F60" s="31" t="s">
        <v>613</v>
      </c>
      <c r="G60" s="27">
        <v>0</v>
      </c>
      <c r="H60" s="15">
        <v>20250903</v>
      </c>
    </row>
    <row r="61" ht="28.5" spans="1:8">
      <c r="A61" s="18">
        <v>968.0977</v>
      </c>
      <c r="B61" s="15">
        <v>63</v>
      </c>
      <c r="C61" s="22" t="s">
        <v>170</v>
      </c>
      <c r="D61" s="22" t="s">
        <v>170</v>
      </c>
      <c r="E61" s="22" t="s">
        <v>172</v>
      </c>
      <c r="F61" s="31" t="s">
        <v>614</v>
      </c>
      <c r="G61" s="22">
        <v>2</v>
      </c>
      <c r="H61" s="15">
        <v>20250903</v>
      </c>
    </row>
    <row r="62" spans="1:8">
      <c r="A62" s="18">
        <v>968.0806</v>
      </c>
      <c r="B62" s="191">
        <v>65</v>
      </c>
      <c r="C62" s="12" t="s">
        <v>129</v>
      </c>
      <c r="D62" s="27" t="s">
        <v>151</v>
      </c>
      <c r="E62" s="27" t="s">
        <v>131</v>
      </c>
      <c r="F62" s="31" t="s">
        <v>615</v>
      </c>
      <c r="G62" s="27">
        <v>0</v>
      </c>
      <c r="H62" s="15">
        <v>20250903</v>
      </c>
    </row>
    <row r="63" ht="14.25" customHeight="1" spans="1:8">
      <c r="A63" s="18">
        <v>968.0719</v>
      </c>
      <c r="B63" s="191">
        <v>66</v>
      </c>
      <c r="C63" s="12" t="s">
        <v>129</v>
      </c>
      <c r="D63" s="27" t="s">
        <v>151</v>
      </c>
      <c r="E63" s="27" t="s">
        <v>131</v>
      </c>
      <c r="F63" s="31" t="s">
        <v>616</v>
      </c>
      <c r="G63" s="27">
        <v>1</v>
      </c>
      <c r="H63" s="15">
        <v>20250903</v>
      </c>
    </row>
    <row r="64" ht="30" customHeight="1" spans="1:8">
      <c r="A64" s="18">
        <v>968.057</v>
      </c>
      <c r="B64" s="181">
        <v>67</v>
      </c>
      <c r="C64" s="175" t="s">
        <v>21</v>
      </c>
      <c r="D64" s="181" t="s">
        <v>570</v>
      </c>
      <c r="E64" s="181" t="s">
        <v>571</v>
      </c>
      <c r="F64" s="190" t="s">
        <v>617</v>
      </c>
      <c r="G64" s="181">
        <v>1</v>
      </c>
      <c r="H64" s="15">
        <v>20250903</v>
      </c>
    </row>
    <row r="65" spans="1:8">
      <c r="A65" s="18">
        <v>968.0631</v>
      </c>
      <c r="B65" s="191">
        <v>67</v>
      </c>
      <c r="C65" s="12" t="s">
        <v>129</v>
      </c>
      <c r="D65" s="27" t="s">
        <v>151</v>
      </c>
      <c r="E65" s="27" t="s">
        <v>207</v>
      </c>
      <c r="F65" s="31" t="s">
        <v>618</v>
      </c>
      <c r="G65" s="27">
        <v>1</v>
      </c>
      <c r="H65" s="15">
        <v>20250903</v>
      </c>
    </row>
    <row r="66" ht="15.75" spans="1:8">
      <c r="A66" s="18">
        <v>968.0544</v>
      </c>
      <c r="B66" s="191">
        <v>68</v>
      </c>
      <c r="C66" s="12" t="s">
        <v>129</v>
      </c>
      <c r="D66" s="27" t="s">
        <v>135</v>
      </c>
      <c r="E66" s="27" t="s">
        <v>136</v>
      </c>
      <c r="F66" s="31" t="s">
        <v>619</v>
      </c>
      <c r="G66" s="27">
        <v>1</v>
      </c>
      <c r="H66" s="15">
        <v>20250903</v>
      </c>
    </row>
    <row r="67" spans="1:8">
      <c r="A67" s="18">
        <v>968.0456</v>
      </c>
      <c r="B67" s="191">
        <v>69</v>
      </c>
      <c r="C67" s="12" t="s">
        <v>129</v>
      </c>
      <c r="D67" s="27" t="s">
        <v>151</v>
      </c>
      <c r="E67" s="27" t="s">
        <v>131</v>
      </c>
      <c r="F67" s="31" t="s">
        <v>620</v>
      </c>
      <c r="G67" s="27">
        <v>1</v>
      </c>
      <c r="H67" s="15">
        <v>20250903</v>
      </c>
    </row>
    <row r="68" spans="1:8">
      <c r="A68" s="18">
        <v>968.032</v>
      </c>
      <c r="B68" s="181">
        <v>70</v>
      </c>
      <c r="C68" s="130" t="s">
        <v>17</v>
      </c>
      <c r="D68" s="115" t="s">
        <v>177</v>
      </c>
      <c r="E68" s="115" t="s">
        <v>154</v>
      </c>
      <c r="F68" s="183" t="s">
        <v>621</v>
      </c>
      <c r="G68" s="181">
        <v>1</v>
      </c>
      <c r="H68" s="15">
        <v>20250903</v>
      </c>
    </row>
    <row r="69" ht="15.75" spans="1:8">
      <c r="A69" s="18">
        <v>968.0222</v>
      </c>
      <c r="B69" s="110">
        <v>71</v>
      </c>
      <c r="C69" s="110" t="s">
        <v>238</v>
      </c>
      <c r="D69" s="110" t="s">
        <v>242</v>
      </c>
      <c r="E69" s="110" t="s">
        <v>445</v>
      </c>
      <c r="F69" s="118" t="s">
        <v>622</v>
      </c>
      <c r="G69" s="111">
        <v>1</v>
      </c>
      <c r="H69" s="15">
        <v>20250903</v>
      </c>
    </row>
    <row r="70" spans="1:8">
      <c r="A70" s="18">
        <v>968.0195</v>
      </c>
      <c r="B70" s="191">
        <v>72</v>
      </c>
      <c r="C70" s="12" t="s">
        <v>129</v>
      </c>
      <c r="D70" s="27" t="s">
        <v>151</v>
      </c>
      <c r="E70" s="27" t="s">
        <v>131</v>
      </c>
      <c r="F70" s="31" t="s">
        <v>623</v>
      </c>
      <c r="G70" s="27">
        <v>0</v>
      </c>
      <c r="H70" s="15">
        <v>20250903</v>
      </c>
    </row>
    <row r="71" spans="1:8">
      <c r="A71" s="18">
        <v>968.0115</v>
      </c>
      <c r="B71" s="25">
        <v>72</v>
      </c>
      <c r="C71" s="25" t="s">
        <v>268</v>
      </c>
      <c r="D71" s="25" t="s">
        <v>364</v>
      </c>
      <c r="E71" s="25" t="s">
        <v>270</v>
      </c>
      <c r="F71" s="118" t="s">
        <v>624</v>
      </c>
      <c r="G71" s="111">
        <v>1</v>
      </c>
      <c r="H71" s="15">
        <v>20250903</v>
      </c>
    </row>
    <row r="72" spans="1:8">
      <c r="A72" s="18">
        <v>968.0112</v>
      </c>
      <c r="B72" s="191">
        <v>73</v>
      </c>
      <c r="C72" s="12" t="s">
        <v>129</v>
      </c>
      <c r="D72" s="27" t="s">
        <v>151</v>
      </c>
      <c r="E72" s="27" t="s">
        <v>131</v>
      </c>
      <c r="F72" s="31" t="s">
        <v>625</v>
      </c>
      <c r="G72" s="27">
        <v>1</v>
      </c>
      <c r="H72" s="15">
        <v>20250903</v>
      </c>
    </row>
    <row r="73" spans="1:8">
      <c r="A73" s="18">
        <v>967.994</v>
      </c>
      <c r="B73" s="191">
        <v>75</v>
      </c>
      <c r="C73" s="12" t="s">
        <v>129</v>
      </c>
      <c r="D73" s="27" t="s">
        <v>135</v>
      </c>
      <c r="E73" s="27" t="s">
        <v>131</v>
      </c>
      <c r="F73" s="31" t="s">
        <v>626</v>
      </c>
      <c r="G73" s="27">
        <v>1</v>
      </c>
      <c r="H73" s="15">
        <v>20250903</v>
      </c>
    </row>
    <row r="74" ht="15.75" spans="1:8">
      <c r="A74" s="18">
        <v>967.9852</v>
      </c>
      <c r="B74" s="191">
        <v>76</v>
      </c>
      <c r="C74" s="12" t="s">
        <v>129</v>
      </c>
      <c r="D74" s="27" t="s">
        <v>135</v>
      </c>
      <c r="E74" s="27" t="s">
        <v>136</v>
      </c>
      <c r="F74" s="31" t="s">
        <v>619</v>
      </c>
      <c r="G74" s="27">
        <v>1</v>
      </c>
      <c r="H74" s="15">
        <v>20250903</v>
      </c>
    </row>
    <row r="75" spans="1:8">
      <c r="A75" s="18">
        <v>967.9852</v>
      </c>
      <c r="B75" s="191">
        <v>76</v>
      </c>
      <c r="C75" s="12" t="s">
        <v>129</v>
      </c>
      <c r="D75" s="27" t="s">
        <v>135</v>
      </c>
      <c r="E75" s="27" t="s">
        <v>131</v>
      </c>
      <c r="F75" s="31" t="s">
        <v>627</v>
      </c>
      <c r="G75" s="27">
        <v>0</v>
      </c>
      <c r="H75" s="15">
        <v>20250903</v>
      </c>
    </row>
    <row r="76" spans="1:8">
      <c r="A76" s="18">
        <v>967.9677</v>
      </c>
      <c r="B76" s="25">
        <v>78</v>
      </c>
      <c r="C76" s="25" t="s">
        <v>268</v>
      </c>
      <c r="D76" s="25" t="s">
        <v>364</v>
      </c>
      <c r="E76" s="25" t="s">
        <v>270</v>
      </c>
      <c r="F76" s="118" t="s">
        <v>495</v>
      </c>
      <c r="G76" s="111">
        <v>1</v>
      </c>
      <c r="H76" s="15">
        <v>20250903</v>
      </c>
    </row>
    <row r="77" spans="1:8">
      <c r="A77" s="18">
        <v>967.9569</v>
      </c>
      <c r="B77" s="27">
        <v>79</v>
      </c>
      <c r="C77" s="12" t="s">
        <v>129</v>
      </c>
      <c r="D77" s="27" t="s">
        <v>151</v>
      </c>
      <c r="E77" s="27" t="s">
        <v>131</v>
      </c>
      <c r="F77" s="31" t="s">
        <v>628</v>
      </c>
      <c r="G77" s="27">
        <v>1</v>
      </c>
      <c r="H77" s="15">
        <v>20250903</v>
      </c>
    </row>
    <row r="78" ht="28.5" spans="1:8">
      <c r="A78" s="18">
        <v>967.95</v>
      </c>
      <c r="B78" s="22">
        <v>80</v>
      </c>
      <c r="C78" s="22" t="s">
        <v>170</v>
      </c>
      <c r="D78" s="22" t="s">
        <v>170</v>
      </c>
      <c r="E78" s="22" t="s">
        <v>172</v>
      </c>
      <c r="F78" s="31" t="s">
        <v>614</v>
      </c>
      <c r="G78" s="22">
        <v>2</v>
      </c>
      <c r="H78" s="15">
        <v>20250903</v>
      </c>
    </row>
    <row r="79" spans="1:8">
      <c r="A79" s="18">
        <v>967.9326</v>
      </c>
      <c r="B79" s="27">
        <v>82</v>
      </c>
      <c r="C79" s="12" t="s">
        <v>129</v>
      </c>
      <c r="D79" s="27" t="s">
        <v>151</v>
      </c>
      <c r="E79" s="27" t="s">
        <v>131</v>
      </c>
      <c r="F79" s="31" t="s">
        <v>629</v>
      </c>
      <c r="G79" s="27">
        <v>1</v>
      </c>
      <c r="H79" s="15">
        <v>20250903</v>
      </c>
    </row>
    <row r="80" ht="15.75" spans="1:8">
      <c r="A80" s="18">
        <v>967.9281</v>
      </c>
      <c r="B80" s="27">
        <v>82</v>
      </c>
      <c r="C80" s="12" t="s">
        <v>129</v>
      </c>
      <c r="D80" s="27" t="s">
        <v>135</v>
      </c>
      <c r="E80" s="27" t="s">
        <v>139</v>
      </c>
      <c r="F80" s="31" t="s">
        <v>630</v>
      </c>
      <c r="G80" s="27">
        <v>0</v>
      </c>
      <c r="H80" s="15">
        <v>20250903</v>
      </c>
    </row>
    <row r="81" ht="15.75" spans="1:8">
      <c r="A81" s="18">
        <v>967.9326</v>
      </c>
      <c r="B81" s="27">
        <v>82</v>
      </c>
      <c r="C81" s="12" t="s">
        <v>129</v>
      </c>
      <c r="D81" s="27" t="s">
        <v>401</v>
      </c>
      <c r="E81" s="27" t="s">
        <v>136</v>
      </c>
      <c r="F81" s="31" t="s">
        <v>631</v>
      </c>
      <c r="G81" s="27">
        <v>1</v>
      </c>
      <c r="H81" s="15">
        <v>20250903</v>
      </c>
    </row>
    <row r="82" ht="15.75" spans="1:8">
      <c r="A82" s="18">
        <v>967.9326</v>
      </c>
      <c r="B82" s="27">
        <v>82</v>
      </c>
      <c r="C82" s="12" t="s">
        <v>129</v>
      </c>
      <c r="D82" s="27" t="s">
        <v>179</v>
      </c>
      <c r="E82" s="27" t="s">
        <v>136</v>
      </c>
      <c r="F82" s="31" t="s">
        <v>632</v>
      </c>
      <c r="G82" s="27">
        <v>1</v>
      </c>
      <c r="H82" s="15">
        <v>20250903</v>
      </c>
    </row>
    <row r="83" ht="15.75" spans="1:8">
      <c r="A83" s="18">
        <v>967.9238</v>
      </c>
      <c r="B83" s="27">
        <v>83</v>
      </c>
      <c r="C83" s="12" t="s">
        <v>129</v>
      </c>
      <c r="D83" s="27" t="s">
        <v>135</v>
      </c>
      <c r="E83" s="27" t="s">
        <v>139</v>
      </c>
      <c r="F83" s="31" t="s">
        <v>633</v>
      </c>
      <c r="G83" s="27">
        <v>0</v>
      </c>
      <c r="H83" s="15">
        <v>20250903</v>
      </c>
    </row>
    <row r="84" ht="15.75" spans="1:8">
      <c r="A84" s="18">
        <v>967.9193</v>
      </c>
      <c r="B84" s="111">
        <v>83</v>
      </c>
      <c r="C84" s="25" t="s">
        <v>247</v>
      </c>
      <c r="D84" s="25" t="s">
        <v>264</v>
      </c>
      <c r="E84" s="25" t="s">
        <v>634</v>
      </c>
      <c r="F84" s="118" t="s">
        <v>635</v>
      </c>
      <c r="G84" s="111">
        <v>0</v>
      </c>
      <c r="H84" s="15">
        <v>20250903</v>
      </c>
    </row>
    <row r="85" spans="1:8">
      <c r="A85" s="18">
        <v>967.9152</v>
      </c>
      <c r="B85" s="113">
        <v>84</v>
      </c>
      <c r="C85" s="172" t="s">
        <v>8</v>
      </c>
      <c r="D85" s="173" t="s">
        <v>9</v>
      </c>
      <c r="E85" s="173" t="s">
        <v>33</v>
      </c>
      <c r="F85" s="182" t="s">
        <v>636</v>
      </c>
      <c r="G85" s="113">
        <v>1</v>
      </c>
      <c r="H85" s="15">
        <v>20250903</v>
      </c>
    </row>
    <row r="86" spans="1:8">
      <c r="A86" s="18">
        <v>967.9152</v>
      </c>
      <c r="B86" s="27">
        <v>84</v>
      </c>
      <c r="C86" s="12" t="s">
        <v>129</v>
      </c>
      <c r="D86" s="27" t="s">
        <v>151</v>
      </c>
      <c r="E86" s="27" t="s">
        <v>131</v>
      </c>
      <c r="F86" s="31" t="s">
        <v>637</v>
      </c>
      <c r="G86" s="27">
        <v>0</v>
      </c>
      <c r="H86" s="15">
        <v>20250903</v>
      </c>
    </row>
    <row r="87" ht="15.75" spans="1:8">
      <c r="A87" s="18">
        <v>967.9152</v>
      </c>
      <c r="B87" s="111">
        <v>84</v>
      </c>
      <c r="C87" s="25" t="s">
        <v>247</v>
      </c>
      <c r="D87" s="25" t="s">
        <v>264</v>
      </c>
      <c r="E87" s="25" t="s">
        <v>634</v>
      </c>
      <c r="F87" s="118" t="s">
        <v>638</v>
      </c>
      <c r="G87" s="111">
        <v>0</v>
      </c>
      <c r="H87" s="15">
        <v>20250903</v>
      </c>
    </row>
    <row r="88" spans="1:8">
      <c r="A88" s="18">
        <v>967.888</v>
      </c>
      <c r="B88" s="181">
        <v>87</v>
      </c>
      <c r="C88" s="113" t="s">
        <v>268</v>
      </c>
      <c r="D88" s="131" t="s">
        <v>364</v>
      </c>
      <c r="E88" s="131" t="s">
        <v>270</v>
      </c>
      <c r="F88" s="182" t="s">
        <v>639</v>
      </c>
      <c r="G88" s="113">
        <v>1</v>
      </c>
      <c r="H88" s="15">
        <v>20250903</v>
      </c>
    </row>
    <row r="89" ht="15.75" spans="1:8">
      <c r="A89" s="18">
        <v>967.8859</v>
      </c>
      <c r="B89" s="27">
        <v>87</v>
      </c>
      <c r="C89" s="12" t="s">
        <v>129</v>
      </c>
      <c r="D89" s="27" t="s">
        <v>135</v>
      </c>
      <c r="E89" s="27" t="s">
        <v>139</v>
      </c>
      <c r="F89" s="31" t="s">
        <v>640</v>
      </c>
      <c r="G89" s="27">
        <v>0</v>
      </c>
      <c r="H89" s="15">
        <v>20250903</v>
      </c>
    </row>
    <row r="90" ht="15.75" spans="1:8">
      <c r="A90" s="18">
        <v>967.8849</v>
      </c>
      <c r="B90" s="27">
        <v>87</v>
      </c>
      <c r="C90" s="12" t="s">
        <v>129</v>
      </c>
      <c r="D90" s="27" t="s">
        <v>401</v>
      </c>
      <c r="E90" s="27" t="s">
        <v>136</v>
      </c>
      <c r="F90" s="31" t="s">
        <v>641</v>
      </c>
      <c r="G90" s="27">
        <v>1</v>
      </c>
      <c r="H90" s="15">
        <v>20250903</v>
      </c>
    </row>
    <row r="91" ht="15.75" spans="1:8">
      <c r="A91" s="18">
        <v>967.8849</v>
      </c>
      <c r="B91" s="27">
        <v>87</v>
      </c>
      <c r="C91" s="12" t="s">
        <v>129</v>
      </c>
      <c r="D91" s="27" t="s">
        <v>179</v>
      </c>
      <c r="E91" s="27" t="s">
        <v>136</v>
      </c>
      <c r="F91" s="31" t="s">
        <v>642</v>
      </c>
      <c r="G91" s="27">
        <v>1</v>
      </c>
      <c r="H91" s="15">
        <v>20250903</v>
      </c>
    </row>
    <row r="92" spans="1:8">
      <c r="A92" s="18">
        <v>967.865</v>
      </c>
      <c r="B92" s="181">
        <v>89</v>
      </c>
      <c r="C92" s="113" t="s">
        <v>268</v>
      </c>
      <c r="D92" s="181" t="s">
        <v>360</v>
      </c>
      <c r="E92" s="131" t="s">
        <v>270</v>
      </c>
      <c r="F92" s="182" t="s">
        <v>643</v>
      </c>
      <c r="G92" s="181">
        <v>1</v>
      </c>
      <c r="H92" s="15">
        <v>20250903</v>
      </c>
    </row>
    <row r="93" spans="1:8">
      <c r="A93" s="18">
        <v>967.8712</v>
      </c>
      <c r="B93" s="27">
        <v>89</v>
      </c>
      <c r="C93" s="12" t="s">
        <v>129</v>
      </c>
      <c r="D93" s="27" t="s">
        <v>151</v>
      </c>
      <c r="E93" s="27" t="s">
        <v>131</v>
      </c>
      <c r="F93" s="31" t="s">
        <v>615</v>
      </c>
      <c r="G93" s="27">
        <v>0</v>
      </c>
      <c r="H93" s="15">
        <v>20250903</v>
      </c>
    </row>
    <row r="94" spans="1:8">
      <c r="A94" s="18">
        <v>967.8328</v>
      </c>
      <c r="B94" s="27">
        <v>93</v>
      </c>
      <c r="C94" s="12" t="s">
        <v>129</v>
      </c>
      <c r="D94" s="27" t="s">
        <v>151</v>
      </c>
      <c r="E94" s="27" t="s">
        <v>131</v>
      </c>
      <c r="F94" s="31" t="s">
        <v>644</v>
      </c>
      <c r="G94" s="27">
        <v>0</v>
      </c>
      <c r="H94" s="15">
        <v>20250903</v>
      </c>
    </row>
    <row r="95" spans="1:8">
      <c r="A95" s="18">
        <v>967.8273</v>
      </c>
      <c r="B95" s="27">
        <v>94</v>
      </c>
      <c r="C95" s="12" t="s">
        <v>129</v>
      </c>
      <c r="D95" s="27" t="s">
        <v>151</v>
      </c>
      <c r="E95" s="27" t="s">
        <v>131</v>
      </c>
      <c r="F95" s="31" t="s">
        <v>615</v>
      </c>
      <c r="G95" s="27">
        <v>0</v>
      </c>
      <c r="H95" s="15">
        <v>20250903</v>
      </c>
    </row>
    <row r="96" spans="1:8">
      <c r="A96" s="18">
        <v>967.8191</v>
      </c>
      <c r="B96" s="27">
        <v>95</v>
      </c>
      <c r="C96" s="12" t="s">
        <v>129</v>
      </c>
      <c r="D96" s="27" t="s">
        <v>151</v>
      </c>
      <c r="E96" s="27" t="s">
        <v>131</v>
      </c>
      <c r="F96" s="31" t="s">
        <v>645</v>
      </c>
      <c r="G96" s="27">
        <v>1</v>
      </c>
      <c r="H96" s="15">
        <v>20250903</v>
      </c>
    </row>
    <row r="97" ht="28.5" spans="1:8">
      <c r="A97" s="18">
        <v>967.7949</v>
      </c>
      <c r="B97" s="22">
        <v>98</v>
      </c>
      <c r="C97" s="22" t="s">
        <v>170</v>
      </c>
      <c r="D97" s="22" t="s">
        <v>170</v>
      </c>
      <c r="E97" s="22" t="s">
        <v>172</v>
      </c>
      <c r="F97" s="31" t="s">
        <v>614</v>
      </c>
      <c r="G97" s="22">
        <v>2</v>
      </c>
      <c r="H97" s="15">
        <v>20250903</v>
      </c>
    </row>
    <row r="98" spans="1:8">
      <c r="A98" s="112">
        <v>967.752</v>
      </c>
      <c r="B98" s="175">
        <v>102</v>
      </c>
      <c r="C98" s="124" t="s">
        <v>129</v>
      </c>
      <c r="D98" s="181" t="s">
        <v>130</v>
      </c>
      <c r="E98" s="181" t="s">
        <v>131</v>
      </c>
      <c r="F98" s="182" t="s">
        <v>646</v>
      </c>
      <c r="G98" s="175">
        <v>1</v>
      </c>
      <c r="H98" s="15">
        <v>20250903</v>
      </c>
    </row>
    <row r="99" ht="15.75" spans="1:8">
      <c r="A99" s="18">
        <v>967.7596</v>
      </c>
      <c r="B99" s="27">
        <v>102</v>
      </c>
      <c r="C99" s="12" t="s">
        <v>129</v>
      </c>
      <c r="D99" s="27" t="s">
        <v>130</v>
      </c>
      <c r="E99" s="27" t="s">
        <v>136</v>
      </c>
      <c r="F99" s="31" t="s">
        <v>647</v>
      </c>
      <c r="G99" s="27">
        <v>1</v>
      </c>
      <c r="H99" s="15">
        <v>20250903</v>
      </c>
    </row>
    <row r="100" spans="1:8">
      <c r="A100" s="18">
        <v>967.737</v>
      </c>
      <c r="B100" s="181">
        <v>104</v>
      </c>
      <c r="C100" s="124" t="s">
        <v>129</v>
      </c>
      <c r="D100" s="173" t="s">
        <v>9</v>
      </c>
      <c r="E100" s="173" t="s">
        <v>33</v>
      </c>
      <c r="F100" s="182" t="s">
        <v>648</v>
      </c>
      <c r="G100" s="113">
        <v>1</v>
      </c>
      <c r="H100" s="15">
        <v>20250903</v>
      </c>
    </row>
    <row r="101" ht="15.75" spans="1:8">
      <c r="A101" s="18">
        <v>967.7421</v>
      </c>
      <c r="B101" s="27">
        <v>104</v>
      </c>
      <c r="C101" s="12" t="s">
        <v>129</v>
      </c>
      <c r="D101" s="27" t="s">
        <v>135</v>
      </c>
      <c r="E101" s="27" t="s">
        <v>136</v>
      </c>
      <c r="F101" s="31" t="s">
        <v>649</v>
      </c>
      <c r="G101" s="27">
        <v>1</v>
      </c>
      <c r="H101" s="15">
        <v>20250903</v>
      </c>
    </row>
    <row r="102" ht="15.75" spans="1:8">
      <c r="A102" s="18">
        <v>967.7325</v>
      </c>
      <c r="B102" s="27">
        <v>105</v>
      </c>
      <c r="C102" s="12" t="s">
        <v>129</v>
      </c>
      <c r="D102" s="27" t="s">
        <v>135</v>
      </c>
      <c r="E102" s="27" t="s">
        <v>136</v>
      </c>
      <c r="F102" s="31" t="s">
        <v>650</v>
      </c>
      <c r="G102" s="27">
        <v>1</v>
      </c>
      <c r="H102" s="15">
        <v>20250903</v>
      </c>
    </row>
    <row r="103" spans="1:8">
      <c r="A103" s="112">
        <v>967.723</v>
      </c>
      <c r="B103" s="131">
        <v>106</v>
      </c>
      <c r="C103" s="124" t="s">
        <v>129</v>
      </c>
      <c r="D103" s="181" t="s">
        <v>135</v>
      </c>
      <c r="E103" s="181" t="s">
        <v>158</v>
      </c>
      <c r="F103" s="182" t="s">
        <v>651</v>
      </c>
      <c r="G103" s="113">
        <v>1</v>
      </c>
      <c r="H103" s="15">
        <v>20250903</v>
      </c>
    </row>
    <row r="104" ht="15.75" spans="1:8">
      <c r="A104" s="18">
        <v>967.7236</v>
      </c>
      <c r="B104" s="110">
        <v>106</v>
      </c>
      <c r="C104" s="25" t="s">
        <v>238</v>
      </c>
      <c r="D104" s="25" t="s">
        <v>258</v>
      </c>
      <c r="E104" s="25" t="s">
        <v>244</v>
      </c>
      <c r="F104" s="118" t="s">
        <v>652</v>
      </c>
      <c r="G104" s="111">
        <v>1</v>
      </c>
      <c r="H104" s="15">
        <v>20250903</v>
      </c>
    </row>
    <row r="105" spans="1:8">
      <c r="A105" s="18">
        <v>967.7151</v>
      </c>
      <c r="B105" s="27">
        <v>107</v>
      </c>
      <c r="C105" s="12" t="s">
        <v>129</v>
      </c>
      <c r="D105" s="27" t="s">
        <v>151</v>
      </c>
      <c r="E105" s="27" t="s">
        <v>131</v>
      </c>
      <c r="F105" s="31" t="s">
        <v>615</v>
      </c>
      <c r="G105" s="27">
        <v>0</v>
      </c>
      <c r="H105" s="15">
        <v>20250903</v>
      </c>
    </row>
    <row r="106" spans="1:8">
      <c r="A106" s="18">
        <v>967.7153</v>
      </c>
      <c r="B106" s="27">
        <v>107</v>
      </c>
      <c r="C106" s="12" t="s">
        <v>129</v>
      </c>
      <c r="D106" s="27" t="s">
        <v>130</v>
      </c>
      <c r="E106" s="27" t="s">
        <v>605</v>
      </c>
      <c r="F106" s="31" t="s">
        <v>653</v>
      </c>
      <c r="G106" s="27">
        <v>1</v>
      </c>
      <c r="H106" s="15">
        <v>20250903</v>
      </c>
    </row>
    <row r="107" ht="15.75" spans="1:8">
      <c r="A107" s="18">
        <v>967.7151</v>
      </c>
      <c r="B107" s="110">
        <v>107</v>
      </c>
      <c r="C107" s="25" t="s">
        <v>238</v>
      </c>
      <c r="D107" s="25" t="s">
        <v>294</v>
      </c>
      <c r="E107" s="25" t="s">
        <v>244</v>
      </c>
      <c r="F107" s="118" t="s">
        <v>654</v>
      </c>
      <c r="G107" s="111">
        <v>1</v>
      </c>
      <c r="H107" s="15">
        <v>20250903</v>
      </c>
    </row>
    <row r="108" ht="15.75" spans="1:8">
      <c r="A108" s="18">
        <v>967.7065</v>
      </c>
      <c r="B108" s="110">
        <v>108</v>
      </c>
      <c r="C108" s="25" t="s">
        <v>238</v>
      </c>
      <c r="D108" s="25" t="s">
        <v>264</v>
      </c>
      <c r="E108" s="25" t="s">
        <v>244</v>
      </c>
      <c r="F108" s="118" t="s">
        <v>655</v>
      </c>
      <c r="G108" s="111">
        <v>1</v>
      </c>
      <c r="H108" s="15">
        <v>20250903</v>
      </c>
    </row>
    <row r="109" spans="1:8">
      <c r="A109" s="18">
        <v>967.7065</v>
      </c>
      <c r="B109" s="111">
        <v>108</v>
      </c>
      <c r="C109" s="25" t="s">
        <v>247</v>
      </c>
      <c r="D109" s="25" t="s">
        <v>242</v>
      </c>
      <c r="E109" s="25" t="s">
        <v>250</v>
      </c>
      <c r="F109" s="188" t="s">
        <v>656</v>
      </c>
      <c r="G109" s="111">
        <v>1</v>
      </c>
      <c r="H109" s="15">
        <v>20250903</v>
      </c>
    </row>
    <row r="110" ht="30" customHeight="1" spans="1:8">
      <c r="A110" s="18">
        <v>967.698</v>
      </c>
      <c r="B110" s="113">
        <v>109</v>
      </c>
      <c r="C110" s="175" t="s">
        <v>21</v>
      </c>
      <c r="D110" s="173" t="s">
        <v>18</v>
      </c>
      <c r="E110" s="173" t="s">
        <v>23</v>
      </c>
      <c r="F110" s="192" t="s">
        <v>657</v>
      </c>
      <c r="G110" s="113">
        <v>1</v>
      </c>
      <c r="H110" s="15">
        <v>20250903</v>
      </c>
    </row>
    <row r="111" spans="1:8">
      <c r="A111" s="18">
        <v>967.7</v>
      </c>
      <c r="B111" s="27">
        <v>109</v>
      </c>
      <c r="C111" s="12" t="s">
        <v>129</v>
      </c>
      <c r="D111" s="27" t="s">
        <v>130</v>
      </c>
      <c r="E111" s="27" t="s">
        <v>131</v>
      </c>
      <c r="F111" s="31" t="s">
        <v>658</v>
      </c>
      <c r="G111" s="27">
        <v>0</v>
      </c>
      <c r="H111" s="15">
        <v>20250903</v>
      </c>
    </row>
    <row r="112" spans="1:8">
      <c r="A112" s="18">
        <v>967.6896</v>
      </c>
      <c r="B112" s="27">
        <v>110</v>
      </c>
      <c r="C112" s="12" t="s">
        <v>129</v>
      </c>
      <c r="D112" s="27" t="s">
        <v>130</v>
      </c>
      <c r="E112" s="27" t="s">
        <v>131</v>
      </c>
      <c r="F112" s="31" t="s">
        <v>659</v>
      </c>
      <c r="G112" s="27">
        <v>0</v>
      </c>
      <c r="H112" s="15">
        <v>20250903</v>
      </c>
    </row>
    <row r="113" ht="15.75" spans="1:8">
      <c r="A113" s="18">
        <v>967.6632</v>
      </c>
      <c r="B113" s="110">
        <v>113</v>
      </c>
      <c r="C113" s="25" t="s">
        <v>238</v>
      </c>
      <c r="D113" s="25" t="s">
        <v>264</v>
      </c>
      <c r="E113" s="25" t="s">
        <v>244</v>
      </c>
      <c r="F113" s="118" t="s">
        <v>660</v>
      </c>
      <c r="G113" s="111">
        <v>1</v>
      </c>
      <c r="H113" s="15">
        <v>20250903</v>
      </c>
    </row>
    <row r="114" spans="1:8">
      <c r="A114" s="18">
        <v>967.65</v>
      </c>
      <c r="B114" s="131">
        <v>114</v>
      </c>
      <c r="C114" s="113" t="s">
        <v>268</v>
      </c>
      <c r="D114" s="131" t="s">
        <v>364</v>
      </c>
      <c r="E114" s="131" t="s">
        <v>270</v>
      </c>
      <c r="F114" s="183" t="s">
        <v>661</v>
      </c>
      <c r="G114" s="113">
        <v>1</v>
      </c>
      <c r="H114" s="15">
        <v>20250903</v>
      </c>
    </row>
    <row r="115" ht="15.75" spans="1:8">
      <c r="A115" s="18">
        <v>967.6543</v>
      </c>
      <c r="B115" s="110">
        <v>114</v>
      </c>
      <c r="C115" s="25" t="s">
        <v>238</v>
      </c>
      <c r="D115" s="25" t="s">
        <v>264</v>
      </c>
      <c r="E115" s="25" t="s">
        <v>244</v>
      </c>
      <c r="F115" s="118" t="s">
        <v>662</v>
      </c>
      <c r="G115" s="111">
        <v>1</v>
      </c>
      <c r="H115" s="15">
        <v>20250903</v>
      </c>
    </row>
    <row r="116" spans="1:8">
      <c r="A116" s="18">
        <v>967.633</v>
      </c>
      <c r="B116" s="131">
        <v>116</v>
      </c>
      <c r="C116" s="113" t="s">
        <v>268</v>
      </c>
      <c r="D116" s="131" t="s">
        <v>364</v>
      </c>
      <c r="E116" s="173" t="s">
        <v>19</v>
      </c>
      <c r="F116" s="183" t="s">
        <v>663</v>
      </c>
      <c r="G116" s="113">
        <v>1</v>
      </c>
      <c r="H116" s="15">
        <v>20250903</v>
      </c>
    </row>
    <row r="117" ht="15.75" spans="1:8">
      <c r="A117" s="18">
        <v>967.6369</v>
      </c>
      <c r="B117" s="110">
        <v>116</v>
      </c>
      <c r="C117" s="25" t="s">
        <v>238</v>
      </c>
      <c r="D117" s="25" t="s">
        <v>264</v>
      </c>
      <c r="E117" s="25" t="s">
        <v>244</v>
      </c>
      <c r="F117" s="118" t="s">
        <v>664</v>
      </c>
      <c r="G117" s="111">
        <v>1</v>
      </c>
      <c r="H117" s="15">
        <v>20250903</v>
      </c>
    </row>
    <row r="118" ht="27" spans="1:8">
      <c r="A118" s="112">
        <v>967.628</v>
      </c>
      <c r="B118" s="131">
        <v>117</v>
      </c>
      <c r="C118" s="180" t="s">
        <v>129</v>
      </c>
      <c r="D118" s="181" t="s">
        <v>665</v>
      </c>
      <c r="E118" s="181" t="s">
        <v>136</v>
      </c>
      <c r="F118" s="182" t="s">
        <v>666</v>
      </c>
      <c r="G118" s="113">
        <v>1</v>
      </c>
      <c r="H118" s="15">
        <v>20250903</v>
      </c>
    </row>
    <row r="119" spans="1:8">
      <c r="A119" s="18">
        <v>967.62</v>
      </c>
      <c r="B119" s="27">
        <v>117</v>
      </c>
      <c r="C119" s="12" t="s">
        <v>129</v>
      </c>
      <c r="D119" s="27" t="s">
        <v>151</v>
      </c>
      <c r="E119" s="27" t="s">
        <v>158</v>
      </c>
      <c r="F119" s="31" t="s">
        <v>667</v>
      </c>
      <c r="G119" s="27">
        <v>1</v>
      </c>
      <c r="H119" s="15">
        <v>20250903</v>
      </c>
    </row>
    <row r="120" ht="15.75" spans="1:8">
      <c r="A120" s="18">
        <v>967.628</v>
      </c>
      <c r="B120" s="110">
        <v>117</v>
      </c>
      <c r="C120" s="25" t="s">
        <v>238</v>
      </c>
      <c r="D120" s="25" t="s">
        <v>294</v>
      </c>
      <c r="E120" s="25" t="s">
        <v>244</v>
      </c>
      <c r="F120" s="118" t="s">
        <v>668</v>
      </c>
      <c r="G120" s="111">
        <v>1</v>
      </c>
      <c r="H120" s="15">
        <v>20250903</v>
      </c>
    </row>
    <row r="121" ht="15.75" spans="1:8">
      <c r="A121" s="18">
        <v>967.6193</v>
      </c>
      <c r="B121" s="131">
        <v>118</v>
      </c>
      <c r="C121" s="124" t="s">
        <v>129</v>
      </c>
      <c r="D121" s="131" t="s">
        <v>294</v>
      </c>
      <c r="E121" s="181" t="s">
        <v>136</v>
      </c>
      <c r="F121" s="182" t="s">
        <v>669</v>
      </c>
      <c r="G121" s="113">
        <v>1</v>
      </c>
      <c r="H121" s="15">
        <v>20250903</v>
      </c>
    </row>
    <row r="122" ht="15.75" spans="1:8">
      <c r="A122" s="18">
        <v>967.6193</v>
      </c>
      <c r="B122" s="27">
        <v>118</v>
      </c>
      <c r="C122" s="12" t="s">
        <v>129</v>
      </c>
      <c r="D122" s="27" t="s">
        <v>179</v>
      </c>
      <c r="E122" s="27" t="s">
        <v>136</v>
      </c>
      <c r="F122" s="188" t="s">
        <v>670</v>
      </c>
      <c r="G122" s="27">
        <v>1</v>
      </c>
      <c r="H122" s="15">
        <v>20250903</v>
      </c>
    </row>
    <row r="123" ht="27" spans="1:8">
      <c r="A123" s="18">
        <v>967.6193</v>
      </c>
      <c r="B123" s="110">
        <v>118</v>
      </c>
      <c r="C123" s="25" t="s">
        <v>238</v>
      </c>
      <c r="D123" s="29" t="s">
        <v>671</v>
      </c>
      <c r="E123" s="25" t="s">
        <v>244</v>
      </c>
      <c r="F123" s="118" t="s">
        <v>672</v>
      </c>
      <c r="G123" s="111">
        <v>1</v>
      </c>
      <c r="H123" s="15">
        <v>20250903</v>
      </c>
    </row>
    <row r="124" spans="1:8">
      <c r="A124" s="18">
        <v>967.5925</v>
      </c>
      <c r="B124" s="131">
        <v>121</v>
      </c>
      <c r="C124" s="172" t="s">
        <v>17</v>
      </c>
      <c r="D124" s="173" t="s">
        <v>18</v>
      </c>
      <c r="E124" s="173" t="s">
        <v>673</v>
      </c>
      <c r="F124" s="179" t="s">
        <v>674</v>
      </c>
      <c r="G124" s="113">
        <v>1</v>
      </c>
      <c r="H124" s="15">
        <v>20250903</v>
      </c>
    </row>
    <row r="125" spans="1:8">
      <c r="A125" s="18">
        <v>967.5925</v>
      </c>
      <c r="B125" s="27">
        <v>121</v>
      </c>
      <c r="C125" s="12" t="s">
        <v>129</v>
      </c>
      <c r="D125" s="27" t="s">
        <v>130</v>
      </c>
      <c r="E125" s="27" t="s">
        <v>131</v>
      </c>
      <c r="F125" s="31" t="s">
        <v>675</v>
      </c>
      <c r="G125" s="27">
        <v>0</v>
      </c>
      <c r="H125" s="15">
        <v>20250903</v>
      </c>
    </row>
    <row r="126" ht="15.75" spans="1:8">
      <c r="A126" s="18">
        <v>967.5925</v>
      </c>
      <c r="B126" s="110">
        <v>121</v>
      </c>
      <c r="C126" s="25" t="s">
        <v>238</v>
      </c>
      <c r="D126" s="25" t="s">
        <v>264</v>
      </c>
      <c r="E126" s="25" t="s">
        <v>244</v>
      </c>
      <c r="F126" s="118" t="s">
        <v>676</v>
      </c>
      <c r="G126" s="111">
        <v>1</v>
      </c>
      <c r="H126" s="15">
        <v>20250903</v>
      </c>
    </row>
    <row r="127" ht="15.75" spans="1:8">
      <c r="A127" s="18">
        <v>967.5885</v>
      </c>
      <c r="B127" s="110">
        <v>121</v>
      </c>
      <c r="C127" s="25" t="s">
        <v>238</v>
      </c>
      <c r="D127" s="25" t="s">
        <v>294</v>
      </c>
      <c r="E127" s="25" t="s">
        <v>244</v>
      </c>
      <c r="F127" s="118" t="s">
        <v>677</v>
      </c>
      <c r="G127" s="111">
        <v>1</v>
      </c>
      <c r="H127" s="15">
        <v>20250903</v>
      </c>
    </row>
    <row r="128" spans="1:8">
      <c r="A128" s="18" t="s">
        <v>91</v>
      </c>
      <c r="B128" s="124" t="s">
        <v>91</v>
      </c>
      <c r="C128" s="180" t="s">
        <v>447</v>
      </c>
      <c r="D128" s="181" t="s">
        <v>91</v>
      </c>
      <c r="E128" s="181" t="s">
        <v>91</v>
      </c>
      <c r="F128" s="182" t="s">
        <v>448</v>
      </c>
      <c r="G128" s="181">
        <v>0</v>
      </c>
      <c r="H128" s="15">
        <v>20250903</v>
      </c>
    </row>
    <row r="129" ht="27" spans="1:8">
      <c r="A129" s="15">
        <v>968.61</v>
      </c>
      <c r="B129" s="15" t="s">
        <v>94</v>
      </c>
      <c r="C129" s="22" t="s">
        <v>170</v>
      </c>
      <c r="D129" s="22" t="s">
        <v>170</v>
      </c>
      <c r="E129" s="22" t="s">
        <v>172</v>
      </c>
      <c r="F129" s="31" t="s">
        <v>222</v>
      </c>
      <c r="G129" s="22">
        <v>1</v>
      </c>
      <c r="H129" s="15">
        <v>20250903</v>
      </c>
    </row>
    <row r="130" ht="27" spans="1:8">
      <c r="A130" s="15">
        <v>967.769</v>
      </c>
      <c r="B130" s="15" t="s">
        <v>678</v>
      </c>
      <c r="C130" s="22" t="s">
        <v>170</v>
      </c>
      <c r="D130" s="22" t="s">
        <v>170</v>
      </c>
      <c r="E130" s="22" t="s">
        <v>172</v>
      </c>
      <c r="F130" s="31" t="s">
        <v>222</v>
      </c>
      <c r="G130" s="22">
        <v>1</v>
      </c>
      <c r="H130" s="15">
        <v>20250903</v>
      </c>
    </row>
    <row r="131" ht="27" spans="1:8">
      <c r="A131" s="15">
        <v>968.524</v>
      </c>
      <c r="B131" s="15" t="s">
        <v>99</v>
      </c>
      <c r="C131" s="22" t="s">
        <v>170</v>
      </c>
      <c r="D131" s="22" t="s">
        <v>170</v>
      </c>
      <c r="E131" s="22" t="s">
        <v>172</v>
      </c>
      <c r="F131" s="31" t="s">
        <v>222</v>
      </c>
      <c r="G131" s="22">
        <v>1</v>
      </c>
      <c r="H131" s="15">
        <v>20250903</v>
      </c>
    </row>
    <row r="132" ht="27" spans="1:8">
      <c r="A132" s="15">
        <v>967.681</v>
      </c>
      <c r="B132" s="15" t="s">
        <v>679</v>
      </c>
      <c r="C132" s="22" t="s">
        <v>170</v>
      </c>
      <c r="D132" s="22" t="s">
        <v>170</v>
      </c>
      <c r="E132" s="22" t="s">
        <v>172</v>
      </c>
      <c r="F132" s="31" t="s">
        <v>222</v>
      </c>
      <c r="G132" s="22">
        <v>1</v>
      </c>
      <c r="H132" s="15">
        <v>20250903</v>
      </c>
    </row>
    <row r="133" ht="27" spans="1:8">
      <c r="A133" s="15">
        <v>968.439</v>
      </c>
      <c r="B133" s="15" t="s">
        <v>100</v>
      </c>
      <c r="C133" s="22" t="s">
        <v>170</v>
      </c>
      <c r="D133" s="22" t="s">
        <v>170</v>
      </c>
      <c r="E133" s="22" t="s">
        <v>172</v>
      </c>
      <c r="F133" s="31" t="s">
        <v>222</v>
      </c>
      <c r="G133" s="22">
        <v>1</v>
      </c>
      <c r="H133" s="15">
        <v>20250903</v>
      </c>
    </row>
    <row r="134" ht="27" spans="1:8">
      <c r="A134" s="15">
        <v>968.351</v>
      </c>
      <c r="B134" s="15" t="s">
        <v>101</v>
      </c>
      <c r="C134" s="22" t="s">
        <v>170</v>
      </c>
      <c r="D134" s="22" t="s">
        <v>170</v>
      </c>
      <c r="E134" s="22" t="s">
        <v>172</v>
      </c>
      <c r="F134" s="31" t="s">
        <v>222</v>
      </c>
      <c r="G134" s="22">
        <v>1</v>
      </c>
      <c r="H134" s="15">
        <v>20250903</v>
      </c>
    </row>
    <row r="135" ht="27" spans="1:8">
      <c r="A135" s="15">
        <v>968.264</v>
      </c>
      <c r="B135" s="15" t="s">
        <v>102</v>
      </c>
      <c r="C135" s="22" t="s">
        <v>170</v>
      </c>
      <c r="D135" s="22" t="s">
        <v>170</v>
      </c>
      <c r="E135" s="22" t="s">
        <v>172</v>
      </c>
      <c r="F135" s="31" t="s">
        <v>222</v>
      </c>
      <c r="G135" s="22">
        <v>1</v>
      </c>
      <c r="H135" s="15">
        <v>20250903</v>
      </c>
    </row>
    <row r="136" ht="27" spans="1:8">
      <c r="A136" s="15">
        <v>968.179</v>
      </c>
      <c r="B136" s="15" t="s">
        <v>103</v>
      </c>
      <c r="C136" s="22" t="s">
        <v>170</v>
      </c>
      <c r="D136" s="22" t="s">
        <v>170</v>
      </c>
      <c r="E136" s="22" t="s">
        <v>172</v>
      </c>
      <c r="F136" s="31" t="s">
        <v>222</v>
      </c>
      <c r="G136" s="22">
        <v>1</v>
      </c>
      <c r="H136" s="15">
        <v>20250903</v>
      </c>
    </row>
    <row r="137" ht="27" spans="1:8">
      <c r="A137" s="18">
        <v>968.112</v>
      </c>
      <c r="B137" s="15" t="s">
        <v>223</v>
      </c>
      <c r="C137" s="22" t="s">
        <v>170</v>
      </c>
      <c r="D137" s="22" t="s">
        <v>170</v>
      </c>
      <c r="E137" s="22" t="s">
        <v>172</v>
      </c>
      <c r="F137" s="31" t="s">
        <v>222</v>
      </c>
      <c r="G137" s="22">
        <v>1</v>
      </c>
      <c r="H137" s="15">
        <v>20250903</v>
      </c>
    </row>
    <row r="138" ht="27" spans="1:8">
      <c r="A138" s="18">
        <v>968.028</v>
      </c>
      <c r="B138" s="15" t="s">
        <v>449</v>
      </c>
      <c r="C138" s="22" t="s">
        <v>170</v>
      </c>
      <c r="D138" s="22" t="s">
        <v>170</v>
      </c>
      <c r="E138" s="22" t="s">
        <v>172</v>
      </c>
      <c r="F138" s="31" t="s">
        <v>222</v>
      </c>
      <c r="G138" s="22">
        <v>1</v>
      </c>
      <c r="H138" s="15">
        <v>20250903</v>
      </c>
    </row>
    <row r="139" ht="27" spans="1:8">
      <c r="A139" s="18">
        <v>967.941</v>
      </c>
      <c r="B139" s="15" t="s">
        <v>680</v>
      </c>
      <c r="C139" s="22" t="s">
        <v>170</v>
      </c>
      <c r="D139" s="22" t="s">
        <v>170</v>
      </c>
      <c r="E139" s="22" t="s">
        <v>172</v>
      </c>
      <c r="F139" s="31" t="s">
        <v>222</v>
      </c>
      <c r="G139" s="22">
        <v>1</v>
      </c>
      <c r="H139" s="15">
        <v>20250903</v>
      </c>
    </row>
    <row r="140" ht="27" spans="1:8">
      <c r="A140" s="18">
        <v>967.853</v>
      </c>
      <c r="B140" s="15" t="s">
        <v>681</v>
      </c>
      <c r="C140" s="22" t="s">
        <v>170</v>
      </c>
      <c r="D140" s="22" t="s">
        <v>170</v>
      </c>
      <c r="E140" s="22" t="s">
        <v>172</v>
      </c>
      <c r="F140" s="31" t="s">
        <v>222</v>
      </c>
      <c r="G140" s="22">
        <v>1</v>
      </c>
      <c r="H140" s="15">
        <v>20250903</v>
      </c>
    </row>
  </sheetData>
  <autoFilter xmlns:etc="http://www.wps.cn/officeDocument/2017/etCustomData" ref="A1:H140" etc:filterBottomFollowUsedRange="0">
    <extLst/>
  </autoFilter>
  <sortState ref="A2:H142">
    <sortCondition ref="B2:B142"/>
  </sortState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95"/>
  <sheetViews>
    <sheetView workbookViewId="0">
      <selection activeCell="A87" sqref="A87:G87"/>
    </sheetView>
  </sheetViews>
  <sheetFormatPr defaultColWidth="9" defaultRowHeight="15" outlineLevelCol="7"/>
  <cols>
    <col min="1" max="2" width="9" style="15"/>
    <col min="3" max="3" width="10.75" style="12" customWidth="1"/>
    <col min="4" max="5" width="9" style="12"/>
    <col min="6" max="6" width="85.5" style="12" customWidth="1"/>
    <col min="7" max="7" width="9" style="12"/>
    <col min="8" max="8" width="9.5" style="12" customWidth="1"/>
    <col min="9" max="16384" width="9" style="16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spans="1:8">
      <c r="A2" s="18">
        <v>974.589</v>
      </c>
      <c r="B2" s="22">
        <v>0</v>
      </c>
      <c r="C2" s="12" t="s">
        <v>542</v>
      </c>
      <c r="D2" s="12" t="s">
        <v>682</v>
      </c>
      <c r="E2" s="20" t="s">
        <v>41</v>
      </c>
      <c r="F2" s="21" t="s">
        <v>683</v>
      </c>
      <c r="G2" s="19">
        <v>1</v>
      </c>
      <c r="H2" s="15">
        <v>20250904</v>
      </c>
    </row>
    <row r="3" spans="1:8">
      <c r="A3" s="18">
        <v>974.589</v>
      </c>
      <c r="B3" s="22">
        <v>0</v>
      </c>
      <c r="C3" s="12" t="s">
        <v>224</v>
      </c>
      <c r="D3" s="12" t="s">
        <v>225</v>
      </c>
      <c r="E3" s="20" t="s">
        <v>41</v>
      </c>
      <c r="F3" s="21" t="s">
        <v>684</v>
      </c>
      <c r="G3" s="19">
        <v>1</v>
      </c>
      <c r="H3" s="15">
        <v>20250904</v>
      </c>
    </row>
    <row r="4" spans="1:8">
      <c r="A4" s="18">
        <v>974.589</v>
      </c>
      <c r="B4" s="177">
        <v>0</v>
      </c>
      <c r="C4" s="124" t="s">
        <v>224</v>
      </c>
      <c r="D4" s="124" t="s">
        <v>225</v>
      </c>
      <c r="E4" s="125" t="s">
        <v>685</v>
      </c>
      <c r="F4" s="183" t="s">
        <v>686</v>
      </c>
      <c r="G4" s="126">
        <v>1</v>
      </c>
      <c r="H4" s="15">
        <v>20250904</v>
      </c>
    </row>
    <row r="5" spans="1:8">
      <c r="A5" s="18">
        <v>973.879</v>
      </c>
      <c r="B5" s="15">
        <v>1</v>
      </c>
      <c r="C5" s="28" t="s">
        <v>8</v>
      </c>
      <c r="D5" s="28" t="s">
        <v>40</v>
      </c>
      <c r="E5" s="20" t="s">
        <v>15</v>
      </c>
      <c r="F5" s="63" t="s">
        <v>687</v>
      </c>
      <c r="G5" s="19">
        <v>1</v>
      </c>
      <c r="H5" s="15">
        <v>20250904</v>
      </c>
    </row>
    <row r="6" spans="1:8">
      <c r="A6" s="18">
        <v>973.874</v>
      </c>
      <c r="B6" s="22">
        <v>1</v>
      </c>
      <c r="C6" s="22" t="s">
        <v>125</v>
      </c>
      <c r="D6" s="22" t="s">
        <v>261</v>
      </c>
      <c r="E6" s="22" t="s">
        <v>127</v>
      </c>
      <c r="F6" s="31" t="s">
        <v>688</v>
      </c>
      <c r="G6" s="22">
        <v>1</v>
      </c>
      <c r="H6" s="15">
        <v>20250904</v>
      </c>
    </row>
    <row r="7" spans="1:8">
      <c r="A7" s="18">
        <v>973.8886</v>
      </c>
      <c r="B7" s="15">
        <v>3</v>
      </c>
      <c r="C7" s="12" t="s">
        <v>129</v>
      </c>
      <c r="D7" s="19" t="s">
        <v>290</v>
      </c>
      <c r="E7" s="19" t="s">
        <v>689</v>
      </c>
      <c r="F7" s="21" t="s">
        <v>690</v>
      </c>
      <c r="G7" s="19">
        <v>1</v>
      </c>
      <c r="H7" s="15">
        <v>20250904</v>
      </c>
    </row>
    <row r="8" spans="1:8">
      <c r="A8" s="18">
        <v>973.8886</v>
      </c>
      <c r="B8" s="22">
        <v>3</v>
      </c>
      <c r="C8" s="22" t="s">
        <v>125</v>
      </c>
      <c r="D8" s="22" t="s">
        <v>261</v>
      </c>
      <c r="E8" s="22" t="s">
        <v>127</v>
      </c>
      <c r="F8" s="31" t="s">
        <v>691</v>
      </c>
      <c r="G8" s="22">
        <v>1</v>
      </c>
      <c r="H8" s="15">
        <v>20250904</v>
      </c>
    </row>
    <row r="9" ht="15.75" spans="1:8">
      <c r="A9" s="18">
        <v>973.8962</v>
      </c>
      <c r="B9" s="68">
        <v>4</v>
      </c>
      <c r="C9" s="25" t="s">
        <v>238</v>
      </c>
      <c r="D9" s="25" t="s">
        <v>294</v>
      </c>
      <c r="E9" s="25" t="s">
        <v>244</v>
      </c>
      <c r="F9" s="118" t="s">
        <v>692</v>
      </c>
      <c r="G9" s="25">
        <v>1</v>
      </c>
      <c r="H9" s="15">
        <v>20250904</v>
      </c>
    </row>
    <row r="10" ht="15.75" spans="1:8">
      <c r="A10" s="18">
        <v>973.8982</v>
      </c>
      <c r="B10" s="68">
        <v>4</v>
      </c>
      <c r="C10" s="25" t="s">
        <v>238</v>
      </c>
      <c r="D10" s="25" t="s">
        <v>258</v>
      </c>
      <c r="E10" s="25" t="s">
        <v>244</v>
      </c>
      <c r="F10" s="121" t="s">
        <v>693</v>
      </c>
      <c r="G10" s="111">
        <v>1</v>
      </c>
      <c r="H10" s="15">
        <v>20250904</v>
      </c>
    </row>
    <row r="11" ht="15.75" spans="1:8">
      <c r="A11" s="18">
        <v>973.9022</v>
      </c>
      <c r="B11" s="68">
        <v>4</v>
      </c>
      <c r="C11" s="25" t="s">
        <v>238</v>
      </c>
      <c r="D11" s="25" t="s">
        <v>258</v>
      </c>
      <c r="E11" s="25" t="s">
        <v>244</v>
      </c>
      <c r="F11" s="118" t="s">
        <v>694</v>
      </c>
      <c r="G11" s="111">
        <v>1</v>
      </c>
      <c r="H11" s="15">
        <v>20250904</v>
      </c>
    </row>
    <row r="12" spans="1:8">
      <c r="A12" s="18">
        <v>973.9092</v>
      </c>
      <c r="B12" s="15">
        <v>5</v>
      </c>
      <c r="C12" s="12" t="s">
        <v>129</v>
      </c>
      <c r="D12" s="19" t="s">
        <v>290</v>
      </c>
      <c r="E12" s="19" t="s">
        <v>689</v>
      </c>
      <c r="F12" s="97" t="s">
        <v>695</v>
      </c>
      <c r="G12" s="174">
        <v>0</v>
      </c>
      <c r="H12" s="15">
        <v>20250904</v>
      </c>
    </row>
    <row r="13" ht="15.75" spans="1:8">
      <c r="A13" s="18">
        <v>973.9127</v>
      </c>
      <c r="B13" s="68">
        <v>6</v>
      </c>
      <c r="C13" s="25" t="s">
        <v>238</v>
      </c>
      <c r="D13" s="25" t="s">
        <v>294</v>
      </c>
      <c r="E13" s="25" t="s">
        <v>244</v>
      </c>
      <c r="F13" s="118" t="s">
        <v>696</v>
      </c>
      <c r="G13" s="111">
        <v>1</v>
      </c>
      <c r="H13" s="15">
        <v>20250904</v>
      </c>
    </row>
    <row r="14" spans="1:8">
      <c r="A14" s="18">
        <v>973.9253</v>
      </c>
      <c r="B14" s="25">
        <v>7</v>
      </c>
      <c r="C14" s="25" t="s">
        <v>268</v>
      </c>
      <c r="D14" s="25" t="s">
        <v>269</v>
      </c>
      <c r="E14" s="22" t="s">
        <v>515</v>
      </c>
      <c r="F14" s="118" t="s">
        <v>697</v>
      </c>
      <c r="G14" s="111">
        <v>1</v>
      </c>
      <c r="H14" s="15">
        <v>20250904</v>
      </c>
    </row>
    <row r="15" spans="1:8">
      <c r="A15" s="18">
        <v>973.932</v>
      </c>
      <c r="B15" s="15">
        <v>8</v>
      </c>
      <c r="C15" s="12" t="s">
        <v>129</v>
      </c>
      <c r="D15" s="19" t="s">
        <v>290</v>
      </c>
      <c r="E15" s="19" t="s">
        <v>236</v>
      </c>
      <c r="F15" s="97" t="s">
        <v>698</v>
      </c>
      <c r="G15" s="19">
        <v>1</v>
      </c>
      <c r="H15" s="15">
        <v>20250904</v>
      </c>
    </row>
    <row r="16" ht="15.75" spans="1:8">
      <c r="A16" s="18">
        <v>973.9473</v>
      </c>
      <c r="B16" s="68">
        <v>10</v>
      </c>
      <c r="C16" s="25" t="s">
        <v>238</v>
      </c>
      <c r="D16" s="25" t="s">
        <v>264</v>
      </c>
      <c r="E16" s="25" t="s">
        <v>244</v>
      </c>
      <c r="F16" s="118" t="s">
        <v>699</v>
      </c>
      <c r="G16" s="111">
        <v>1</v>
      </c>
      <c r="H16" s="15">
        <v>20250904</v>
      </c>
    </row>
    <row r="17" spans="1:8">
      <c r="A17" s="18">
        <v>973.9559</v>
      </c>
      <c r="B17" s="15">
        <v>11</v>
      </c>
      <c r="C17" s="12" t="s">
        <v>129</v>
      </c>
      <c r="D17" s="19" t="s">
        <v>290</v>
      </c>
      <c r="E17" s="19" t="s">
        <v>689</v>
      </c>
      <c r="F17" s="21" t="s">
        <v>700</v>
      </c>
      <c r="G17" s="19">
        <v>0</v>
      </c>
      <c r="H17" s="15">
        <v>20250904</v>
      </c>
    </row>
    <row r="18" spans="1:8">
      <c r="A18" s="18">
        <v>973.9646</v>
      </c>
      <c r="B18" s="15">
        <v>12</v>
      </c>
      <c r="C18" s="12" t="s">
        <v>129</v>
      </c>
      <c r="D18" s="19" t="s">
        <v>235</v>
      </c>
      <c r="E18" s="19" t="s">
        <v>689</v>
      </c>
      <c r="F18" s="109" t="s">
        <v>701</v>
      </c>
      <c r="G18" s="184">
        <v>0</v>
      </c>
      <c r="H18" s="15">
        <v>20250904</v>
      </c>
    </row>
    <row r="19" ht="30" customHeight="1" spans="1:8">
      <c r="A19" s="18">
        <v>973.976</v>
      </c>
      <c r="B19" s="180">
        <v>13</v>
      </c>
      <c r="C19" s="175" t="s">
        <v>21</v>
      </c>
      <c r="D19" s="125" t="s">
        <v>177</v>
      </c>
      <c r="E19" s="125" t="s">
        <v>69</v>
      </c>
      <c r="F19" s="179" t="s">
        <v>702</v>
      </c>
      <c r="G19" s="185">
        <v>1</v>
      </c>
      <c r="H19" s="15">
        <v>20250904</v>
      </c>
    </row>
    <row r="20" spans="1:8">
      <c r="A20" s="18">
        <v>973.9731</v>
      </c>
      <c r="B20" s="15">
        <v>13</v>
      </c>
      <c r="C20" s="12" t="s">
        <v>129</v>
      </c>
      <c r="D20" s="19" t="s">
        <v>290</v>
      </c>
      <c r="E20" s="20" t="s">
        <v>232</v>
      </c>
      <c r="F20" s="21" t="s">
        <v>703</v>
      </c>
      <c r="G20" s="19">
        <v>1</v>
      </c>
      <c r="H20" s="15">
        <v>20250904</v>
      </c>
    </row>
    <row r="21" spans="1:8">
      <c r="A21" s="18">
        <v>973.9818</v>
      </c>
      <c r="B21" s="15">
        <v>14</v>
      </c>
      <c r="C21" s="12" t="s">
        <v>129</v>
      </c>
      <c r="D21" s="19" t="s">
        <v>290</v>
      </c>
      <c r="E21" s="19" t="s">
        <v>689</v>
      </c>
      <c r="F21" s="21" t="s">
        <v>704</v>
      </c>
      <c r="G21" s="19">
        <v>1</v>
      </c>
      <c r="H21" s="15">
        <v>20250904</v>
      </c>
    </row>
    <row r="22" spans="1:8">
      <c r="A22" s="112">
        <v>973.996</v>
      </c>
      <c r="B22" s="140">
        <v>15</v>
      </c>
      <c r="C22" s="124" t="s">
        <v>129</v>
      </c>
      <c r="D22" s="126" t="s">
        <v>290</v>
      </c>
      <c r="E22" s="125" t="s">
        <v>232</v>
      </c>
      <c r="F22" s="186" t="s">
        <v>705</v>
      </c>
      <c r="G22" s="113">
        <v>0</v>
      </c>
      <c r="H22" s="15">
        <v>20250904</v>
      </c>
    </row>
    <row r="23" spans="1:8">
      <c r="A23" s="18">
        <v>973.9954</v>
      </c>
      <c r="B23" s="25">
        <v>15</v>
      </c>
      <c r="C23" s="25" t="s">
        <v>268</v>
      </c>
      <c r="D23" s="25" t="s">
        <v>269</v>
      </c>
      <c r="E23" s="25" t="s">
        <v>19</v>
      </c>
      <c r="F23" s="118" t="s">
        <v>706</v>
      </c>
      <c r="G23" s="111">
        <v>1</v>
      </c>
      <c r="H23" s="15">
        <v>20250904</v>
      </c>
    </row>
    <row r="24" spans="1:8">
      <c r="A24" s="18">
        <v>974.0078</v>
      </c>
      <c r="B24" s="15">
        <v>17</v>
      </c>
      <c r="C24" s="12" t="s">
        <v>129</v>
      </c>
      <c r="D24" s="19" t="s">
        <v>235</v>
      </c>
      <c r="E24" s="19" t="s">
        <v>689</v>
      </c>
      <c r="F24" s="21" t="s">
        <v>707</v>
      </c>
      <c r="G24" s="19">
        <v>1</v>
      </c>
      <c r="H24" s="15">
        <v>20250904</v>
      </c>
    </row>
    <row r="25" spans="1:8">
      <c r="A25" s="18">
        <v>974.0165</v>
      </c>
      <c r="B25" s="15">
        <v>18</v>
      </c>
      <c r="C25" s="12" t="s">
        <v>129</v>
      </c>
      <c r="D25" s="19" t="s">
        <v>290</v>
      </c>
      <c r="E25" s="20" t="s">
        <v>41</v>
      </c>
      <c r="F25" s="21" t="s">
        <v>708</v>
      </c>
      <c r="G25" s="19">
        <v>1</v>
      </c>
      <c r="H25" s="15">
        <v>20250904</v>
      </c>
    </row>
    <row r="26" spans="1:8">
      <c r="A26" s="18">
        <v>974.0165</v>
      </c>
      <c r="B26" s="15">
        <v>18</v>
      </c>
      <c r="C26" s="12" t="s">
        <v>129</v>
      </c>
      <c r="D26" s="19" t="s">
        <v>290</v>
      </c>
      <c r="E26" s="19" t="s">
        <v>689</v>
      </c>
      <c r="F26" s="97" t="s">
        <v>709</v>
      </c>
      <c r="G26" s="19">
        <v>1</v>
      </c>
      <c r="H26" s="15">
        <v>20250904</v>
      </c>
    </row>
    <row r="27" spans="1:8">
      <c r="A27" s="18">
        <v>974.0252</v>
      </c>
      <c r="B27" s="15">
        <v>19</v>
      </c>
      <c r="C27" s="12" t="s">
        <v>129</v>
      </c>
      <c r="D27" s="19" t="s">
        <v>290</v>
      </c>
      <c r="E27" s="19" t="s">
        <v>689</v>
      </c>
      <c r="F27" s="97" t="s">
        <v>710</v>
      </c>
      <c r="G27" s="19">
        <v>1</v>
      </c>
      <c r="H27" s="15">
        <v>20250904</v>
      </c>
    </row>
    <row r="28" spans="1:8">
      <c r="A28" s="18">
        <v>974.0338</v>
      </c>
      <c r="B28" s="15">
        <v>20</v>
      </c>
      <c r="C28" s="12" t="s">
        <v>129</v>
      </c>
      <c r="D28" s="19" t="s">
        <v>235</v>
      </c>
      <c r="E28" s="19" t="s">
        <v>689</v>
      </c>
      <c r="F28" s="21" t="s">
        <v>711</v>
      </c>
      <c r="G28" s="19">
        <v>0</v>
      </c>
      <c r="H28" s="15">
        <v>20250904</v>
      </c>
    </row>
    <row r="29" spans="1:8">
      <c r="A29" s="18">
        <v>974.0454</v>
      </c>
      <c r="B29" s="25">
        <v>21</v>
      </c>
      <c r="C29" s="25" t="s">
        <v>268</v>
      </c>
      <c r="D29" s="25" t="s">
        <v>269</v>
      </c>
      <c r="E29" s="25" t="s">
        <v>19</v>
      </c>
      <c r="F29" s="118" t="s">
        <v>712</v>
      </c>
      <c r="G29" s="111">
        <v>1</v>
      </c>
      <c r="H29" s="15">
        <v>20250904</v>
      </c>
    </row>
    <row r="30" spans="1:8">
      <c r="A30" s="18">
        <v>974.0511</v>
      </c>
      <c r="B30" s="15">
        <v>22</v>
      </c>
      <c r="C30" s="12" t="s">
        <v>129</v>
      </c>
      <c r="D30" s="19" t="s">
        <v>235</v>
      </c>
      <c r="E30" s="19" t="s">
        <v>689</v>
      </c>
      <c r="F30" s="109" t="s">
        <v>713</v>
      </c>
      <c r="G30" s="19">
        <v>0</v>
      </c>
      <c r="H30" s="15">
        <v>20250904</v>
      </c>
    </row>
    <row r="31" spans="1:8">
      <c r="A31" s="18">
        <v>974.0598</v>
      </c>
      <c r="B31" s="15">
        <v>23</v>
      </c>
      <c r="C31" s="12" t="s">
        <v>129</v>
      </c>
      <c r="D31" s="19" t="s">
        <v>290</v>
      </c>
      <c r="E31" s="20" t="s">
        <v>33</v>
      </c>
      <c r="F31" s="21" t="s">
        <v>714</v>
      </c>
      <c r="G31" s="174">
        <v>1</v>
      </c>
      <c r="H31" s="15">
        <v>20250904</v>
      </c>
    </row>
    <row r="32" ht="15.75" spans="1:8">
      <c r="A32" s="18">
        <v>974.0685</v>
      </c>
      <c r="B32" s="68">
        <v>24</v>
      </c>
      <c r="C32" s="25" t="s">
        <v>238</v>
      </c>
      <c r="D32" s="25" t="s">
        <v>264</v>
      </c>
      <c r="E32" s="25" t="s">
        <v>244</v>
      </c>
      <c r="F32" s="118" t="s">
        <v>498</v>
      </c>
      <c r="G32" s="111">
        <v>1</v>
      </c>
      <c r="H32" s="15">
        <v>20250904</v>
      </c>
    </row>
    <row r="33" spans="1:8">
      <c r="A33" s="18">
        <v>974.072</v>
      </c>
      <c r="B33" s="180">
        <v>24</v>
      </c>
      <c r="C33" s="124" t="s">
        <v>129</v>
      </c>
      <c r="D33" s="173" t="s">
        <v>26</v>
      </c>
      <c r="E33" s="125" t="s">
        <v>15</v>
      </c>
      <c r="F33" s="129" t="s">
        <v>715</v>
      </c>
      <c r="G33" s="126">
        <v>1</v>
      </c>
      <c r="H33" s="15">
        <v>20250904</v>
      </c>
    </row>
    <row r="34" spans="1:8">
      <c r="A34" s="18">
        <v>974.0775</v>
      </c>
      <c r="B34" s="15">
        <v>25</v>
      </c>
      <c r="C34" s="12" t="s">
        <v>129</v>
      </c>
      <c r="D34" s="19" t="s">
        <v>235</v>
      </c>
      <c r="E34" s="19" t="s">
        <v>716</v>
      </c>
      <c r="F34" s="21" t="s">
        <v>717</v>
      </c>
      <c r="G34" s="19">
        <v>1</v>
      </c>
      <c r="H34" s="15">
        <v>20250904</v>
      </c>
    </row>
    <row r="35" spans="1:8">
      <c r="A35" s="18">
        <v>974.0842</v>
      </c>
      <c r="B35" s="15">
        <v>25</v>
      </c>
      <c r="C35" s="12" t="s">
        <v>129</v>
      </c>
      <c r="D35" s="19" t="s">
        <v>290</v>
      </c>
      <c r="E35" s="19" t="s">
        <v>236</v>
      </c>
      <c r="F35" s="21" t="s">
        <v>718</v>
      </c>
      <c r="G35" s="19">
        <v>1</v>
      </c>
      <c r="H35" s="15">
        <v>20250904</v>
      </c>
    </row>
    <row r="36" ht="28.5" spans="1:8">
      <c r="A36" s="18">
        <v>974.0772</v>
      </c>
      <c r="B36" s="15">
        <v>25</v>
      </c>
      <c r="C36" s="23" t="s">
        <v>95</v>
      </c>
      <c r="D36" s="23" t="s">
        <v>95</v>
      </c>
      <c r="E36" s="22" t="s">
        <v>172</v>
      </c>
      <c r="F36" s="31" t="s">
        <v>614</v>
      </c>
      <c r="G36" s="22">
        <v>2</v>
      </c>
      <c r="H36" s="15">
        <v>20250904</v>
      </c>
    </row>
    <row r="37" spans="1:8">
      <c r="A37" s="18">
        <v>974.0859</v>
      </c>
      <c r="B37" s="15">
        <v>26</v>
      </c>
      <c r="C37" s="12" t="s">
        <v>129</v>
      </c>
      <c r="D37" s="19" t="s">
        <v>235</v>
      </c>
      <c r="E37" s="19" t="s">
        <v>689</v>
      </c>
      <c r="F37" s="21" t="s">
        <v>719</v>
      </c>
      <c r="G37" s="19">
        <v>1</v>
      </c>
      <c r="H37" s="15">
        <v>20250904</v>
      </c>
    </row>
    <row r="38" spans="1:8">
      <c r="A38" s="18">
        <v>974.0945</v>
      </c>
      <c r="B38" s="15">
        <v>27</v>
      </c>
      <c r="C38" s="12" t="s">
        <v>129</v>
      </c>
      <c r="D38" s="19" t="s">
        <v>290</v>
      </c>
      <c r="E38" s="19" t="s">
        <v>689</v>
      </c>
      <c r="F38" s="21" t="s">
        <v>720</v>
      </c>
      <c r="G38" s="19">
        <v>1</v>
      </c>
      <c r="H38" s="15">
        <v>20250904</v>
      </c>
    </row>
    <row r="39" spans="1:8">
      <c r="A39" s="18">
        <v>974.0947</v>
      </c>
      <c r="B39" s="15">
        <v>27</v>
      </c>
      <c r="C39" s="12" t="s">
        <v>129</v>
      </c>
      <c r="D39" s="19" t="s">
        <v>235</v>
      </c>
      <c r="E39" s="19" t="s">
        <v>716</v>
      </c>
      <c r="F39" s="21" t="s">
        <v>721</v>
      </c>
      <c r="G39" s="19">
        <v>1</v>
      </c>
      <c r="H39" s="15">
        <v>20250904</v>
      </c>
    </row>
    <row r="40" spans="1:8">
      <c r="A40" s="18">
        <v>974.098</v>
      </c>
      <c r="B40" s="22">
        <v>27</v>
      </c>
      <c r="C40" s="22" t="s">
        <v>12</v>
      </c>
      <c r="D40" s="22" t="s">
        <v>12</v>
      </c>
      <c r="E40" s="22" t="s">
        <v>13</v>
      </c>
      <c r="F40" s="31" t="s">
        <v>722</v>
      </c>
      <c r="G40" s="22">
        <v>1</v>
      </c>
      <c r="H40" s="15">
        <v>20250904</v>
      </c>
    </row>
    <row r="41" ht="15.75" spans="1:8">
      <c r="A41" s="18">
        <v>974.0945</v>
      </c>
      <c r="B41" s="70">
        <v>27</v>
      </c>
      <c r="C41" s="110" t="s">
        <v>238</v>
      </c>
      <c r="D41" s="110" t="s">
        <v>239</v>
      </c>
      <c r="E41" s="110" t="s">
        <v>240</v>
      </c>
      <c r="F41" s="118" t="s">
        <v>723</v>
      </c>
      <c r="G41" s="111">
        <v>1</v>
      </c>
      <c r="H41" s="15">
        <v>20250904</v>
      </c>
    </row>
    <row r="42" spans="1:8">
      <c r="A42" s="18">
        <v>974.1018</v>
      </c>
      <c r="B42" s="15">
        <v>28</v>
      </c>
      <c r="C42" s="12" t="s">
        <v>129</v>
      </c>
      <c r="D42" s="19" t="s">
        <v>290</v>
      </c>
      <c r="E42" s="19" t="s">
        <v>689</v>
      </c>
      <c r="F42" s="21" t="s">
        <v>724</v>
      </c>
      <c r="G42" s="19">
        <v>1</v>
      </c>
      <c r="H42" s="15">
        <v>20250904</v>
      </c>
    </row>
    <row r="43" spans="1:8">
      <c r="A43" s="18">
        <v>974.1143</v>
      </c>
      <c r="B43" s="22">
        <v>29</v>
      </c>
      <c r="C43" s="22" t="s">
        <v>125</v>
      </c>
      <c r="D43" s="22" t="s">
        <v>261</v>
      </c>
      <c r="E43" s="23" t="s">
        <v>314</v>
      </c>
      <c r="F43" s="31" t="s">
        <v>725</v>
      </c>
      <c r="G43" s="22">
        <v>1</v>
      </c>
      <c r="H43" s="15">
        <v>20250904</v>
      </c>
    </row>
    <row r="44" spans="1:8">
      <c r="A44" s="18">
        <v>974.1277</v>
      </c>
      <c r="B44" s="15">
        <v>31</v>
      </c>
      <c r="C44" s="12" t="s">
        <v>129</v>
      </c>
      <c r="D44" s="19" t="s">
        <v>290</v>
      </c>
      <c r="E44" s="19" t="s">
        <v>689</v>
      </c>
      <c r="F44" s="21" t="s">
        <v>726</v>
      </c>
      <c r="G44" s="19">
        <v>1</v>
      </c>
      <c r="H44" s="15">
        <v>20250904</v>
      </c>
    </row>
    <row r="45" ht="15.75" spans="1:8">
      <c r="A45" s="18">
        <v>974.1277</v>
      </c>
      <c r="B45" s="68">
        <v>31</v>
      </c>
      <c r="C45" s="25" t="s">
        <v>238</v>
      </c>
      <c r="D45" s="25" t="s">
        <v>294</v>
      </c>
      <c r="E45" s="25" t="s">
        <v>244</v>
      </c>
      <c r="F45" s="118" t="s">
        <v>727</v>
      </c>
      <c r="G45" s="111">
        <v>1</v>
      </c>
      <c r="H45" s="15">
        <v>20250904</v>
      </c>
    </row>
    <row r="46" spans="1:8">
      <c r="A46" s="18">
        <v>974.1363</v>
      </c>
      <c r="B46" s="15">
        <v>32</v>
      </c>
      <c r="C46" s="12" t="s">
        <v>129</v>
      </c>
      <c r="D46" s="19" t="s">
        <v>290</v>
      </c>
      <c r="E46" s="19" t="s">
        <v>689</v>
      </c>
      <c r="F46" s="21" t="s">
        <v>728</v>
      </c>
      <c r="G46" s="19">
        <v>1</v>
      </c>
      <c r="H46" s="15">
        <v>20250904</v>
      </c>
    </row>
    <row r="47" spans="1:8">
      <c r="A47" s="18">
        <v>974.1451</v>
      </c>
      <c r="B47" s="15">
        <v>33</v>
      </c>
      <c r="C47" s="12" t="s">
        <v>129</v>
      </c>
      <c r="D47" s="19" t="s">
        <v>290</v>
      </c>
      <c r="E47" s="19" t="s">
        <v>689</v>
      </c>
      <c r="F47" s="21" t="s">
        <v>729</v>
      </c>
      <c r="G47" s="19">
        <v>1</v>
      </c>
      <c r="H47" s="15">
        <v>20250904</v>
      </c>
    </row>
    <row r="48" spans="1:8">
      <c r="A48" s="18">
        <v>974.1539</v>
      </c>
      <c r="B48" s="15">
        <v>34</v>
      </c>
      <c r="C48" s="12" t="s">
        <v>129</v>
      </c>
      <c r="D48" s="19" t="s">
        <v>235</v>
      </c>
      <c r="E48" s="19" t="s">
        <v>689</v>
      </c>
      <c r="F48" s="21" t="s">
        <v>730</v>
      </c>
      <c r="G48" s="19">
        <v>0</v>
      </c>
      <c r="H48" s="15">
        <v>20250904</v>
      </c>
    </row>
    <row r="49" spans="1:8">
      <c r="A49" s="18">
        <v>974.1625</v>
      </c>
      <c r="B49" s="15">
        <v>35</v>
      </c>
      <c r="C49" s="12" t="s">
        <v>129</v>
      </c>
      <c r="D49" s="19" t="s">
        <v>290</v>
      </c>
      <c r="E49" s="19" t="s">
        <v>689</v>
      </c>
      <c r="F49" s="21" t="s">
        <v>731</v>
      </c>
      <c r="G49" s="19">
        <v>0</v>
      </c>
      <c r="H49" s="15">
        <v>20250904</v>
      </c>
    </row>
    <row r="50" spans="1:8">
      <c r="A50" s="18">
        <v>974.1796</v>
      </c>
      <c r="B50" s="15">
        <v>37</v>
      </c>
      <c r="C50" s="12" t="s">
        <v>129</v>
      </c>
      <c r="D50" s="19" t="s">
        <v>290</v>
      </c>
      <c r="E50" s="19" t="s">
        <v>689</v>
      </c>
      <c r="F50" s="21" t="s">
        <v>732</v>
      </c>
      <c r="G50" s="19">
        <v>1</v>
      </c>
      <c r="H50" s="15">
        <v>20250904</v>
      </c>
    </row>
    <row r="51" spans="1:8">
      <c r="A51" s="18">
        <v>974.227</v>
      </c>
      <c r="B51" s="175">
        <v>42</v>
      </c>
      <c r="C51" s="124" t="s">
        <v>129</v>
      </c>
      <c r="D51" s="126" t="s">
        <v>290</v>
      </c>
      <c r="E51" s="126" t="s">
        <v>689</v>
      </c>
      <c r="F51" s="129" t="s">
        <v>733</v>
      </c>
      <c r="G51" s="126">
        <v>1</v>
      </c>
      <c r="H51" s="15">
        <v>20250904</v>
      </c>
    </row>
    <row r="52" ht="28.5" spans="1:8">
      <c r="A52" s="18">
        <v>974.2227</v>
      </c>
      <c r="B52" s="22">
        <v>42</v>
      </c>
      <c r="C52" s="23" t="s">
        <v>95</v>
      </c>
      <c r="D52" s="23" t="s">
        <v>95</v>
      </c>
      <c r="E52" s="22" t="s">
        <v>172</v>
      </c>
      <c r="F52" s="31" t="s">
        <v>614</v>
      </c>
      <c r="G52" s="22">
        <v>2</v>
      </c>
      <c r="H52" s="15">
        <v>20250904</v>
      </c>
    </row>
    <row r="53" spans="1:8">
      <c r="A53" s="18">
        <v>974.2227</v>
      </c>
      <c r="B53" s="25">
        <v>42</v>
      </c>
      <c r="C53" s="25" t="s">
        <v>268</v>
      </c>
      <c r="D53" s="25" t="s">
        <v>269</v>
      </c>
      <c r="E53" s="25" t="s">
        <v>19</v>
      </c>
      <c r="F53" s="118" t="s">
        <v>734</v>
      </c>
      <c r="G53" s="111">
        <v>1</v>
      </c>
      <c r="H53" s="15">
        <v>20250904</v>
      </c>
    </row>
    <row r="54" spans="1:8">
      <c r="A54" s="18">
        <v>974.2314</v>
      </c>
      <c r="B54" s="15">
        <v>43</v>
      </c>
      <c r="C54" s="12" t="s">
        <v>129</v>
      </c>
      <c r="D54" s="19" t="s">
        <v>290</v>
      </c>
      <c r="E54" s="19" t="s">
        <v>689</v>
      </c>
      <c r="F54" s="21" t="s">
        <v>735</v>
      </c>
      <c r="G54" s="19">
        <v>0</v>
      </c>
      <c r="H54" s="15">
        <v>20250904</v>
      </c>
    </row>
    <row r="55" spans="1:8">
      <c r="A55" s="18">
        <v>974.2354</v>
      </c>
      <c r="B55" s="15">
        <v>43</v>
      </c>
      <c r="C55" s="12" t="s">
        <v>129</v>
      </c>
      <c r="D55" s="19" t="s">
        <v>290</v>
      </c>
      <c r="E55" s="19" t="s">
        <v>689</v>
      </c>
      <c r="F55" s="21" t="s">
        <v>736</v>
      </c>
      <c r="G55" s="19">
        <v>0</v>
      </c>
      <c r="H55" s="15">
        <v>20250904</v>
      </c>
    </row>
    <row r="56" spans="1:8">
      <c r="A56" s="18">
        <v>974.2314</v>
      </c>
      <c r="B56" s="25">
        <v>43</v>
      </c>
      <c r="C56" s="25" t="s">
        <v>268</v>
      </c>
      <c r="D56" s="25" t="s">
        <v>269</v>
      </c>
      <c r="E56" s="25" t="s">
        <v>19</v>
      </c>
      <c r="F56" s="118" t="s">
        <v>734</v>
      </c>
      <c r="G56" s="111">
        <v>1</v>
      </c>
      <c r="H56" s="15">
        <v>20250904</v>
      </c>
    </row>
    <row r="57" spans="1:8">
      <c r="A57" s="18">
        <v>974.2399</v>
      </c>
      <c r="B57" s="15">
        <v>44</v>
      </c>
      <c r="C57" s="12" t="s">
        <v>129</v>
      </c>
      <c r="D57" s="19" t="s">
        <v>228</v>
      </c>
      <c r="E57" s="20" t="s">
        <v>41</v>
      </c>
      <c r="F57" s="21" t="s">
        <v>737</v>
      </c>
      <c r="G57" s="19">
        <v>1</v>
      </c>
      <c r="H57" s="15">
        <v>20250904</v>
      </c>
    </row>
    <row r="58" spans="1:8">
      <c r="A58" s="18">
        <v>974.2399</v>
      </c>
      <c r="B58" s="15">
        <v>44</v>
      </c>
      <c r="C58" s="12" t="s">
        <v>129</v>
      </c>
      <c r="D58" s="19" t="s">
        <v>290</v>
      </c>
      <c r="E58" s="20" t="s">
        <v>33</v>
      </c>
      <c r="F58" s="21" t="s">
        <v>738</v>
      </c>
      <c r="G58" s="19">
        <v>1</v>
      </c>
      <c r="H58" s="15">
        <v>20250904</v>
      </c>
    </row>
    <row r="59" spans="1:8">
      <c r="A59" s="18">
        <v>974.2486</v>
      </c>
      <c r="B59" s="15">
        <v>45</v>
      </c>
      <c r="C59" s="12" t="s">
        <v>129</v>
      </c>
      <c r="D59" s="19" t="s">
        <v>228</v>
      </c>
      <c r="E59" s="20" t="s">
        <v>41</v>
      </c>
      <c r="F59" s="21" t="s">
        <v>739</v>
      </c>
      <c r="G59" s="19">
        <v>1</v>
      </c>
      <c r="H59" s="15">
        <v>20250904</v>
      </c>
    </row>
    <row r="60" spans="1:8">
      <c r="A60" s="18">
        <v>974.2486</v>
      </c>
      <c r="B60" s="15">
        <v>45</v>
      </c>
      <c r="C60" s="12" t="s">
        <v>129</v>
      </c>
      <c r="D60" s="19" t="s">
        <v>235</v>
      </c>
      <c r="E60" s="20" t="s">
        <v>41</v>
      </c>
      <c r="F60" s="21" t="s">
        <v>740</v>
      </c>
      <c r="G60" s="19">
        <v>1</v>
      </c>
      <c r="H60" s="15">
        <v>20250904</v>
      </c>
    </row>
    <row r="61" spans="1:8">
      <c r="A61" s="18">
        <v>974.2573</v>
      </c>
      <c r="B61" s="15">
        <v>46</v>
      </c>
      <c r="C61" s="12" t="s">
        <v>129</v>
      </c>
      <c r="D61" s="19" t="s">
        <v>290</v>
      </c>
      <c r="E61" s="20" t="s">
        <v>33</v>
      </c>
      <c r="F61" s="21" t="s">
        <v>741</v>
      </c>
      <c r="G61" s="19">
        <v>1</v>
      </c>
      <c r="H61" s="15">
        <v>20250904</v>
      </c>
    </row>
    <row r="62" spans="1:8">
      <c r="A62" s="18">
        <v>974.2682</v>
      </c>
      <c r="B62" s="15">
        <v>47</v>
      </c>
      <c r="C62" s="12" t="s">
        <v>129</v>
      </c>
      <c r="D62" s="19" t="s">
        <v>235</v>
      </c>
      <c r="E62" s="20" t="s">
        <v>41</v>
      </c>
      <c r="F62" s="21" t="s">
        <v>742</v>
      </c>
      <c r="G62" s="19">
        <v>1</v>
      </c>
      <c r="H62" s="15">
        <v>20250904</v>
      </c>
    </row>
    <row r="63" spans="1:8">
      <c r="A63" s="18">
        <v>974.3174</v>
      </c>
      <c r="B63" s="15">
        <v>53</v>
      </c>
      <c r="C63" s="12" t="s">
        <v>129</v>
      </c>
      <c r="D63" s="19" t="s">
        <v>290</v>
      </c>
      <c r="E63" s="19" t="s">
        <v>689</v>
      </c>
      <c r="F63" s="21" t="s">
        <v>743</v>
      </c>
      <c r="G63" s="19">
        <v>0</v>
      </c>
      <c r="H63" s="15">
        <v>20250904</v>
      </c>
    </row>
    <row r="64" spans="1:8">
      <c r="A64" s="18">
        <v>974.3224</v>
      </c>
      <c r="B64" s="25">
        <v>53</v>
      </c>
      <c r="C64" s="25" t="s">
        <v>268</v>
      </c>
      <c r="D64" s="25" t="s">
        <v>269</v>
      </c>
      <c r="E64" s="25" t="s">
        <v>19</v>
      </c>
      <c r="F64" s="118" t="s">
        <v>706</v>
      </c>
      <c r="G64" s="111">
        <v>1</v>
      </c>
      <c r="H64" s="15">
        <v>20250904</v>
      </c>
    </row>
    <row r="65" spans="1:8">
      <c r="A65" s="18">
        <v>974.3261</v>
      </c>
      <c r="B65" s="15">
        <v>54</v>
      </c>
      <c r="C65" s="12" t="s">
        <v>129</v>
      </c>
      <c r="D65" s="19" t="s">
        <v>290</v>
      </c>
      <c r="E65" s="19" t="s">
        <v>689</v>
      </c>
      <c r="F65" s="21" t="s">
        <v>744</v>
      </c>
      <c r="G65" s="19">
        <v>0</v>
      </c>
      <c r="H65" s="15">
        <v>20250904</v>
      </c>
    </row>
    <row r="66" spans="1:8">
      <c r="A66" s="18">
        <v>974.3432</v>
      </c>
      <c r="B66" s="15">
        <v>56</v>
      </c>
      <c r="C66" s="12" t="s">
        <v>129</v>
      </c>
      <c r="D66" s="19" t="s">
        <v>290</v>
      </c>
      <c r="E66" s="19" t="s">
        <v>689</v>
      </c>
      <c r="F66" s="21" t="s">
        <v>745</v>
      </c>
      <c r="G66" s="19">
        <v>1</v>
      </c>
      <c r="H66" s="15">
        <v>20250904</v>
      </c>
    </row>
    <row r="67" spans="1:8">
      <c r="A67" s="18">
        <v>974.3517</v>
      </c>
      <c r="B67" s="15">
        <v>57</v>
      </c>
      <c r="C67" s="12" t="s">
        <v>129</v>
      </c>
      <c r="D67" s="19" t="s">
        <v>290</v>
      </c>
      <c r="E67" s="19" t="s">
        <v>689</v>
      </c>
      <c r="F67" s="21" t="s">
        <v>746</v>
      </c>
      <c r="G67" s="19">
        <v>0</v>
      </c>
      <c r="H67" s="15">
        <v>20250904</v>
      </c>
    </row>
    <row r="68" spans="1:8">
      <c r="A68" s="18">
        <v>974.3557</v>
      </c>
      <c r="B68" s="86">
        <v>57</v>
      </c>
      <c r="C68" s="22" t="s">
        <v>253</v>
      </c>
      <c r="D68" s="22" t="s">
        <v>126</v>
      </c>
      <c r="E68" s="22" t="s">
        <v>515</v>
      </c>
      <c r="F68" s="31" t="s">
        <v>516</v>
      </c>
      <c r="G68" s="22">
        <v>1</v>
      </c>
      <c r="H68" s="15">
        <v>20250904</v>
      </c>
    </row>
    <row r="69" spans="1:8">
      <c r="A69" s="18">
        <v>974.3603</v>
      </c>
      <c r="B69" s="15">
        <v>58</v>
      </c>
      <c r="C69" s="12" t="s">
        <v>129</v>
      </c>
      <c r="D69" s="19" t="s">
        <v>290</v>
      </c>
      <c r="E69" s="19" t="s">
        <v>689</v>
      </c>
      <c r="F69" s="21" t="s">
        <v>747</v>
      </c>
      <c r="G69" s="19">
        <v>0</v>
      </c>
      <c r="H69" s="15">
        <v>20250904</v>
      </c>
    </row>
    <row r="70" spans="1:8">
      <c r="A70" s="18">
        <v>974.3709</v>
      </c>
      <c r="B70" s="15">
        <v>59</v>
      </c>
      <c r="C70" s="12" t="s">
        <v>129</v>
      </c>
      <c r="D70" s="19" t="s">
        <v>290</v>
      </c>
      <c r="E70" s="19" t="s">
        <v>689</v>
      </c>
      <c r="F70" s="21" t="s">
        <v>748</v>
      </c>
      <c r="G70" s="19">
        <v>1</v>
      </c>
      <c r="H70" s="15">
        <v>20250904</v>
      </c>
    </row>
    <row r="71" spans="1:8">
      <c r="A71" s="18">
        <v>974.3948</v>
      </c>
      <c r="B71" s="15">
        <v>62</v>
      </c>
      <c r="C71" s="12" t="s">
        <v>129</v>
      </c>
      <c r="D71" s="19" t="s">
        <v>290</v>
      </c>
      <c r="E71" s="19" t="s">
        <v>689</v>
      </c>
      <c r="F71" s="21" t="s">
        <v>749</v>
      </c>
      <c r="G71" s="19">
        <v>0</v>
      </c>
      <c r="H71" s="15">
        <v>20250904</v>
      </c>
    </row>
    <row r="72" spans="1:8">
      <c r="A72" s="18">
        <v>974.4122</v>
      </c>
      <c r="B72" s="86">
        <v>64</v>
      </c>
      <c r="C72" s="22" t="s">
        <v>125</v>
      </c>
      <c r="D72" s="22" t="s">
        <v>261</v>
      </c>
      <c r="E72" s="23" t="s">
        <v>314</v>
      </c>
      <c r="F72" s="24" t="s">
        <v>750</v>
      </c>
      <c r="G72" s="22">
        <v>1</v>
      </c>
      <c r="H72" s="15">
        <v>20250904</v>
      </c>
    </row>
    <row r="73" spans="1:8">
      <c r="A73" s="18">
        <v>974.4208</v>
      </c>
      <c r="B73" s="15">
        <v>65</v>
      </c>
      <c r="C73" s="12" t="s">
        <v>129</v>
      </c>
      <c r="D73" s="19" t="s">
        <v>290</v>
      </c>
      <c r="E73" s="19" t="s">
        <v>689</v>
      </c>
      <c r="F73" s="21" t="s">
        <v>751</v>
      </c>
      <c r="G73" s="19">
        <v>0</v>
      </c>
      <c r="H73" s="15">
        <v>20250904</v>
      </c>
    </row>
    <row r="74" spans="1:8">
      <c r="A74" s="18">
        <v>974.4294</v>
      </c>
      <c r="B74" s="15">
        <v>66</v>
      </c>
      <c r="C74" s="12" t="s">
        <v>129</v>
      </c>
      <c r="D74" s="19" t="s">
        <v>228</v>
      </c>
      <c r="E74" s="19" t="s">
        <v>689</v>
      </c>
      <c r="F74" s="21" t="s">
        <v>752</v>
      </c>
      <c r="G74" s="19">
        <v>0</v>
      </c>
      <c r="H74" s="15">
        <v>20250904</v>
      </c>
    </row>
    <row r="75" spans="1:8">
      <c r="A75" s="18">
        <v>974.4499</v>
      </c>
      <c r="B75" s="15">
        <v>68</v>
      </c>
      <c r="C75" s="12" t="s">
        <v>129</v>
      </c>
      <c r="D75" s="19" t="s">
        <v>290</v>
      </c>
      <c r="E75" s="19" t="s">
        <v>689</v>
      </c>
      <c r="F75" s="21" t="s">
        <v>753</v>
      </c>
      <c r="G75" s="19">
        <v>0</v>
      </c>
      <c r="H75" s="15">
        <v>20250904</v>
      </c>
    </row>
    <row r="76" spans="1:8">
      <c r="A76" s="18">
        <v>974.4545</v>
      </c>
      <c r="B76" s="15">
        <v>69</v>
      </c>
      <c r="C76" s="12" t="s">
        <v>129</v>
      </c>
      <c r="D76" s="19" t="s">
        <v>290</v>
      </c>
      <c r="E76" s="19" t="s">
        <v>689</v>
      </c>
      <c r="F76" s="21" t="s">
        <v>754</v>
      </c>
      <c r="G76" s="19">
        <v>1</v>
      </c>
      <c r="H76" s="15">
        <v>20250904</v>
      </c>
    </row>
    <row r="77" spans="1:8">
      <c r="A77" s="18">
        <v>974.4633</v>
      </c>
      <c r="B77" s="15">
        <v>70</v>
      </c>
      <c r="C77" s="12" t="s">
        <v>129</v>
      </c>
      <c r="D77" s="19" t="s">
        <v>290</v>
      </c>
      <c r="E77" s="19" t="s">
        <v>689</v>
      </c>
      <c r="F77" s="21" t="s">
        <v>755</v>
      </c>
      <c r="G77" s="19">
        <v>0</v>
      </c>
      <c r="H77" s="15">
        <v>20250904</v>
      </c>
    </row>
    <row r="78" spans="1:8">
      <c r="A78" s="18">
        <v>974.4719</v>
      </c>
      <c r="B78" s="15">
        <v>71</v>
      </c>
      <c r="C78" s="12" t="s">
        <v>129</v>
      </c>
      <c r="D78" s="19" t="s">
        <v>290</v>
      </c>
      <c r="E78" s="19" t="s">
        <v>689</v>
      </c>
      <c r="F78" s="21" t="s">
        <v>756</v>
      </c>
      <c r="G78" s="19">
        <v>1</v>
      </c>
      <c r="H78" s="15">
        <v>20250904</v>
      </c>
    </row>
    <row r="79" spans="1:8">
      <c r="A79" s="18">
        <v>974.4806</v>
      </c>
      <c r="B79" s="15">
        <v>72</v>
      </c>
      <c r="C79" s="12" t="s">
        <v>129</v>
      </c>
      <c r="D79" s="19" t="s">
        <v>290</v>
      </c>
      <c r="E79" s="19" t="s">
        <v>689</v>
      </c>
      <c r="F79" s="21" t="s">
        <v>746</v>
      </c>
      <c r="G79" s="19">
        <v>0</v>
      </c>
      <c r="H79" s="15">
        <v>20250904</v>
      </c>
    </row>
    <row r="80" ht="15.75" spans="1:8">
      <c r="A80" s="18">
        <v>974.5324</v>
      </c>
      <c r="B80" s="68">
        <v>78</v>
      </c>
      <c r="C80" s="25" t="s">
        <v>238</v>
      </c>
      <c r="D80" s="25" t="s">
        <v>264</v>
      </c>
      <c r="E80" s="25" t="s">
        <v>244</v>
      </c>
      <c r="F80" s="118" t="s">
        <v>757</v>
      </c>
      <c r="G80" s="111">
        <v>1</v>
      </c>
      <c r="H80" s="15">
        <v>20250904</v>
      </c>
    </row>
    <row r="81" spans="1:8">
      <c r="A81" s="18">
        <v>974.553</v>
      </c>
      <c r="B81" s="137">
        <v>80</v>
      </c>
      <c r="C81" s="175" t="s">
        <v>125</v>
      </c>
      <c r="D81" s="175" t="s">
        <v>261</v>
      </c>
      <c r="E81" s="187" t="s">
        <v>314</v>
      </c>
      <c r="F81" s="183" t="s">
        <v>758</v>
      </c>
      <c r="G81" s="113">
        <v>1</v>
      </c>
      <c r="H81" s="15">
        <v>20250904</v>
      </c>
    </row>
    <row r="82" spans="1:8">
      <c r="A82" s="18">
        <v>974.5583</v>
      </c>
      <c r="B82" s="86">
        <v>81</v>
      </c>
      <c r="C82" s="22" t="s">
        <v>125</v>
      </c>
      <c r="D82" s="22" t="s">
        <v>261</v>
      </c>
      <c r="E82" s="23" t="s">
        <v>314</v>
      </c>
      <c r="F82" s="31" t="s">
        <v>750</v>
      </c>
      <c r="G82" s="22">
        <v>1</v>
      </c>
      <c r="H82" s="15">
        <v>20250904</v>
      </c>
    </row>
    <row r="83" spans="1:8">
      <c r="A83" s="18">
        <v>974.5668</v>
      </c>
      <c r="B83" s="15">
        <v>82</v>
      </c>
      <c r="C83" s="12" t="s">
        <v>129</v>
      </c>
      <c r="D83" s="19" t="s">
        <v>235</v>
      </c>
      <c r="E83" s="20" t="s">
        <v>41</v>
      </c>
      <c r="F83" s="21" t="s">
        <v>759</v>
      </c>
      <c r="G83" s="19">
        <v>1</v>
      </c>
      <c r="H83" s="15">
        <v>20250904</v>
      </c>
    </row>
    <row r="84" spans="1:8">
      <c r="A84" s="18">
        <v>974.5688</v>
      </c>
      <c r="B84" s="15">
        <v>82</v>
      </c>
      <c r="C84" s="12" t="s">
        <v>129</v>
      </c>
      <c r="D84" s="19" t="s">
        <v>228</v>
      </c>
      <c r="E84" s="20" t="s">
        <v>41</v>
      </c>
      <c r="F84" s="21" t="s">
        <v>760</v>
      </c>
      <c r="G84" s="19">
        <v>1</v>
      </c>
      <c r="H84" s="15">
        <v>20250904</v>
      </c>
    </row>
    <row r="85" spans="1:8">
      <c r="A85" s="18">
        <v>974.5756</v>
      </c>
      <c r="B85" s="15">
        <v>83</v>
      </c>
      <c r="C85" s="12" t="s">
        <v>129</v>
      </c>
      <c r="D85" s="19" t="s">
        <v>235</v>
      </c>
      <c r="E85" s="20" t="s">
        <v>41</v>
      </c>
      <c r="F85" s="21" t="s">
        <v>761</v>
      </c>
      <c r="G85" s="19">
        <v>1</v>
      </c>
      <c r="H85" s="15">
        <v>20250904</v>
      </c>
    </row>
    <row r="86" ht="27" spans="1:8">
      <c r="A86" s="18">
        <v>974.5836</v>
      </c>
      <c r="B86" s="86">
        <v>83</v>
      </c>
      <c r="C86" s="22" t="s">
        <v>125</v>
      </c>
      <c r="D86" s="22" t="s">
        <v>261</v>
      </c>
      <c r="E86" s="23" t="s">
        <v>89</v>
      </c>
      <c r="F86" s="31" t="s">
        <v>762</v>
      </c>
      <c r="G86" s="22">
        <v>1</v>
      </c>
      <c r="H86" s="15">
        <v>20250904</v>
      </c>
    </row>
    <row r="87" spans="1:8">
      <c r="A87" s="18" t="s">
        <v>91</v>
      </c>
      <c r="B87" s="180" t="s">
        <v>91</v>
      </c>
      <c r="C87" s="180" t="s">
        <v>447</v>
      </c>
      <c r="D87" s="181" t="s">
        <v>91</v>
      </c>
      <c r="E87" s="181" t="s">
        <v>91</v>
      </c>
      <c r="F87" s="182" t="s">
        <v>448</v>
      </c>
      <c r="G87" s="181">
        <v>0</v>
      </c>
      <c r="H87" s="15">
        <v>20250904</v>
      </c>
    </row>
    <row r="88" ht="27" spans="1:8">
      <c r="A88" s="18">
        <v>973.874</v>
      </c>
      <c r="B88" s="15" t="s">
        <v>94</v>
      </c>
      <c r="C88" s="22" t="s">
        <v>170</v>
      </c>
      <c r="D88" s="22" t="s">
        <v>170</v>
      </c>
      <c r="E88" s="22" t="s">
        <v>172</v>
      </c>
      <c r="F88" s="31" t="s">
        <v>222</v>
      </c>
      <c r="G88" s="22">
        <v>1</v>
      </c>
      <c r="H88" s="15">
        <v>20250904</v>
      </c>
    </row>
    <row r="89" ht="27" spans="1:8">
      <c r="A89" s="18">
        <v>973.956</v>
      </c>
      <c r="B89" s="15" t="s">
        <v>99</v>
      </c>
      <c r="C89" s="22" t="s">
        <v>170</v>
      </c>
      <c r="D89" s="22" t="s">
        <v>170</v>
      </c>
      <c r="E89" s="22" t="s">
        <v>172</v>
      </c>
      <c r="F89" s="31" t="s">
        <v>222</v>
      </c>
      <c r="G89" s="22">
        <v>1</v>
      </c>
      <c r="H89" s="15">
        <v>20250904</v>
      </c>
    </row>
    <row r="90" ht="27" spans="1:8">
      <c r="A90" s="18">
        <v>974.042</v>
      </c>
      <c r="B90" s="15" t="s">
        <v>100</v>
      </c>
      <c r="C90" s="22" t="s">
        <v>170</v>
      </c>
      <c r="D90" s="22" t="s">
        <v>170</v>
      </c>
      <c r="E90" s="22" t="s">
        <v>172</v>
      </c>
      <c r="F90" s="31" t="s">
        <v>222</v>
      </c>
      <c r="G90" s="22">
        <v>1</v>
      </c>
      <c r="H90" s="15">
        <v>20250904</v>
      </c>
    </row>
    <row r="91" ht="27" spans="1:8">
      <c r="A91" s="18">
        <v>974.128</v>
      </c>
      <c r="B91" s="15" t="s">
        <v>101</v>
      </c>
      <c r="C91" s="22" t="s">
        <v>170</v>
      </c>
      <c r="D91" s="22" t="s">
        <v>170</v>
      </c>
      <c r="E91" s="22" t="s">
        <v>172</v>
      </c>
      <c r="F91" s="31" t="s">
        <v>222</v>
      </c>
      <c r="G91" s="22">
        <v>1</v>
      </c>
      <c r="H91" s="15">
        <v>20250904</v>
      </c>
    </row>
    <row r="92" ht="27" spans="1:8">
      <c r="A92" s="18">
        <v>974.214</v>
      </c>
      <c r="B92" s="15" t="s">
        <v>102</v>
      </c>
      <c r="C92" s="22" t="s">
        <v>170</v>
      </c>
      <c r="D92" s="22" t="s">
        <v>170</v>
      </c>
      <c r="E92" s="22" t="s">
        <v>172</v>
      </c>
      <c r="F92" s="31" t="s">
        <v>222</v>
      </c>
      <c r="G92" s="22">
        <v>1</v>
      </c>
      <c r="H92" s="15">
        <v>20250904</v>
      </c>
    </row>
    <row r="93" ht="27" spans="1:8">
      <c r="A93" s="18">
        <v>974.3</v>
      </c>
      <c r="B93" s="15" t="s">
        <v>103</v>
      </c>
      <c r="C93" s="22" t="s">
        <v>170</v>
      </c>
      <c r="D93" s="22" t="s">
        <v>170</v>
      </c>
      <c r="E93" s="22" t="s">
        <v>172</v>
      </c>
      <c r="F93" s="31" t="s">
        <v>222</v>
      </c>
      <c r="G93" s="22">
        <v>1</v>
      </c>
      <c r="H93" s="15">
        <v>20250904</v>
      </c>
    </row>
    <row r="94" ht="27" spans="1:8">
      <c r="A94" s="18">
        <v>974.386</v>
      </c>
      <c r="B94" s="15" t="s">
        <v>223</v>
      </c>
      <c r="C94" s="22" t="s">
        <v>170</v>
      </c>
      <c r="D94" s="22" t="s">
        <v>170</v>
      </c>
      <c r="E94" s="22" t="s">
        <v>172</v>
      </c>
      <c r="F94" s="31" t="s">
        <v>222</v>
      </c>
      <c r="G94" s="22">
        <v>1</v>
      </c>
      <c r="H94" s="15">
        <v>20250904</v>
      </c>
    </row>
    <row r="95" ht="27" spans="1:8">
      <c r="A95" s="18">
        <v>974.472</v>
      </c>
      <c r="B95" s="15" t="s">
        <v>317</v>
      </c>
      <c r="C95" s="22" t="s">
        <v>170</v>
      </c>
      <c r="D95" s="22" t="s">
        <v>170</v>
      </c>
      <c r="E95" s="22" t="s">
        <v>172</v>
      </c>
      <c r="F95" s="31" t="s">
        <v>222</v>
      </c>
      <c r="G95" s="22">
        <v>1</v>
      </c>
      <c r="H95" s="15">
        <v>20250904</v>
      </c>
    </row>
  </sheetData>
  <autoFilter xmlns:etc="http://www.wps.cn/officeDocument/2017/etCustomData" ref="A1:H95" etc:filterBottomFollowUsedRange="0">
    <extLst/>
  </autoFilter>
  <sortState ref="A2:H136">
    <sortCondition ref="B2:B136"/>
  </sortState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85"/>
  <sheetViews>
    <sheetView tabSelected="1" workbookViewId="0">
      <selection activeCell="K14" sqref="K14"/>
    </sheetView>
  </sheetViews>
  <sheetFormatPr defaultColWidth="9" defaultRowHeight="14.25" outlineLevelCol="7"/>
  <cols>
    <col min="2" max="4" width="9" style="4"/>
    <col min="5" max="5" width="11" style="4" customWidth="1"/>
    <col min="6" max="6" width="85.75" customWidth="1"/>
    <col min="7" max="7" width="9" style="4"/>
    <col min="8" max="8" width="9.5" style="4" customWidth="1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ht="15.75" spans="1:8">
      <c r="A2" s="15">
        <v>974.539</v>
      </c>
      <c r="B2" s="110">
        <v>0</v>
      </c>
      <c r="C2" s="29" t="s">
        <v>321</v>
      </c>
      <c r="D2" s="64" t="s">
        <v>451</v>
      </c>
      <c r="E2" s="25" t="s">
        <v>763</v>
      </c>
      <c r="F2" s="168" t="s">
        <v>764</v>
      </c>
      <c r="G2" s="122">
        <v>1</v>
      </c>
      <c r="H2" s="15">
        <v>20250904</v>
      </c>
    </row>
    <row r="3" ht="15" spans="1:8">
      <c r="A3" s="15">
        <v>974.539</v>
      </c>
      <c r="B3" s="169">
        <v>0</v>
      </c>
      <c r="C3" s="28" t="s">
        <v>765</v>
      </c>
      <c r="D3" s="64" t="s">
        <v>766</v>
      </c>
      <c r="E3" s="64" t="s">
        <v>767</v>
      </c>
      <c r="F3" s="168" t="s">
        <v>768</v>
      </c>
      <c r="G3" s="122">
        <v>1</v>
      </c>
      <c r="H3" s="15">
        <v>20250904</v>
      </c>
    </row>
    <row r="4" ht="15.75" spans="1:8">
      <c r="A4" s="15">
        <v>974.539</v>
      </c>
      <c r="B4" s="169">
        <v>0</v>
      </c>
      <c r="C4" s="12" t="s">
        <v>542</v>
      </c>
      <c r="D4" s="64" t="s">
        <v>766</v>
      </c>
      <c r="E4" s="64" t="s">
        <v>314</v>
      </c>
      <c r="F4" s="168" t="s">
        <v>769</v>
      </c>
      <c r="G4" s="122">
        <v>1</v>
      </c>
      <c r="H4" s="15">
        <v>20250904</v>
      </c>
    </row>
    <row r="5" ht="15" spans="1:8">
      <c r="A5" s="15">
        <v>974.539</v>
      </c>
      <c r="B5" s="12">
        <v>0</v>
      </c>
      <c r="C5" s="12" t="s">
        <v>542</v>
      </c>
      <c r="D5" s="12" t="s">
        <v>770</v>
      </c>
      <c r="E5" s="19" t="s">
        <v>771</v>
      </c>
      <c r="F5" s="21" t="s">
        <v>772</v>
      </c>
      <c r="G5" s="19">
        <v>2</v>
      </c>
      <c r="H5" s="15">
        <v>20250904</v>
      </c>
    </row>
    <row r="6" ht="15" spans="1:8">
      <c r="A6" s="15">
        <v>973.834</v>
      </c>
      <c r="B6" s="12">
        <v>0</v>
      </c>
      <c r="C6" s="12" t="s">
        <v>542</v>
      </c>
      <c r="D6" s="12" t="s">
        <v>773</v>
      </c>
      <c r="E6" s="19" t="s">
        <v>771</v>
      </c>
      <c r="F6" s="21" t="s">
        <v>774</v>
      </c>
      <c r="G6" s="19">
        <v>2</v>
      </c>
      <c r="H6" s="15">
        <v>20250904</v>
      </c>
    </row>
    <row r="7" ht="15" spans="1:8">
      <c r="A7" s="15">
        <v>974.539</v>
      </c>
      <c r="B7" s="12">
        <v>0</v>
      </c>
      <c r="C7" s="12" t="s">
        <v>224</v>
      </c>
      <c r="D7" s="12" t="s">
        <v>318</v>
      </c>
      <c r="E7" s="19" t="s">
        <v>775</v>
      </c>
      <c r="F7" s="21" t="s">
        <v>776</v>
      </c>
      <c r="G7" s="19">
        <v>1</v>
      </c>
      <c r="H7" s="15">
        <v>20250904</v>
      </c>
    </row>
    <row r="8" ht="15" spans="1:8">
      <c r="A8" s="18">
        <v>974.539</v>
      </c>
      <c r="B8" s="22">
        <v>1</v>
      </c>
      <c r="C8" s="22" t="s">
        <v>125</v>
      </c>
      <c r="D8" s="22" t="s">
        <v>126</v>
      </c>
      <c r="E8" s="22" t="s">
        <v>777</v>
      </c>
      <c r="F8" s="31" t="s">
        <v>778</v>
      </c>
      <c r="G8" s="22">
        <v>1</v>
      </c>
      <c r="H8" s="15">
        <v>20250904</v>
      </c>
    </row>
    <row r="9" ht="15" spans="1:8">
      <c r="A9" s="18">
        <v>974.535</v>
      </c>
      <c r="B9" s="12">
        <v>1</v>
      </c>
      <c r="C9" s="12" t="s">
        <v>129</v>
      </c>
      <c r="D9" s="170" t="s">
        <v>43</v>
      </c>
      <c r="E9" s="20" t="s">
        <v>15</v>
      </c>
      <c r="F9" s="21" t="s">
        <v>779</v>
      </c>
      <c r="G9" s="19">
        <v>0</v>
      </c>
      <c r="H9" s="15">
        <v>20250904</v>
      </c>
    </row>
    <row r="10" ht="15" spans="1:8">
      <c r="A10" s="18">
        <v>974.5355</v>
      </c>
      <c r="B10" s="12">
        <v>1</v>
      </c>
      <c r="C10" s="12" t="s">
        <v>129</v>
      </c>
      <c r="D10" s="12" t="s">
        <v>135</v>
      </c>
      <c r="E10" s="20" t="s">
        <v>15</v>
      </c>
      <c r="F10" s="21" t="s">
        <v>780</v>
      </c>
      <c r="G10" s="19">
        <v>0</v>
      </c>
      <c r="H10" s="15">
        <v>20250904</v>
      </c>
    </row>
    <row r="11" ht="15" spans="1:8">
      <c r="A11" s="18">
        <v>974.5335</v>
      </c>
      <c r="B11" s="12">
        <v>1</v>
      </c>
      <c r="C11" s="12" t="s">
        <v>129</v>
      </c>
      <c r="D11" s="12" t="s">
        <v>135</v>
      </c>
      <c r="E11" s="20" t="s">
        <v>15</v>
      </c>
      <c r="F11" s="21" t="s">
        <v>781</v>
      </c>
      <c r="G11" s="19">
        <v>0</v>
      </c>
      <c r="H11" s="15">
        <v>20250904</v>
      </c>
    </row>
    <row r="12" ht="15" spans="1:8">
      <c r="A12" s="18">
        <v>974.5304</v>
      </c>
      <c r="B12" s="12">
        <v>2</v>
      </c>
      <c r="C12" s="12" t="s">
        <v>129</v>
      </c>
      <c r="D12" s="12" t="s">
        <v>130</v>
      </c>
      <c r="E12" s="20" t="s">
        <v>41</v>
      </c>
      <c r="F12" s="21" t="s">
        <v>782</v>
      </c>
      <c r="G12" s="19">
        <v>1</v>
      </c>
      <c r="H12" s="15">
        <v>20250904</v>
      </c>
    </row>
    <row r="13" ht="15" spans="1:8">
      <c r="A13" s="18">
        <v>974.5275</v>
      </c>
      <c r="B13" s="12">
        <v>3</v>
      </c>
      <c r="C13" s="12" t="s">
        <v>129</v>
      </c>
      <c r="D13" s="12" t="s">
        <v>135</v>
      </c>
      <c r="E13" s="20" t="s">
        <v>15</v>
      </c>
      <c r="F13" s="21" t="s">
        <v>783</v>
      </c>
      <c r="G13" s="19">
        <v>0</v>
      </c>
      <c r="H13" s="15">
        <v>20250904</v>
      </c>
    </row>
    <row r="14" ht="15" spans="1:8">
      <c r="A14" s="18">
        <v>974.5133</v>
      </c>
      <c r="B14" s="12">
        <v>4</v>
      </c>
      <c r="C14" s="12" t="s">
        <v>129</v>
      </c>
      <c r="D14" s="12" t="s">
        <v>135</v>
      </c>
      <c r="E14" s="20" t="s">
        <v>15</v>
      </c>
      <c r="F14" s="21" t="s">
        <v>784</v>
      </c>
      <c r="G14" s="19">
        <v>0</v>
      </c>
      <c r="H14" s="15">
        <v>20250904</v>
      </c>
    </row>
    <row r="15" ht="15" spans="1:8">
      <c r="A15" s="18">
        <v>974.5116</v>
      </c>
      <c r="B15" s="12">
        <v>5</v>
      </c>
      <c r="C15" s="12" t="s">
        <v>129</v>
      </c>
      <c r="D15" s="12" t="s">
        <v>151</v>
      </c>
      <c r="E15" s="20" t="s">
        <v>33</v>
      </c>
      <c r="F15" s="21" t="s">
        <v>785</v>
      </c>
      <c r="G15" s="19">
        <v>0</v>
      </c>
      <c r="H15" s="15">
        <v>20250904</v>
      </c>
    </row>
    <row r="16" ht="15" spans="1:8">
      <c r="A16" s="18">
        <v>974.4851</v>
      </c>
      <c r="B16" s="12">
        <v>8</v>
      </c>
      <c r="C16" s="12" t="s">
        <v>129</v>
      </c>
      <c r="D16" s="19" t="s">
        <v>290</v>
      </c>
      <c r="E16" s="20" t="s">
        <v>33</v>
      </c>
      <c r="F16" s="21" t="s">
        <v>786</v>
      </c>
      <c r="G16" s="19">
        <v>0</v>
      </c>
      <c r="H16" s="15">
        <v>20250904</v>
      </c>
    </row>
    <row r="17" ht="15" spans="1:8">
      <c r="A17" s="18">
        <v>974.4763</v>
      </c>
      <c r="B17" s="22">
        <v>9</v>
      </c>
      <c r="C17" s="22" t="s">
        <v>125</v>
      </c>
      <c r="D17" s="22" t="s">
        <v>126</v>
      </c>
      <c r="E17" s="23" t="s">
        <v>787</v>
      </c>
      <c r="F17" s="31" t="s">
        <v>788</v>
      </c>
      <c r="G17" s="22">
        <v>1</v>
      </c>
      <c r="H17" s="15">
        <v>20250904</v>
      </c>
    </row>
    <row r="18" ht="15" spans="1:8">
      <c r="A18" s="18">
        <v>974.4674</v>
      </c>
      <c r="B18" s="12">
        <v>10</v>
      </c>
      <c r="C18" s="12" t="s">
        <v>129</v>
      </c>
      <c r="D18" s="19" t="s">
        <v>290</v>
      </c>
      <c r="E18" s="20" t="s">
        <v>33</v>
      </c>
      <c r="F18" s="21" t="s">
        <v>789</v>
      </c>
      <c r="G18" s="19">
        <v>0</v>
      </c>
      <c r="H18" s="15">
        <v>20250904</v>
      </c>
    </row>
    <row r="19" ht="15" spans="1:8">
      <c r="A19" s="18">
        <v>974.4624</v>
      </c>
      <c r="B19" s="111">
        <v>10</v>
      </c>
      <c r="C19" s="25" t="s">
        <v>247</v>
      </c>
      <c r="D19" s="25" t="s">
        <v>242</v>
      </c>
      <c r="E19" s="25" t="s">
        <v>248</v>
      </c>
      <c r="F19" s="118" t="s">
        <v>790</v>
      </c>
      <c r="G19" s="122">
        <v>1</v>
      </c>
      <c r="H19" s="15">
        <v>20250904</v>
      </c>
    </row>
    <row r="20" ht="15.75" spans="1:8">
      <c r="A20" s="18">
        <v>974.4629</v>
      </c>
      <c r="B20" s="70">
        <v>10</v>
      </c>
      <c r="C20" s="110" t="s">
        <v>238</v>
      </c>
      <c r="D20" s="110" t="s">
        <v>239</v>
      </c>
      <c r="E20" s="110" t="s">
        <v>445</v>
      </c>
      <c r="F20" s="118" t="s">
        <v>791</v>
      </c>
      <c r="G20" s="122">
        <v>1</v>
      </c>
      <c r="H20" s="15">
        <v>20250904</v>
      </c>
    </row>
    <row r="21" ht="15" spans="1:8">
      <c r="A21" s="18">
        <v>974.4624</v>
      </c>
      <c r="B21" s="111">
        <v>10</v>
      </c>
      <c r="C21" s="25" t="s">
        <v>247</v>
      </c>
      <c r="D21" s="25" t="s">
        <v>264</v>
      </c>
      <c r="E21" s="25" t="s">
        <v>248</v>
      </c>
      <c r="F21" s="118" t="s">
        <v>792</v>
      </c>
      <c r="G21" s="122">
        <v>1</v>
      </c>
      <c r="H21" s="15">
        <v>20250904</v>
      </c>
    </row>
    <row r="22" ht="15" spans="1:8">
      <c r="A22" s="18">
        <v>974.4496</v>
      </c>
      <c r="B22" s="171">
        <v>12</v>
      </c>
      <c r="C22" s="172" t="s">
        <v>8</v>
      </c>
      <c r="D22" s="173" t="s">
        <v>43</v>
      </c>
      <c r="E22" s="173" t="s">
        <v>33</v>
      </c>
      <c r="F22" s="127" t="s">
        <v>793</v>
      </c>
      <c r="G22" s="132">
        <v>1</v>
      </c>
      <c r="H22" s="15">
        <v>20250904</v>
      </c>
    </row>
    <row r="23" ht="15" spans="1:8">
      <c r="A23" s="18">
        <v>974.4321</v>
      </c>
      <c r="B23" s="12">
        <v>14</v>
      </c>
      <c r="C23" s="12" t="s">
        <v>129</v>
      </c>
      <c r="D23" s="19" t="s">
        <v>290</v>
      </c>
      <c r="E23" s="20" t="s">
        <v>33</v>
      </c>
      <c r="F23" s="21" t="s">
        <v>794</v>
      </c>
      <c r="G23" s="19">
        <v>0</v>
      </c>
      <c r="H23" s="15">
        <v>20250904</v>
      </c>
    </row>
    <row r="24" ht="15" spans="1:8">
      <c r="A24" s="18">
        <v>974.4242</v>
      </c>
      <c r="B24" s="12">
        <v>15</v>
      </c>
      <c r="C24" s="12" t="s">
        <v>129</v>
      </c>
      <c r="D24" s="19" t="s">
        <v>235</v>
      </c>
      <c r="E24" s="20" t="s">
        <v>33</v>
      </c>
      <c r="F24" s="21" t="s">
        <v>795</v>
      </c>
      <c r="G24" s="19">
        <v>1</v>
      </c>
      <c r="H24" s="15">
        <v>20250904</v>
      </c>
    </row>
    <row r="25" ht="15" spans="1:8">
      <c r="A25" s="18">
        <v>974.4085</v>
      </c>
      <c r="B25" s="22">
        <v>16</v>
      </c>
      <c r="C25" s="22" t="s">
        <v>125</v>
      </c>
      <c r="D25" s="22" t="s">
        <v>126</v>
      </c>
      <c r="E25" s="22" t="s">
        <v>777</v>
      </c>
      <c r="F25" s="31" t="s">
        <v>796</v>
      </c>
      <c r="G25" s="22">
        <v>1</v>
      </c>
      <c r="H25" s="15">
        <v>20250904</v>
      </c>
    </row>
    <row r="26" ht="15" spans="1:8">
      <c r="A26" s="18">
        <v>974.4064</v>
      </c>
      <c r="B26" s="12">
        <v>17</v>
      </c>
      <c r="C26" s="12" t="s">
        <v>129</v>
      </c>
      <c r="D26" s="19" t="s">
        <v>228</v>
      </c>
      <c r="E26" s="20" t="s">
        <v>15</v>
      </c>
      <c r="F26" s="21" t="s">
        <v>797</v>
      </c>
      <c r="G26" s="19">
        <v>1</v>
      </c>
      <c r="H26" s="15">
        <v>20250904</v>
      </c>
    </row>
    <row r="27" ht="15" spans="1:8">
      <c r="A27" s="18">
        <v>974.4066</v>
      </c>
      <c r="B27" s="12">
        <v>17</v>
      </c>
      <c r="C27" s="12" t="s">
        <v>129</v>
      </c>
      <c r="D27" s="19" t="s">
        <v>290</v>
      </c>
      <c r="E27" s="20" t="s">
        <v>33</v>
      </c>
      <c r="F27" s="21" t="s">
        <v>798</v>
      </c>
      <c r="G27" s="19">
        <v>1</v>
      </c>
      <c r="H27" s="15">
        <v>20250904</v>
      </c>
    </row>
    <row r="28" ht="15" spans="1:8">
      <c r="A28" s="18">
        <v>974.3888</v>
      </c>
      <c r="B28" s="12">
        <v>19</v>
      </c>
      <c r="C28" s="12" t="s">
        <v>129</v>
      </c>
      <c r="D28" s="19" t="s">
        <v>290</v>
      </c>
      <c r="E28" s="20" t="s">
        <v>33</v>
      </c>
      <c r="F28" s="21" t="s">
        <v>751</v>
      </c>
      <c r="G28" s="19">
        <v>0</v>
      </c>
      <c r="H28" s="15">
        <v>20250904</v>
      </c>
    </row>
    <row r="29" ht="15" spans="1:8">
      <c r="A29" s="18">
        <v>974.3823</v>
      </c>
      <c r="B29" s="22">
        <v>19</v>
      </c>
      <c r="C29" s="22" t="s">
        <v>12</v>
      </c>
      <c r="D29" s="22" t="s">
        <v>12</v>
      </c>
      <c r="E29" s="22" t="s">
        <v>13</v>
      </c>
      <c r="F29" s="31" t="s">
        <v>799</v>
      </c>
      <c r="G29" s="22">
        <v>1</v>
      </c>
      <c r="H29" s="15">
        <v>20250904</v>
      </c>
    </row>
    <row r="30" ht="15" spans="1:8">
      <c r="A30" s="18">
        <v>974.3799</v>
      </c>
      <c r="B30" s="12">
        <v>20</v>
      </c>
      <c r="C30" s="12" t="s">
        <v>129</v>
      </c>
      <c r="D30" s="19" t="s">
        <v>290</v>
      </c>
      <c r="E30" s="20" t="s">
        <v>41</v>
      </c>
      <c r="F30" s="21" t="s">
        <v>800</v>
      </c>
      <c r="G30" s="19">
        <v>1</v>
      </c>
      <c r="H30" s="15">
        <v>20250904</v>
      </c>
    </row>
    <row r="31" ht="15.75" spans="1:8">
      <c r="A31" s="18">
        <v>974.3719</v>
      </c>
      <c r="B31" s="70">
        <v>20</v>
      </c>
      <c r="C31" s="110" t="s">
        <v>238</v>
      </c>
      <c r="D31" s="110" t="s">
        <v>242</v>
      </c>
      <c r="E31" s="110" t="s">
        <v>240</v>
      </c>
      <c r="F31" s="118" t="s">
        <v>801</v>
      </c>
      <c r="G31" s="122">
        <v>1</v>
      </c>
      <c r="H31" s="15">
        <v>20250904</v>
      </c>
    </row>
    <row r="32" ht="15" spans="1:8">
      <c r="A32" s="18">
        <v>974.3711</v>
      </c>
      <c r="B32" s="12">
        <v>21</v>
      </c>
      <c r="C32" s="12" t="s">
        <v>129</v>
      </c>
      <c r="D32" s="19" t="s">
        <v>235</v>
      </c>
      <c r="E32" s="20" t="s">
        <v>33</v>
      </c>
      <c r="F32" s="21" t="s">
        <v>802</v>
      </c>
      <c r="G32" s="19">
        <v>0</v>
      </c>
      <c r="H32" s="15">
        <v>20250904</v>
      </c>
    </row>
    <row r="33" ht="15" spans="1:8">
      <c r="A33" s="18">
        <v>974.3538</v>
      </c>
      <c r="B33" s="12">
        <v>23</v>
      </c>
      <c r="C33" s="12" t="s">
        <v>129</v>
      </c>
      <c r="D33" s="19" t="s">
        <v>290</v>
      </c>
      <c r="E33" s="20" t="s">
        <v>33</v>
      </c>
      <c r="F33" s="21" t="s">
        <v>803</v>
      </c>
      <c r="G33" s="174">
        <v>1</v>
      </c>
      <c r="H33" s="15">
        <v>20250904</v>
      </c>
    </row>
    <row r="34" ht="15" spans="1:8">
      <c r="A34" s="18">
        <v>974.3379</v>
      </c>
      <c r="B34" s="12">
        <v>24</v>
      </c>
      <c r="C34" s="12" t="s">
        <v>129</v>
      </c>
      <c r="D34" s="19" t="s">
        <v>290</v>
      </c>
      <c r="E34" s="20" t="s">
        <v>804</v>
      </c>
      <c r="F34" s="21" t="s">
        <v>805</v>
      </c>
      <c r="G34" s="19">
        <v>1</v>
      </c>
      <c r="H34" s="15">
        <v>20250904</v>
      </c>
    </row>
    <row r="35" ht="15" spans="1:8">
      <c r="A35" s="18">
        <v>974.3273</v>
      </c>
      <c r="B35" s="12">
        <v>26</v>
      </c>
      <c r="C35" s="12" t="s">
        <v>129</v>
      </c>
      <c r="D35" s="19" t="s">
        <v>290</v>
      </c>
      <c r="E35" s="20" t="s">
        <v>33</v>
      </c>
      <c r="F35" s="21" t="s">
        <v>789</v>
      </c>
      <c r="G35" s="19">
        <v>0</v>
      </c>
      <c r="H35" s="15">
        <v>20250904</v>
      </c>
    </row>
    <row r="36" ht="15" spans="1:8">
      <c r="A36" s="18">
        <v>974.3184</v>
      </c>
      <c r="B36" s="12">
        <v>27</v>
      </c>
      <c r="C36" s="12" t="s">
        <v>129</v>
      </c>
      <c r="D36" s="19" t="s">
        <v>290</v>
      </c>
      <c r="E36" s="20" t="s">
        <v>33</v>
      </c>
      <c r="F36" s="21" t="s">
        <v>806</v>
      </c>
      <c r="G36" s="19">
        <v>0</v>
      </c>
      <c r="H36" s="15">
        <v>20250904</v>
      </c>
    </row>
    <row r="37" ht="15" spans="1:8">
      <c r="A37" s="18">
        <v>974.3098</v>
      </c>
      <c r="B37" s="12">
        <v>28</v>
      </c>
      <c r="C37" s="12" t="s">
        <v>129</v>
      </c>
      <c r="D37" s="19" t="s">
        <v>228</v>
      </c>
      <c r="E37" s="20" t="s">
        <v>33</v>
      </c>
      <c r="F37" s="21" t="s">
        <v>807</v>
      </c>
      <c r="G37" s="19">
        <v>0</v>
      </c>
      <c r="H37" s="15">
        <v>20250904</v>
      </c>
    </row>
    <row r="38" ht="15" spans="1:8">
      <c r="A38" s="18">
        <v>974.2921</v>
      </c>
      <c r="B38" s="12">
        <v>30</v>
      </c>
      <c r="C38" s="12" t="s">
        <v>129</v>
      </c>
      <c r="D38" s="19" t="s">
        <v>290</v>
      </c>
      <c r="E38" s="20" t="s">
        <v>33</v>
      </c>
      <c r="F38" s="21" t="s">
        <v>808</v>
      </c>
      <c r="G38" s="19">
        <v>0</v>
      </c>
      <c r="H38" s="15">
        <v>20250904</v>
      </c>
    </row>
    <row r="39" ht="15" spans="1:8">
      <c r="A39" s="18">
        <v>974.2577</v>
      </c>
      <c r="B39" s="12">
        <v>34</v>
      </c>
      <c r="C39" s="12" t="s">
        <v>129</v>
      </c>
      <c r="D39" s="19" t="s">
        <v>290</v>
      </c>
      <c r="E39" s="20" t="s">
        <v>33</v>
      </c>
      <c r="F39" s="21" t="s">
        <v>809</v>
      </c>
      <c r="G39" s="19">
        <v>0</v>
      </c>
      <c r="H39" s="15">
        <v>20250904</v>
      </c>
    </row>
    <row r="40" ht="15" spans="1:8">
      <c r="A40" s="18">
        <v>974.2567</v>
      </c>
      <c r="B40" s="110">
        <v>34</v>
      </c>
      <c r="C40" s="25" t="s">
        <v>268</v>
      </c>
      <c r="D40" s="25" t="s">
        <v>269</v>
      </c>
      <c r="E40" s="25" t="s">
        <v>810</v>
      </c>
      <c r="F40" s="118" t="s">
        <v>811</v>
      </c>
      <c r="G40" s="122">
        <v>1</v>
      </c>
      <c r="H40" s="15">
        <v>20250904</v>
      </c>
    </row>
    <row r="41" ht="15" spans="1:8">
      <c r="A41" s="18">
        <v>974.2401</v>
      </c>
      <c r="B41" s="12">
        <v>36</v>
      </c>
      <c r="C41" s="12" t="s">
        <v>129</v>
      </c>
      <c r="D41" s="19" t="s">
        <v>290</v>
      </c>
      <c r="E41" s="20" t="s">
        <v>33</v>
      </c>
      <c r="F41" s="21" t="s">
        <v>812</v>
      </c>
      <c r="G41" s="19">
        <v>0</v>
      </c>
      <c r="H41" s="15">
        <v>20250904</v>
      </c>
    </row>
    <row r="42" ht="15.75" spans="1:8">
      <c r="A42" s="18">
        <v>974.2331</v>
      </c>
      <c r="B42" s="70">
        <v>36</v>
      </c>
      <c r="C42" s="110" t="s">
        <v>238</v>
      </c>
      <c r="D42" s="110" t="s">
        <v>239</v>
      </c>
      <c r="E42" s="110" t="s">
        <v>240</v>
      </c>
      <c r="F42" s="118" t="s">
        <v>813</v>
      </c>
      <c r="G42" s="122">
        <v>1</v>
      </c>
      <c r="H42" s="15">
        <v>20250904</v>
      </c>
    </row>
    <row r="43" ht="15" spans="1:8">
      <c r="A43" s="18">
        <v>974.2313</v>
      </c>
      <c r="B43" s="12">
        <v>37</v>
      </c>
      <c r="C43" s="12" t="s">
        <v>129</v>
      </c>
      <c r="D43" s="19" t="s">
        <v>290</v>
      </c>
      <c r="E43" s="20" t="s">
        <v>33</v>
      </c>
      <c r="F43" s="21" t="s">
        <v>814</v>
      </c>
      <c r="G43" s="19">
        <v>0</v>
      </c>
      <c r="H43" s="15">
        <v>20250904</v>
      </c>
    </row>
    <row r="44" ht="15.75" spans="1:8">
      <c r="A44" s="18">
        <v>974.2165</v>
      </c>
      <c r="B44" s="70">
        <v>38</v>
      </c>
      <c r="C44" s="110" t="s">
        <v>238</v>
      </c>
      <c r="D44" s="110" t="s">
        <v>242</v>
      </c>
      <c r="E44" s="110" t="s">
        <v>240</v>
      </c>
      <c r="F44" s="118" t="s">
        <v>815</v>
      </c>
      <c r="G44" s="122">
        <v>1</v>
      </c>
      <c r="H44" s="15">
        <v>20250904</v>
      </c>
    </row>
    <row r="45" ht="15.75" spans="1:8">
      <c r="A45" s="18">
        <v>974.2138</v>
      </c>
      <c r="B45" s="22">
        <v>39</v>
      </c>
      <c r="C45" s="22" t="s">
        <v>253</v>
      </c>
      <c r="D45" s="22" t="s">
        <v>126</v>
      </c>
      <c r="E45" s="22" t="s">
        <v>262</v>
      </c>
      <c r="F45" s="31" t="s">
        <v>816</v>
      </c>
      <c r="G45" s="22">
        <v>1</v>
      </c>
      <c r="H45" s="15">
        <v>20250904</v>
      </c>
    </row>
    <row r="46" ht="15" spans="1:8">
      <c r="A46" s="18">
        <v>974.2066</v>
      </c>
      <c r="B46" s="12">
        <v>40</v>
      </c>
      <c r="C46" s="12" t="s">
        <v>129</v>
      </c>
      <c r="D46" s="19" t="s">
        <v>228</v>
      </c>
      <c r="E46" s="20" t="s">
        <v>33</v>
      </c>
      <c r="F46" s="21" t="s">
        <v>817</v>
      </c>
      <c r="G46" s="19">
        <v>0</v>
      </c>
      <c r="H46" s="15">
        <v>20250904</v>
      </c>
    </row>
    <row r="47" ht="28.5" spans="1:8">
      <c r="A47" s="18">
        <v>974.189</v>
      </c>
      <c r="B47" s="15">
        <v>42</v>
      </c>
      <c r="C47" s="23" t="s">
        <v>95</v>
      </c>
      <c r="D47" s="23" t="s">
        <v>95</v>
      </c>
      <c r="E47" s="22" t="s">
        <v>172</v>
      </c>
      <c r="F47" s="31" t="s">
        <v>614</v>
      </c>
      <c r="G47" s="22">
        <v>2</v>
      </c>
      <c r="H47" s="15">
        <v>20250904</v>
      </c>
    </row>
    <row r="48" ht="15" spans="1:8">
      <c r="A48" s="18">
        <v>974.1805</v>
      </c>
      <c r="B48" s="12">
        <v>43</v>
      </c>
      <c r="C48" s="12" t="s">
        <v>129</v>
      </c>
      <c r="D48" s="19" t="s">
        <v>290</v>
      </c>
      <c r="E48" s="20" t="s">
        <v>33</v>
      </c>
      <c r="F48" s="21" t="s">
        <v>818</v>
      </c>
      <c r="G48" s="19">
        <v>0</v>
      </c>
      <c r="H48" s="15">
        <v>20250904</v>
      </c>
    </row>
    <row r="49" ht="15" spans="1:8">
      <c r="A49" s="18">
        <v>974.1716</v>
      </c>
      <c r="B49" s="22">
        <v>44</v>
      </c>
      <c r="C49" s="22" t="s">
        <v>12</v>
      </c>
      <c r="D49" s="22" t="s">
        <v>12</v>
      </c>
      <c r="E49" s="22" t="s">
        <v>13</v>
      </c>
      <c r="F49" s="31" t="s">
        <v>819</v>
      </c>
      <c r="G49" s="22">
        <v>1</v>
      </c>
      <c r="H49" s="15">
        <v>20250904</v>
      </c>
    </row>
    <row r="50" ht="40.5" spans="1:8">
      <c r="A50" s="18">
        <v>974.1656</v>
      </c>
      <c r="B50" s="70">
        <v>44</v>
      </c>
      <c r="C50" s="29" t="s">
        <v>820</v>
      </c>
      <c r="D50" s="64" t="s">
        <v>177</v>
      </c>
      <c r="E50" s="64" t="s">
        <v>29</v>
      </c>
      <c r="F50" s="118" t="s">
        <v>821</v>
      </c>
      <c r="G50" s="122">
        <v>1</v>
      </c>
      <c r="H50" s="15">
        <v>20250904</v>
      </c>
    </row>
    <row r="51" ht="15" spans="1:8">
      <c r="A51" s="18">
        <v>974.1628</v>
      </c>
      <c r="B51" s="12">
        <v>45</v>
      </c>
      <c r="C51" s="12" t="s">
        <v>129</v>
      </c>
      <c r="D51" s="19" t="s">
        <v>290</v>
      </c>
      <c r="E51" s="20" t="s">
        <v>33</v>
      </c>
      <c r="F51" s="21" t="s">
        <v>822</v>
      </c>
      <c r="G51" s="19">
        <v>1</v>
      </c>
      <c r="H51" s="15">
        <v>20250904</v>
      </c>
    </row>
    <row r="52" ht="40.5" spans="1:8">
      <c r="A52" s="18">
        <v>974.1598</v>
      </c>
      <c r="B52" s="70">
        <v>45</v>
      </c>
      <c r="C52" s="29" t="s">
        <v>820</v>
      </c>
      <c r="D52" s="64" t="s">
        <v>177</v>
      </c>
      <c r="E52" s="64" t="s">
        <v>29</v>
      </c>
      <c r="F52" s="118" t="s">
        <v>823</v>
      </c>
      <c r="G52" s="122">
        <v>1</v>
      </c>
      <c r="H52" s="15">
        <v>20250904</v>
      </c>
    </row>
    <row r="53" ht="15" spans="1:8">
      <c r="A53" s="18">
        <v>974.1449</v>
      </c>
      <c r="B53" s="22">
        <v>47</v>
      </c>
      <c r="C53" s="22" t="s">
        <v>12</v>
      </c>
      <c r="D53" s="22" t="s">
        <v>12</v>
      </c>
      <c r="E53" s="22" t="s">
        <v>13</v>
      </c>
      <c r="F53" s="31" t="s">
        <v>824</v>
      </c>
      <c r="G53" s="22">
        <v>1</v>
      </c>
      <c r="H53" s="15">
        <v>20250904</v>
      </c>
    </row>
    <row r="54" ht="15" spans="1:8">
      <c r="A54" s="18">
        <v>974.1375</v>
      </c>
      <c r="B54" s="175">
        <v>48</v>
      </c>
      <c r="C54" s="124" t="s">
        <v>129</v>
      </c>
      <c r="D54" s="126" t="s">
        <v>290</v>
      </c>
      <c r="E54" s="125" t="s">
        <v>33</v>
      </c>
      <c r="F54" s="129" t="s">
        <v>825</v>
      </c>
      <c r="G54" s="126">
        <v>1</v>
      </c>
      <c r="H54" s="15">
        <v>20250904</v>
      </c>
    </row>
    <row r="55" ht="15" spans="1:8">
      <c r="A55" s="18">
        <v>974.1287</v>
      </c>
      <c r="B55" s="175">
        <v>49</v>
      </c>
      <c r="C55" s="124" t="s">
        <v>129</v>
      </c>
      <c r="D55" s="125" t="s">
        <v>43</v>
      </c>
      <c r="E55" s="125" t="s">
        <v>33</v>
      </c>
      <c r="F55" s="129" t="s">
        <v>825</v>
      </c>
      <c r="G55" s="126">
        <v>1</v>
      </c>
      <c r="H55" s="15">
        <v>20250904</v>
      </c>
    </row>
    <row r="56" ht="26.25" spans="1:8">
      <c r="A56" s="18">
        <v>974.1024</v>
      </c>
      <c r="B56" s="12">
        <v>52</v>
      </c>
      <c r="C56" s="12" t="s">
        <v>129</v>
      </c>
      <c r="D56" s="176" t="s">
        <v>826</v>
      </c>
      <c r="E56" s="20" t="s">
        <v>232</v>
      </c>
      <c r="F56" s="21" t="s">
        <v>827</v>
      </c>
      <c r="G56" s="19">
        <v>0</v>
      </c>
      <c r="H56" s="15">
        <v>20250904</v>
      </c>
    </row>
    <row r="57" ht="15" spans="1:8">
      <c r="A57" s="18">
        <v>974.0825</v>
      </c>
      <c r="B57" s="12">
        <v>54</v>
      </c>
      <c r="C57" s="12" t="s">
        <v>129</v>
      </c>
      <c r="D57" s="19" t="s">
        <v>235</v>
      </c>
      <c r="E57" s="20" t="s">
        <v>33</v>
      </c>
      <c r="F57" s="21" t="s">
        <v>828</v>
      </c>
      <c r="G57" s="19">
        <v>0</v>
      </c>
      <c r="H57" s="15">
        <v>20250904</v>
      </c>
    </row>
    <row r="58" ht="15" spans="1:8">
      <c r="A58" s="18">
        <v>974.0672</v>
      </c>
      <c r="B58" s="12">
        <v>56</v>
      </c>
      <c r="C58" s="12" t="s">
        <v>129</v>
      </c>
      <c r="D58" s="19" t="s">
        <v>235</v>
      </c>
      <c r="E58" s="20" t="s">
        <v>33</v>
      </c>
      <c r="F58" s="21" t="s">
        <v>829</v>
      </c>
      <c r="G58" s="19">
        <v>0</v>
      </c>
      <c r="H58" s="15">
        <v>20250904</v>
      </c>
    </row>
    <row r="59" ht="15" spans="1:8">
      <c r="A59" s="18">
        <v>974.0586</v>
      </c>
      <c r="B59" s="12">
        <v>57</v>
      </c>
      <c r="C59" s="12" t="s">
        <v>129</v>
      </c>
      <c r="D59" s="19" t="s">
        <v>235</v>
      </c>
      <c r="E59" s="20" t="s">
        <v>33</v>
      </c>
      <c r="F59" s="21" t="s">
        <v>830</v>
      </c>
      <c r="G59" s="19">
        <v>0</v>
      </c>
      <c r="H59" s="15">
        <v>20250904</v>
      </c>
    </row>
    <row r="60" ht="28.5" spans="1:8">
      <c r="A60" s="18">
        <v>974.0409</v>
      </c>
      <c r="B60" s="22">
        <v>59</v>
      </c>
      <c r="C60" s="23" t="s">
        <v>95</v>
      </c>
      <c r="D60" s="23" t="s">
        <v>95</v>
      </c>
      <c r="E60" s="22" t="s">
        <v>172</v>
      </c>
      <c r="F60" s="31" t="s">
        <v>614</v>
      </c>
      <c r="G60" s="22">
        <v>2</v>
      </c>
      <c r="H60" s="15">
        <v>20250904</v>
      </c>
    </row>
    <row r="61" ht="15.75" spans="1:8">
      <c r="A61" s="18">
        <v>974.0399</v>
      </c>
      <c r="B61" s="110">
        <v>59</v>
      </c>
      <c r="C61" s="25" t="s">
        <v>238</v>
      </c>
      <c r="D61" s="25" t="s">
        <v>264</v>
      </c>
      <c r="E61" s="25" t="s">
        <v>244</v>
      </c>
      <c r="F61" s="118" t="s">
        <v>831</v>
      </c>
      <c r="G61" s="122">
        <v>1</v>
      </c>
      <c r="H61" s="15">
        <v>20250904</v>
      </c>
    </row>
    <row r="62" ht="15" spans="1:8">
      <c r="A62" s="18">
        <v>974.0322</v>
      </c>
      <c r="B62" s="12">
        <v>60</v>
      </c>
      <c r="C62" s="12" t="s">
        <v>129</v>
      </c>
      <c r="D62" s="19" t="s">
        <v>290</v>
      </c>
      <c r="E62" s="20" t="s">
        <v>33</v>
      </c>
      <c r="F62" s="109" t="s">
        <v>832</v>
      </c>
      <c r="G62" s="19">
        <v>1</v>
      </c>
      <c r="H62" s="15">
        <v>20250904</v>
      </c>
    </row>
    <row r="63" ht="15" spans="1:8">
      <c r="A63" s="18">
        <v>974.018</v>
      </c>
      <c r="B63" s="175">
        <v>62</v>
      </c>
      <c r="C63" s="124" t="s">
        <v>129</v>
      </c>
      <c r="D63" s="173" t="s">
        <v>26</v>
      </c>
      <c r="E63" s="131" t="s">
        <v>248</v>
      </c>
      <c r="F63" s="116" t="s">
        <v>833</v>
      </c>
      <c r="G63" s="132">
        <v>1</v>
      </c>
      <c r="H63" s="15">
        <v>20250904</v>
      </c>
    </row>
    <row r="64" ht="15" spans="1:8">
      <c r="A64" s="112">
        <v>974.001</v>
      </c>
      <c r="B64" s="175">
        <v>63</v>
      </c>
      <c r="C64" s="124" t="s">
        <v>129</v>
      </c>
      <c r="D64" s="173" t="s">
        <v>40</v>
      </c>
      <c r="E64" s="125" t="s">
        <v>33</v>
      </c>
      <c r="F64" s="127" t="s">
        <v>834</v>
      </c>
      <c r="G64" s="175">
        <v>1</v>
      </c>
      <c r="H64" s="15">
        <v>20250904</v>
      </c>
    </row>
    <row r="65" ht="15" spans="1:8">
      <c r="A65" s="18">
        <v>973.995</v>
      </c>
      <c r="B65" s="111">
        <v>64</v>
      </c>
      <c r="C65" s="25" t="s">
        <v>247</v>
      </c>
      <c r="D65" s="64" t="s">
        <v>26</v>
      </c>
      <c r="E65" s="25" t="s">
        <v>248</v>
      </c>
      <c r="F65" s="118" t="s">
        <v>835</v>
      </c>
      <c r="G65" s="122">
        <v>1</v>
      </c>
      <c r="H65" s="15">
        <v>20250904</v>
      </c>
    </row>
    <row r="66" ht="15" spans="1:8">
      <c r="A66" s="18">
        <v>973.9707</v>
      </c>
      <c r="B66" s="22">
        <v>67</v>
      </c>
      <c r="C66" s="22" t="s">
        <v>253</v>
      </c>
      <c r="D66" s="22" t="s">
        <v>126</v>
      </c>
      <c r="E66" s="22" t="s">
        <v>515</v>
      </c>
      <c r="F66" s="31" t="s">
        <v>836</v>
      </c>
      <c r="G66" s="22">
        <v>1</v>
      </c>
      <c r="H66" s="15">
        <v>20250904</v>
      </c>
    </row>
    <row r="67" ht="15" spans="1:8">
      <c r="A67" s="18">
        <v>973.9584</v>
      </c>
      <c r="B67" s="12">
        <v>68</v>
      </c>
      <c r="C67" s="12" t="s">
        <v>129</v>
      </c>
      <c r="D67" s="19" t="s">
        <v>290</v>
      </c>
      <c r="E67" s="20" t="s">
        <v>33</v>
      </c>
      <c r="F67" s="21" t="s">
        <v>837</v>
      </c>
      <c r="G67" s="19">
        <v>1</v>
      </c>
      <c r="H67" s="15">
        <v>20250904</v>
      </c>
    </row>
    <row r="68" ht="15" spans="1:8">
      <c r="A68" s="18">
        <v>973.9599</v>
      </c>
      <c r="B68" s="22">
        <v>68</v>
      </c>
      <c r="C68" s="22" t="s">
        <v>125</v>
      </c>
      <c r="D68" s="22" t="s">
        <v>126</v>
      </c>
      <c r="E68" s="22" t="s">
        <v>777</v>
      </c>
      <c r="F68" s="31" t="s">
        <v>838</v>
      </c>
      <c r="G68" s="22">
        <v>1</v>
      </c>
      <c r="H68" s="15">
        <v>20250904</v>
      </c>
    </row>
    <row r="69" ht="15" spans="1:8">
      <c r="A69" s="112">
        <v>973.941</v>
      </c>
      <c r="B69" s="177">
        <v>70</v>
      </c>
      <c r="C69" s="124" t="s">
        <v>129</v>
      </c>
      <c r="D69" s="173" t="s">
        <v>40</v>
      </c>
      <c r="E69" s="125" t="s">
        <v>33</v>
      </c>
      <c r="F69" s="129" t="s">
        <v>839</v>
      </c>
      <c r="G69" s="175">
        <v>1</v>
      </c>
      <c r="H69" s="15">
        <v>20250904</v>
      </c>
    </row>
    <row r="70" ht="15" spans="1:8">
      <c r="A70" s="18">
        <v>973.9229</v>
      </c>
      <c r="B70" s="12">
        <v>72</v>
      </c>
      <c r="C70" s="12" t="s">
        <v>129</v>
      </c>
      <c r="D70" s="19" t="s">
        <v>290</v>
      </c>
      <c r="E70" s="20" t="s">
        <v>804</v>
      </c>
      <c r="F70" s="97" t="s">
        <v>840</v>
      </c>
      <c r="G70" s="19">
        <v>1</v>
      </c>
      <c r="H70" s="15">
        <v>20250904</v>
      </c>
    </row>
    <row r="71" ht="15" spans="1:8">
      <c r="A71" s="18">
        <v>973.888</v>
      </c>
      <c r="B71" s="124">
        <v>76</v>
      </c>
      <c r="C71" s="124" t="s">
        <v>129</v>
      </c>
      <c r="D71" s="126" t="s">
        <v>290</v>
      </c>
      <c r="E71" s="125" t="s">
        <v>804</v>
      </c>
      <c r="F71" s="178" t="s">
        <v>841</v>
      </c>
      <c r="G71" s="126">
        <v>1</v>
      </c>
      <c r="H71" s="15">
        <v>20250904</v>
      </c>
    </row>
    <row r="72" ht="15" spans="1:8">
      <c r="A72" s="112">
        <v>973.862</v>
      </c>
      <c r="B72" s="177">
        <v>79</v>
      </c>
      <c r="C72" s="124" t="s">
        <v>129</v>
      </c>
      <c r="D72" s="173" t="s">
        <v>40</v>
      </c>
      <c r="E72" s="131" t="s">
        <v>248</v>
      </c>
      <c r="F72" s="179" t="s">
        <v>842</v>
      </c>
      <c r="G72" s="175">
        <v>1</v>
      </c>
      <c r="H72" s="15">
        <v>20250904</v>
      </c>
    </row>
    <row r="73" ht="15.75" spans="1:8">
      <c r="A73" s="18">
        <v>973.8535</v>
      </c>
      <c r="B73" s="110">
        <v>80</v>
      </c>
      <c r="C73" s="25" t="s">
        <v>238</v>
      </c>
      <c r="D73" s="25" t="s">
        <v>294</v>
      </c>
      <c r="E73" s="25" t="s">
        <v>244</v>
      </c>
      <c r="F73" s="118" t="s">
        <v>843</v>
      </c>
      <c r="G73" s="122">
        <v>1</v>
      </c>
      <c r="H73" s="15">
        <v>20250904</v>
      </c>
    </row>
    <row r="74" ht="15" spans="1:8">
      <c r="A74" s="18">
        <v>973.8477</v>
      </c>
      <c r="B74" s="22">
        <v>81</v>
      </c>
      <c r="C74" s="22" t="s">
        <v>125</v>
      </c>
      <c r="D74" s="22" t="s">
        <v>126</v>
      </c>
      <c r="E74" s="22" t="s">
        <v>777</v>
      </c>
      <c r="F74" s="31" t="s">
        <v>844</v>
      </c>
      <c r="G74" s="22">
        <v>1</v>
      </c>
      <c r="H74" s="15">
        <v>20250904</v>
      </c>
    </row>
    <row r="75" ht="15" spans="1:8">
      <c r="A75" s="18">
        <v>973.8427</v>
      </c>
      <c r="B75" s="12">
        <v>82</v>
      </c>
      <c r="C75" s="12" t="s">
        <v>129</v>
      </c>
      <c r="D75" s="19" t="s">
        <v>235</v>
      </c>
      <c r="E75" s="20" t="s">
        <v>41</v>
      </c>
      <c r="F75" s="21" t="s">
        <v>800</v>
      </c>
      <c r="G75" s="19">
        <v>1</v>
      </c>
      <c r="H75" s="15">
        <v>20250904</v>
      </c>
    </row>
    <row r="76" ht="15.75" spans="1:8">
      <c r="A76" s="18">
        <v>973.8397</v>
      </c>
      <c r="B76" s="110">
        <v>82</v>
      </c>
      <c r="C76" s="25" t="s">
        <v>238</v>
      </c>
      <c r="D76" s="25" t="s">
        <v>264</v>
      </c>
      <c r="E76" s="25" t="s">
        <v>244</v>
      </c>
      <c r="F76" s="118" t="s">
        <v>845</v>
      </c>
      <c r="G76" s="122">
        <v>1</v>
      </c>
      <c r="H76" s="15">
        <v>20250904</v>
      </c>
    </row>
    <row r="77" ht="15" spans="1:8">
      <c r="A77" s="18" t="s">
        <v>91</v>
      </c>
      <c r="B77" s="180" t="s">
        <v>91</v>
      </c>
      <c r="C77" s="180" t="s">
        <v>447</v>
      </c>
      <c r="D77" s="181" t="s">
        <v>91</v>
      </c>
      <c r="E77" s="181" t="s">
        <v>91</v>
      </c>
      <c r="F77" s="182" t="s">
        <v>448</v>
      </c>
      <c r="G77" s="181">
        <v>0</v>
      </c>
      <c r="H77" s="15">
        <v>20250904</v>
      </c>
    </row>
    <row r="78" ht="27" spans="1:8">
      <c r="A78" s="15">
        <v>974.539</v>
      </c>
      <c r="B78" s="15" t="s">
        <v>94</v>
      </c>
      <c r="C78" s="22" t="s">
        <v>170</v>
      </c>
      <c r="D78" s="22" t="s">
        <v>170</v>
      </c>
      <c r="E78" s="22" t="s">
        <v>172</v>
      </c>
      <c r="F78" s="31" t="s">
        <v>222</v>
      </c>
      <c r="G78" s="22">
        <v>1</v>
      </c>
      <c r="H78" s="15">
        <v>20250904</v>
      </c>
    </row>
    <row r="79" ht="27" spans="1:8">
      <c r="A79" s="15">
        <v>974.459</v>
      </c>
      <c r="B79" s="15" t="s">
        <v>99</v>
      </c>
      <c r="C79" s="22" t="s">
        <v>170</v>
      </c>
      <c r="D79" s="22" t="s">
        <v>170</v>
      </c>
      <c r="E79" s="22" t="s">
        <v>172</v>
      </c>
      <c r="F79" s="31" t="s">
        <v>222</v>
      </c>
      <c r="G79" s="22">
        <v>1</v>
      </c>
      <c r="H79" s="15">
        <v>20250904</v>
      </c>
    </row>
    <row r="80" ht="27" spans="1:8">
      <c r="A80" s="15">
        <v>974.371</v>
      </c>
      <c r="B80" s="15" t="s">
        <v>100</v>
      </c>
      <c r="C80" s="22" t="s">
        <v>170</v>
      </c>
      <c r="D80" s="22" t="s">
        <v>170</v>
      </c>
      <c r="E80" s="22" t="s">
        <v>172</v>
      </c>
      <c r="F80" s="31" t="s">
        <v>222</v>
      </c>
      <c r="G80" s="22">
        <v>1</v>
      </c>
      <c r="H80" s="15">
        <v>20250904</v>
      </c>
    </row>
    <row r="81" ht="27" spans="1:8">
      <c r="A81" s="15">
        <v>974.283</v>
      </c>
      <c r="B81" s="15" t="s">
        <v>101</v>
      </c>
      <c r="C81" s="22" t="s">
        <v>170</v>
      </c>
      <c r="D81" s="22" t="s">
        <v>170</v>
      </c>
      <c r="E81" s="22" t="s">
        <v>172</v>
      </c>
      <c r="F81" s="31" t="s">
        <v>222</v>
      </c>
      <c r="G81" s="22">
        <v>1</v>
      </c>
      <c r="H81" s="15">
        <v>20250904</v>
      </c>
    </row>
    <row r="82" ht="27" spans="1:8">
      <c r="A82" s="15">
        <v>974.198</v>
      </c>
      <c r="B82" s="15" t="s">
        <v>102</v>
      </c>
      <c r="C82" s="22" t="s">
        <v>170</v>
      </c>
      <c r="D82" s="22" t="s">
        <v>170</v>
      </c>
      <c r="E82" s="22" t="s">
        <v>172</v>
      </c>
      <c r="F82" s="31" t="s">
        <v>222</v>
      </c>
      <c r="G82" s="22">
        <v>1</v>
      </c>
      <c r="H82" s="15">
        <v>20250904</v>
      </c>
    </row>
    <row r="83" ht="27" spans="1:8">
      <c r="A83" s="15">
        <v>974.111</v>
      </c>
      <c r="B83" s="15" t="s">
        <v>103</v>
      </c>
      <c r="C83" s="22" t="s">
        <v>170</v>
      </c>
      <c r="D83" s="22" t="s">
        <v>170</v>
      </c>
      <c r="E83" s="22" t="s">
        <v>172</v>
      </c>
      <c r="F83" s="31" t="s">
        <v>222</v>
      </c>
      <c r="G83" s="22">
        <v>1</v>
      </c>
      <c r="H83" s="15">
        <v>20250904</v>
      </c>
    </row>
    <row r="84" ht="27" spans="1:8">
      <c r="A84" s="15">
        <v>974.023</v>
      </c>
      <c r="B84" s="15" t="s">
        <v>223</v>
      </c>
      <c r="C84" s="22" t="s">
        <v>170</v>
      </c>
      <c r="D84" s="22" t="s">
        <v>170</v>
      </c>
      <c r="E84" s="22" t="s">
        <v>172</v>
      </c>
      <c r="F84" s="31" t="s">
        <v>222</v>
      </c>
      <c r="G84" s="22">
        <v>1</v>
      </c>
      <c r="H84" s="15">
        <v>20250904</v>
      </c>
    </row>
    <row r="85" ht="27" spans="1:8">
      <c r="A85" s="15">
        <v>973.936</v>
      </c>
      <c r="B85" s="15" t="s">
        <v>846</v>
      </c>
      <c r="C85" s="22" t="s">
        <v>170</v>
      </c>
      <c r="D85" s="22" t="s">
        <v>170</v>
      </c>
      <c r="E85" s="22" t="s">
        <v>172</v>
      </c>
      <c r="F85" s="31" t="s">
        <v>222</v>
      </c>
      <c r="G85" s="22">
        <v>1</v>
      </c>
      <c r="H85" s="15">
        <v>20250904</v>
      </c>
    </row>
  </sheetData>
  <autoFilter xmlns:etc="http://www.wps.cn/officeDocument/2017/etCustomData" ref="A1:H85" etc:filterBottomFollowUsedRange="0">
    <extLst/>
  </autoFilter>
  <sortState ref="A2:H97">
    <sortCondition ref="B2:B97"/>
  </sortState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6"/>
  <sheetViews>
    <sheetView topLeftCell="A3" workbookViewId="0">
      <selection activeCell="A27" sqref="$A27:$XFD27"/>
    </sheetView>
  </sheetViews>
  <sheetFormatPr defaultColWidth="9" defaultRowHeight="15" outlineLevelCol="7"/>
  <cols>
    <col min="1" max="2" width="9" style="16"/>
    <col min="3" max="4" width="9" style="12"/>
    <col min="5" max="5" width="10" style="12" customWidth="1"/>
    <col min="6" max="6" width="80.125" style="39" customWidth="1"/>
    <col min="7" max="7" width="9" style="12"/>
    <col min="8" max="16384" width="9" style="16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94" t="s">
        <v>114</v>
      </c>
      <c r="G1" s="14" t="s">
        <v>6</v>
      </c>
      <c r="H1" s="14" t="s">
        <v>7</v>
      </c>
    </row>
    <row r="2" spans="1:8">
      <c r="A2" s="18">
        <v>978.36</v>
      </c>
      <c r="B2" s="12">
        <v>0</v>
      </c>
      <c r="C2" s="28" t="s">
        <v>765</v>
      </c>
      <c r="D2" s="28" t="s">
        <v>105</v>
      </c>
      <c r="E2" s="28" t="s">
        <v>847</v>
      </c>
      <c r="F2" s="167" t="s">
        <v>848</v>
      </c>
      <c r="G2" s="12">
        <v>1</v>
      </c>
      <c r="H2" s="12">
        <v>20240814</v>
      </c>
    </row>
    <row r="3" spans="1:8">
      <c r="A3" s="18">
        <v>976.77</v>
      </c>
      <c r="B3" s="12">
        <v>0</v>
      </c>
      <c r="C3" s="12" t="s">
        <v>224</v>
      </c>
      <c r="D3" s="12" t="s">
        <v>318</v>
      </c>
      <c r="E3" s="20" t="s">
        <v>685</v>
      </c>
      <c r="F3" s="21" t="s">
        <v>849</v>
      </c>
      <c r="G3" s="19">
        <v>2</v>
      </c>
      <c r="H3" s="12">
        <v>20240814</v>
      </c>
    </row>
    <row r="4" spans="1:8">
      <c r="A4" s="18">
        <v>976.772</v>
      </c>
      <c r="B4" s="12">
        <v>1</v>
      </c>
      <c r="C4" s="12" t="s">
        <v>129</v>
      </c>
      <c r="D4" s="19" t="s">
        <v>235</v>
      </c>
      <c r="E4" s="20" t="s">
        <v>15</v>
      </c>
      <c r="F4" s="21" t="s">
        <v>850</v>
      </c>
      <c r="G4" s="19">
        <v>1</v>
      </c>
      <c r="H4" s="12">
        <v>20240814</v>
      </c>
    </row>
    <row r="5" ht="15.75" spans="1:8">
      <c r="A5" s="18">
        <v>976.77</v>
      </c>
      <c r="B5" s="22">
        <v>1</v>
      </c>
      <c r="C5" s="22" t="s">
        <v>12</v>
      </c>
      <c r="D5" s="22" t="s">
        <v>12</v>
      </c>
      <c r="E5" s="23" t="s">
        <v>851</v>
      </c>
      <c r="F5" s="31" t="s">
        <v>852</v>
      </c>
      <c r="G5" s="22">
        <v>1</v>
      </c>
      <c r="H5" s="12">
        <v>20240814</v>
      </c>
    </row>
    <row r="6" spans="1:8">
      <c r="A6" s="18">
        <v>976.772</v>
      </c>
      <c r="B6" s="22">
        <v>1</v>
      </c>
      <c r="C6" s="22" t="s">
        <v>12</v>
      </c>
      <c r="D6" s="22" t="s">
        <v>12</v>
      </c>
      <c r="E6" s="22" t="s">
        <v>853</v>
      </c>
      <c r="F6" s="31" t="s">
        <v>854</v>
      </c>
      <c r="G6" s="22">
        <v>1</v>
      </c>
      <c r="H6" s="12">
        <v>20240814</v>
      </c>
    </row>
    <row r="7" ht="15.75" spans="1:8">
      <c r="A7" s="18">
        <v>976.776</v>
      </c>
      <c r="B7" s="22">
        <v>1</v>
      </c>
      <c r="C7" s="22" t="s">
        <v>12</v>
      </c>
      <c r="D7" s="22" t="s">
        <v>12</v>
      </c>
      <c r="E7" s="23" t="s">
        <v>851</v>
      </c>
      <c r="F7" s="31" t="s">
        <v>855</v>
      </c>
      <c r="G7" s="22">
        <v>1</v>
      </c>
      <c r="H7" s="12">
        <v>20240814</v>
      </c>
    </row>
    <row r="8" spans="1:8">
      <c r="A8" s="18">
        <v>976.775</v>
      </c>
      <c r="B8" s="111">
        <v>1</v>
      </c>
      <c r="C8" s="25" t="s">
        <v>247</v>
      </c>
      <c r="D8" s="25" t="s">
        <v>264</v>
      </c>
      <c r="E8" s="25" t="s">
        <v>372</v>
      </c>
      <c r="F8" s="161" t="s">
        <v>856</v>
      </c>
      <c r="G8" s="122">
        <v>1</v>
      </c>
      <c r="H8" s="12">
        <v>20240814</v>
      </c>
    </row>
    <row r="9" spans="1:8">
      <c r="A9" s="18">
        <v>976.7779</v>
      </c>
      <c r="B9" s="12">
        <v>2</v>
      </c>
      <c r="C9" s="12" t="s">
        <v>129</v>
      </c>
      <c r="D9" s="19" t="s">
        <v>235</v>
      </c>
      <c r="E9" s="20" t="s">
        <v>41</v>
      </c>
      <c r="F9" s="21" t="s">
        <v>857</v>
      </c>
      <c r="G9" s="19">
        <v>1</v>
      </c>
      <c r="H9" s="12">
        <v>20240814</v>
      </c>
    </row>
    <row r="10" spans="1:8">
      <c r="A10" s="18">
        <v>976.7819</v>
      </c>
      <c r="B10" s="12">
        <v>2</v>
      </c>
      <c r="C10" s="12" t="s">
        <v>129</v>
      </c>
      <c r="D10" s="19" t="s">
        <v>290</v>
      </c>
      <c r="E10" s="20" t="s">
        <v>41</v>
      </c>
      <c r="F10" s="21" t="s">
        <v>858</v>
      </c>
      <c r="G10" s="19">
        <v>1</v>
      </c>
      <c r="H10" s="12">
        <v>20240814</v>
      </c>
    </row>
    <row r="11" spans="1:8">
      <c r="A11" s="18">
        <v>976.7824</v>
      </c>
      <c r="B11" s="22">
        <v>2</v>
      </c>
      <c r="C11" s="22" t="s">
        <v>12</v>
      </c>
      <c r="D11" s="22" t="s">
        <v>12</v>
      </c>
      <c r="E11" s="22" t="s">
        <v>853</v>
      </c>
      <c r="F11" s="31" t="s">
        <v>859</v>
      </c>
      <c r="G11" s="22">
        <v>1</v>
      </c>
      <c r="H11" s="12">
        <v>20240814</v>
      </c>
    </row>
    <row r="12" ht="15.75" spans="1:8">
      <c r="A12" s="18">
        <v>976.7911</v>
      </c>
      <c r="B12" s="22">
        <v>3</v>
      </c>
      <c r="C12" s="22" t="s">
        <v>12</v>
      </c>
      <c r="D12" s="22" t="s">
        <v>12</v>
      </c>
      <c r="E12" s="23" t="s">
        <v>851</v>
      </c>
      <c r="F12" s="31" t="s">
        <v>860</v>
      </c>
      <c r="G12" s="22">
        <v>2</v>
      </c>
      <c r="H12" s="12">
        <v>20240814</v>
      </c>
    </row>
    <row r="13" spans="1:8">
      <c r="A13" s="18">
        <v>976.7861</v>
      </c>
      <c r="B13" s="22">
        <v>3</v>
      </c>
      <c r="C13" s="22" t="s">
        <v>12</v>
      </c>
      <c r="D13" s="22" t="s">
        <v>12</v>
      </c>
      <c r="E13" s="22" t="s">
        <v>853</v>
      </c>
      <c r="F13" s="31" t="s">
        <v>861</v>
      </c>
      <c r="G13" s="22">
        <v>1</v>
      </c>
      <c r="H13" s="12">
        <v>20240814</v>
      </c>
    </row>
    <row r="14" ht="15.75" spans="1:8">
      <c r="A14" s="18">
        <v>976.7911</v>
      </c>
      <c r="B14" s="22">
        <v>3</v>
      </c>
      <c r="C14" s="22" t="s">
        <v>12</v>
      </c>
      <c r="D14" s="22" t="s">
        <v>12</v>
      </c>
      <c r="E14" s="22" t="s">
        <v>862</v>
      </c>
      <c r="F14" s="31" t="s">
        <v>863</v>
      </c>
      <c r="G14" s="22">
        <v>1</v>
      </c>
      <c r="H14" s="12">
        <v>20240814</v>
      </c>
    </row>
    <row r="15" spans="1:8">
      <c r="A15" s="18">
        <v>976.7949</v>
      </c>
      <c r="B15" s="22">
        <v>4</v>
      </c>
      <c r="C15" s="22" t="s">
        <v>253</v>
      </c>
      <c r="D15" s="22" t="s">
        <v>126</v>
      </c>
      <c r="E15" s="22" t="s">
        <v>254</v>
      </c>
      <c r="F15" s="31" t="s">
        <v>864</v>
      </c>
      <c r="G15" s="22">
        <v>1</v>
      </c>
      <c r="H15" s="12">
        <v>20240814</v>
      </c>
    </row>
    <row r="16" spans="1:8">
      <c r="A16" s="18">
        <v>976.8035</v>
      </c>
      <c r="B16" s="22">
        <v>5</v>
      </c>
      <c r="C16" s="22" t="s">
        <v>253</v>
      </c>
      <c r="D16" s="22" t="s">
        <v>126</v>
      </c>
      <c r="E16" s="22" t="s">
        <v>254</v>
      </c>
      <c r="F16" s="31" t="s">
        <v>865</v>
      </c>
      <c r="G16" s="22">
        <v>1</v>
      </c>
      <c r="H16" s="12">
        <v>20240814</v>
      </c>
    </row>
    <row r="17" ht="15.75" spans="1:8">
      <c r="A17" s="18">
        <v>976.8092</v>
      </c>
      <c r="B17" s="22">
        <v>6</v>
      </c>
      <c r="C17" s="22" t="s">
        <v>12</v>
      </c>
      <c r="D17" s="22" t="s">
        <v>12</v>
      </c>
      <c r="E17" s="23" t="s">
        <v>851</v>
      </c>
      <c r="F17" s="31" t="s">
        <v>866</v>
      </c>
      <c r="G17" s="22">
        <v>1</v>
      </c>
      <c r="H17" s="12">
        <v>20240814</v>
      </c>
    </row>
    <row r="18" ht="15.75" spans="1:8">
      <c r="A18" s="18">
        <v>976.8331</v>
      </c>
      <c r="B18" s="22">
        <v>8</v>
      </c>
      <c r="C18" s="22" t="s">
        <v>12</v>
      </c>
      <c r="D18" s="22" t="s">
        <v>12</v>
      </c>
      <c r="E18" s="23" t="s">
        <v>851</v>
      </c>
      <c r="F18" s="31" t="s">
        <v>867</v>
      </c>
      <c r="G18" s="22">
        <v>2</v>
      </c>
      <c r="H18" s="12">
        <v>20240814</v>
      </c>
    </row>
    <row r="19" spans="1:8">
      <c r="A19" s="18">
        <v>976.839</v>
      </c>
      <c r="B19" s="12">
        <v>9</v>
      </c>
      <c r="C19" s="12" t="s">
        <v>129</v>
      </c>
      <c r="D19" s="19" t="s">
        <v>228</v>
      </c>
      <c r="E19" s="19" t="s">
        <v>236</v>
      </c>
      <c r="F19" s="21" t="s">
        <v>868</v>
      </c>
      <c r="G19" s="19">
        <v>1</v>
      </c>
      <c r="H19" s="12">
        <v>20240814</v>
      </c>
    </row>
    <row r="20" spans="1:8">
      <c r="A20" s="18">
        <v>976.8345</v>
      </c>
      <c r="B20" s="22">
        <v>9</v>
      </c>
      <c r="C20" s="22" t="s">
        <v>12</v>
      </c>
      <c r="D20" s="22" t="s">
        <v>12</v>
      </c>
      <c r="E20" s="22" t="s">
        <v>13</v>
      </c>
      <c r="F20" s="31" t="s">
        <v>869</v>
      </c>
      <c r="G20" s="22">
        <v>1</v>
      </c>
      <c r="H20" s="12">
        <v>20240814</v>
      </c>
    </row>
    <row r="21" ht="15.75" spans="1:8">
      <c r="A21" s="18">
        <v>976.833</v>
      </c>
      <c r="B21" s="22">
        <v>9</v>
      </c>
      <c r="C21" s="22" t="s">
        <v>12</v>
      </c>
      <c r="D21" s="22" t="s">
        <v>12</v>
      </c>
      <c r="E21" s="22" t="s">
        <v>82</v>
      </c>
      <c r="F21" s="31" t="s">
        <v>870</v>
      </c>
      <c r="G21" s="22">
        <v>1</v>
      </c>
      <c r="H21" s="12">
        <v>20240814</v>
      </c>
    </row>
    <row r="22" ht="15.75" spans="1:8">
      <c r="A22" s="18">
        <v>976.833</v>
      </c>
      <c r="B22" s="22">
        <v>9</v>
      </c>
      <c r="C22" s="22" t="s">
        <v>12</v>
      </c>
      <c r="D22" s="22" t="s">
        <v>12</v>
      </c>
      <c r="E22" s="23" t="s">
        <v>871</v>
      </c>
      <c r="F22" s="31" t="s">
        <v>872</v>
      </c>
      <c r="G22" s="22">
        <v>2</v>
      </c>
      <c r="H22" s="12">
        <v>20240814</v>
      </c>
    </row>
    <row r="23" ht="15.75" spans="1:8">
      <c r="A23" s="18">
        <v>976.833</v>
      </c>
      <c r="B23" s="111">
        <v>9</v>
      </c>
      <c r="C23" s="25" t="s">
        <v>247</v>
      </c>
      <c r="D23" s="25" t="s">
        <v>264</v>
      </c>
      <c r="E23" s="25" t="s">
        <v>873</v>
      </c>
      <c r="F23" s="118" t="s">
        <v>874</v>
      </c>
      <c r="G23" s="122">
        <v>1</v>
      </c>
      <c r="H23" s="12">
        <v>20240814</v>
      </c>
    </row>
    <row r="24" spans="1:8">
      <c r="A24" s="18">
        <v>976.835</v>
      </c>
      <c r="B24" s="111">
        <v>9</v>
      </c>
      <c r="C24" s="25" t="s">
        <v>247</v>
      </c>
      <c r="D24" s="25" t="s">
        <v>258</v>
      </c>
      <c r="E24" s="25" t="s">
        <v>875</v>
      </c>
      <c r="F24" s="118" t="s">
        <v>876</v>
      </c>
      <c r="G24" s="122">
        <v>1</v>
      </c>
      <c r="H24" s="12">
        <v>20240814</v>
      </c>
    </row>
    <row r="25" ht="15.75" spans="1:8">
      <c r="A25" s="18">
        <v>976.8448</v>
      </c>
      <c r="B25" s="22">
        <v>10</v>
      </c>
      <c r="C25" s="22" t="s">
        <v>12</v>
      </c>
      <c r="D25" s="22" t="s">
        <v>12</v>
      </c>
      <c r="E25" s="22" t="s">
        <v>82</v>
      </c>
      <c r="F25" s="31" t="s">
        <v>877</v>
      </c>
      <c r="G25" s="22">
        <v>1</v>
      </c>
      <c r="H25" s="12">
        <v>20240814</v>
      </c>
    </row>
    <row r="26" ht="40.5" spans="1:8">
      <c r="A26" s="18">
        <v>976.8565</v>
      </c>
      <c r="B26" s="12">
        <v>11</v>
      </c>
      <c r="C26" s="117" t="s">
        <v>878</v>
      </c>
      <c r="D26" s="20" t="s">
        <v>26</v>
      </c>
      <c r="E26" s="20" t="s">
        <v>29</v>
      </c>
      <c r="F26" s="21" t="s">
        <v>879</v>
      </c>
      <c r="G26" s="19">
        <v>1</v>
      </c>
      <c r="H26" s="12">
        <v>20240814</v>
      </c>
    </row>
    <row r="27" spans="1:8">
      <c r="A27" s="18">
        <v>976.8535</v>
      </c>
      <c r="B27" s="12">
        <v>11</v>
      </c>
      <c r="C27" s="12" t="s">
        <v>129</v>
      </c>
      <c r="D27" s="19" t="s">
        <v>235</v>
      </c>
      <c r="E27" s="19" t="s">
        <v>236</v>
      </c>
      <c r="F27" s="63" t="s">
        <v>880</v>
      </c>
      <c r="G27" s="19">
        <v>1</v>
      </c>
      <c r="H27" s="12">
        <v>20240814</v>
      </c>
    </row>
    <row r="28" ht="15.75" spans="1:8">
      <c r="A28" s="18">
        <v>976.8525</v>
      </c>
      <c r="B28" s="22">
        <v>11</v>
      </c>
      <c r="C28" s="22" t="s">
        <v>12</v>
      </c>
      <c r="D28" s="22" t="s">
        <v>12</v>
      </c>
      <c r="E28" s="22" t="s">
        <v>82</v>
      </c>
      <c r="F28" s="31" t="s">
        <v>881</v>
      </c>
      <c r="G28" s="22">
        <v>1</v>
      </c>
      <c r="H28" s="12">
        <v>20240814</v>
      </c>
    </row>
    <row r="29" ht="15.75" spans="1:8">
      <c r="A29" s="18">
        <v>976.8584</v>
      </c>
      <c r="B29" s="22">
        <v>12</v>
      </c>
      <c r="C29" s="22" t="s">
        <v>12</v>
      </c>
      <c r="D29" s="22" t="s">
        <v>12</v>
      </c>
      <c r="E29" s="22" t="s">
        <v>82</v>
      </c>
      <c r="F29" s="31" t="s">
        <v>882</v>
      </c>
      <c r="G29" s="22">
        <v>2</v>
      </c>
      <c r="H29" s="12">
        <v>20240814</v>
      </c>
    </row>
    <row r="30" ht="15.75" spans="1:8">
      <c r="A30" s="18">
        <v>976.8604</v>
      </c>
      <c r="B30" s="22">
        <v>12</v>
      </c>
      <c r="C30" s="22" t="s">
        <v>12</v>
      </c>
      <c r="D30" s="22" t="s">
        <v>12</v>
      </c>
      <c r="E30" s="23" t="s">
        <v>851</v>
      </c>
      <c r="F30" s="31" t="s">
        <v>883</v>
      </c>
      <c r="G30" s="22">
        <v>2</v>
      </c>
      <c r="H30" s="12">
        <v>20240814</v>
      </c>
    </row>
    <row r="31" spans="1:8">
      <c r="A31" s="18">
        <v>976.8584</v>
      </c>
      <c r="B31" s="22">
        <v>12</v>
      </c>
      <c r="C31" s="22" t="s">
        <v>12</v>
      </c>
      <c r="D31" s="22" t="s">
        <v>12</v>
      </c>
      <c r="E31" s="22" t="s">
        <v>13</v>
      </c>
      <c r="F31" s="31" t="s">
        <v>884</v>
      </c>
      <c r="G31" s="22">
        <v>1</v>
      </c>
      <c r="H31" s="12">
        <v>20240814</v>
      </c>
    </row>
    <row r="32" spans="1:8">
      <c r="A32" s="18">
        <v>976.878</v>
      </c>
      <c r="B32" s="12">
        <v>14</v>
      </c>
      <c r="C32" s="12" t="s">
        <v>129</v>
      </c>
      <c r="D32" s="20" t="s">
        <v>43</v>
      </c>
      <c r="E32" s="20" t="s">
        <v>885</v>
      </c>
      <c r="F32" s="21" t="s">
        <v>886</v>
      </c>
      <c r="G32" s="19">
        <v>1</v>
      </c>
      <c r="H32" s="12">
        <v>20240814</v>
      </c>
    </row>
    <row r="33" spans="1:8">
      <c r="A33" s="18">
        <v>976.8799</v>
      </c>
      <c r="B33" s="12">
        <v>15</v>
      </c>
      <c r="C33" s="12" t="s">
        <v>129</v>
      </c>
      <c r="D33" s="19" t="s">
        <v>235</v>
      </c>
      <c r="E33" s="19" t="s">
        <v>236</v>
      </c>
      <c r="F33" s="21" t="s">
        <v>887</v>
      </c>
      <c r="G33" s="19">
        <v>0</v>
      </c>
      <c r="H33" s="12">
        <v>20240814</v>
      </c>
    </row>
    <row r="34" ht="15.75" spans="1:8">
      <c r="A34" s="18">
        <v>976.8914</v>
      </c>
      <c r="B34" s="22">
        <v>16</v>
      </c>
      <c r="C34" s="22" t="s">
        <v>12</v>
      </c>
      <c r="D34" s="22" t="s">
        <v>12</v>
      </c>
      <c r="E34" s="22" t="s">
        <v>82</v>
      </c>
      <c r="F34" s="31" t="s">
        <v>888</v>
      </c>
      <c r="G34" s="22">
        <v>1</v>
      </c>
      <c r="H34" s="12">
        <v>20240814</v>
      </c>
    </row>
    <row r="35" spans="1:8">
      <c r="A35" s="18">
        <v>976.9002</v>
      </c>
      <c r="B35" s="12">
        <v>17</v>
      </c>
      <c r="C35" s="12" t="s">
        <v>129</v>
      </c>
      <c r="D35" s="19" t="s">
        <v>235</v>
      </c>
      <c r="E35" s="19" t="s">
        <v>236</v>
      </c>
      <c r="F35" s="21" t="s">
        <v>889</v>
      </c>
      <c r="G35" s="19">
        <v>0</v>
      </c>
      <c r="H35" s="12">
        <v>20240814</v>
      </c>
    </row>
    <row r="36" ht="14.25" customHeight="1" spans="1:8">
      <c r="A36" s="18">
        <v>976.8982</v>
      </c>
      <c r="B36" s="22">
        <v>17</v>
      </c>
      <c r="C36" s="22" t="s">
        <v>12</v>
      </c>
      <c r="D36" s="22" t="s">
        <v>12</v>
      </c>
      <c r="E36" s="22" t="s">
        <v>82</v>
      </c>
      <c r="F36" s="31" t="s">
        <v>890</v>
      </c>
      <c r="G36" s="22">
        <v>2</v>
      </c>
      <c r="H36" s="12">
        <v>20240814</v>
      </c>
    </row>
    <row r="37" ht="14.25" customHeight="1" spans="1:8">
      <c r="A37" s="18">
        <v>976.9054</v>
      </c>
      <c r="B37" s="22">
        <v>18</v>
      </c>
      <c r="C37" s="22" t="s">
        <v>12</v>
      </c>
      <c r="D37" s="22" t="s">
        <v>12</v>
      </c>
      <c r="E37" s="22" t="s">
        <v>82</v>
      </c>
      <c r="F37" s="31" t="s">
        <v>891</v>
      </c>
      <c r="G37" s="22">
        <v>1</v>
      </c>
      <c r="H37" s="12">
        <v>20240814</v>
      </c>
    </row>
    <row r="38" spans="1:8">
      <c r="A38" s="18">
        <v>976.9419</v>
      </c>
      <c r="B38" s="12">
        <v>22</v>
      </c>
      <c r="C38" s="12" t="s">
        <v>129</v>
      </c>
      <c r="D38" s="19" t="s">
        <v>290</v>
      </c>
      <c r="E38" s="19" t="s">
        <v>236</v>
      </c>
      <c r="F38" s="21" t="s">
        <v>892</v>
      </c>
      <c r="G38" s="19">
        <v>0</v>
      </c>
      <c r="H38" s="12">
        <v>20240814</v>
      </c>
    </row>
    <row r="39" spans="1:8">
      <c r="A39" s="18">
        <v>976.9379</v>
      </c>
      <c r="B39" s="22">
        <v>22</v>
      </c>
      <c r="C39" s="22" t="s">
        <v>12</v>
      </c>
      <c r="D39" s="22" t="s">
        <v>12</v>
      </c>
      <c r="E39" s="22" t="s">
        <v>853</v>
      </c>
      <c r="F39" s="31" t="s">
        <v>893</v>
      </c>
      <c r="G39" s="22">
        <v>1</v>
      </c>
      <c r="H39" s="12">
        <v>20240814</v>
      </c>
    </row>
    <row r="40" spans="1:8">
      <c r="A40" s="18">
        <v>976.9399</v>
      </c>
      <c r="B40" s="22">
        <v>22</v>
      </c>
      <c r="C40" s="22" t="s">
        <v>12</v>
      </c>
      <c r="D40" s="22" t="s">
        <v>12</v>
      </c>
      <c r="E40" s="23" t="s">
        <v>894</v>
      </c>
      <c r="F40" s="31" t="s">
        <v>895</v>
      </c>
      <c r="G40" s="22">
        <v>1</v>
      </c>
      <c r="H40" s="12">
        <v>20240814</v>
      </c>
    </row>
    <row r="41" spans="1:8">
      <c r="A41" s="18">
        <v>976.9429</v>
      </c>
      <c r="B41" s="12">
        <v>23</v>
      </c>
      <c r="C41" s="12" t="s">
        <v>129</v>
      </c>
      <c r="D41" s="19" t="s">
        <v>272</v>
      </c>
      <c r="E41" s="20" t="s">
        <v>41</v>
      </c>
      <c r="F41" s="21" t="s">
        <v>273</v>
      </c>
      <c r="G41" s="19">
        <v>1</v>
      </c>
      <c r="H41" s="12">
        <v>20240814</v>
      </c>
    </row>
    <row r="42" spans="1:8">
      <c r="A42" s="18">
        <v>976.9507</v>
      </c>
      <c r="B42" s="22">
        <v>24</v>
      </c>
      <c r="C42" s="22" t="s">
        <v>12</v>
      </c>
      <c r="D42" s="22" t="s">
        <v>12</v>
      </c>
      <c r="E42" s="22" t="s">
        <v>13</v>
      </c>
      <c r="F42" s="31" t="s">
        <v>896</v>
      </c>
      <c r="G42" s="22">
        <v>1</v>
      </c>
      <c r="H42" s="12">
        <v>20240814</v>
      </c>
    </row>
    <row r="43" spans="1:8">
      <c r="A43" s="18">
        <v>976.9547</v>
      </c>
      <c r="B43" s="110">
        <v>24</v>
      </c>
      <c r="C43" s="25" t="s">
        <v>268</v>
      </c>
      <c r="D43" s="25" t="s">
        <v>269</v>
      </c>
      <c r="E43" s="64" t="s">
        <v>19</v>
      </c>
      <c r="F43" s="118" t="s">
        <v>897</v>
      </c>
      <c r="G43" s="122">
        <v>1</v>
      </c>
      <c r="H43" s="12">
        <v>20240814</v>
      </c>
    </row>
    <row r="44" spans="1:8">
      <c r="A44" s="18">
        <v>976.9662</v>
      </c>
      <c r="B44" s="22">
        <v>26</v>
      </c>
      <c r="C44" s="22" t="s">
        <v>12</v>
      </c>
      <c r="D44" s="22" t="s">
        <v>12</v>
      </c>
      <c r="E44" s="22" t="s">
        <v>13</v>
      </c>
      <c r="F44" s="31" t="s">
        <v>898</v>
      </c>
      <c r="G44" s="22">
        <v>1</v>
      </c>
      <c r="H44" s="12">
        <v>20240814</v>
      </c>
    </row>
    <row r="45" spans="1:8">
      <c r="A45" s="18">
        <v>976.9759</v>
      </c>
      <c r="B45" s="22">
        <v>27</v>
      </c>
      <c r="C45" s="22" t="s">
        <v>12</v>
      </c>
      <c r="D45" s="22" t="s">
        <v>12</v>
      </c>
      <c r="E45" s="22" t="s">
        <v>13</v>
      </c>
      <c r="F45" s="31" t="s">
        <v>899</v>
      </c>
      <c r="G45" s="22">
        <v>1</v>
      </c>
      <c r="H45" s="12">
        <v>20240814</v>
      </c>
    </row>
    <row r="46" spans="1:8">
      <c r="A46" s="18">
        <v>976.9964</v>
      </c>
      <c r="B46" s="12">
        <v>30</v>
      </c>
      <c r="C46" s="12" t="s">
        <v>129</v>
      </c>
      <c r="D46" s="19" t="s">
        <v>290</v>
      </c>
      <c r="E46" s="20" t="s">
        <v>33</v>
      </c>
      <c r="F46" s="21" t="s">
        <v>900</v>
      </c>
      <c r="G46" s="19">
        <v>0</v>
      </c>
      <c r="H46" s="12">
        <v>20240814</v>
      </c>
    </row>
    <row r="47" spans="1:8">
      <c r="A47" s="18">
        <v>977.0387</v>
      </c>
      <c r="B47" s="22">
        <v>35</v>
      </c>
      <c r="C47" s="22" t="s">
        <v>12</v>
      </c>
      <c r="D47" s="22" t="s">
        <v>12</v>
      </c>
      <c r="E47" s="22" t="s">
        <v>853</v>
      </c>
      <c r="F47" s="31" t="s">
        <v>901</v>
      </c>
      <c r="G47" s="22">
        <v>1</v>
      </c>
      <c r="H47" s="12">
        <v>20240814</v>
      </c>
    </row>
    <row r="48" ht="15.75" spans="1:8">
      <c r="A48" s="18">
        <v>977.0515</v>
      </c>
      <c r="B48" s="70">
        <v>37</v>
      </c>
      <c r="C48" s="25" t="s">
        <v>238</v>
      </c>
      <c r="D48" s="25" t="s">
        <v>264</v>
      </c>
      <c r="E48" s="25" t="s">
        <v>244</v>
      </c>
      <c r="F48" s="118" t="s">
        <v>902</v>
      </c>
      <c r="G48" s="122">
        <v>1</v>
      </c>
      <c r="H48" s="12">
        <v>20240814</v>
      </c>
    </row>
    <row r="49" spans="1:8">
      <c r="A49" s="18">
        <v>977.0671</v>
      </c>
      <c r="B49" s="22">
        <v>39</v>
      </c>
      <c r="C49" s="22" t="s">
        <v>12</v>
      </c>
      <c r="D49" s="22" t="s">
        <v>12</v>
      </c>
      <c r="E49" s="22" t="s">
        <v>853</v>
      </c>
      <c r="F49" s="31" t="s">
        <v>903</v>
      </c>
      <c r="G49" s="22">
        <v>1</v>
      </c>
      <c r="H49" s="12">
        <v>20240814</v>
      </c>
    </row>
    <row r="50" ht="15.75" spans="1:8">
      <c r="A50" s="18">
        <v>977.0743</v>
      </c>
      <c r="B50" s="70">
        <v>40</v>
      </c>
      <c r="C50" s="110" t="s">
        <v>238</v>
      </c>
      <c r="D50" s="110" t="s">
        <v>242</v>
      </c>
      <c r="E50" s="110" t="s">
        <v>240</v>
      </c>
      <c r="F50" s="118" t="s">
        <v>904</v>
      </c>
      <c r="G50" s="122">
        <v>1</v>
      </c>
      <c r="H50" s="12">
        <v>20240814</v>
      </c>
    </row>
    <row r="51" spans="1:8">
      <c r="A51" s="18">
        <v>977.0804</v>
      </c>
      <c r="B51" s="22">
        <v>41</v>
      </c>
      <c r="C51" s="22" t="s">
        <v>12</v>
      </c>
      <c r="D51" s="22" t="s">
        <v>12</v>
      </c>
      <c r="E51" s="22" t="s">
        <v>853</v>
      </c>
      <c r="F51" s="31" t="s">
        <v>905</v>
      </c>
      <c r="G51" s="22">
        <v>1</v>
      </c>
      <c r="H51" s="12">
        <v>20240814</v>
      </c>
    </row>
    <row r="52" spans="1:8">
      <c r="A52" s="18">
        <v>977.1198</v>
      </c>
      <c r="B52" s="12">
        <v>46</v>
      </c>
      <c r="C52" s="12" t="s">
        <v>129</v>
      </c>
      <c r="D52" s="19" t="s">
        <v>290</v>
      </c>
      <c r="E52" s="19" t="s">
        <v>236</v>
      </c>
      <c r="F52" s="21" t="s">
        <v>906</v>
      </c>
      <c r="G52" s="19">
        <v>0</v>
      </c>
      <c r="H52" s="12">
        <v>20240814</v>
      </c>
    </row>
    <row r="53" spans="1:8">
      <c r="A53" s="18">
        <v>977.1274</v>
      </c>
      <c r="B53" s="12">
        <v>47</v>
      </c>
      <c r="C53" s="12" t="s">
        <v>129</v>
      </c>
      <c r="D53" s="19" t="s">
        <v>290</v>
      </c>
      <c r="E53" s="19" t="s">
        <v>236</v>
      </c>
      <c r="F53" s="21" t="s">
        <v>907</v>
      </c>
      <c r="G53" s="19">
        <v>0</v>
      </c>
      <c r="H53" s="12">
        <v>20240814</v>
      </c>
    </row>
    <row r="54" spans="1:8">
      <c r="A54" s="18">
        <v>977.1304</v>
      </c>
      <c r="B54" s="22">
        <v>47</v>
      </c>
      <c r="C54" s="22" t="s">
        <v>12</v>
      </c>
      <c r="D54" s="22" t="s">
        <v>12</v>
      </c>
      <c r="E54" s="22" t="s">
        <v>853</v>
      </c>
      <c r="F54" s="31" t="s">
        <v>908</v>
      </c>
      <c r="G54" s="22">
        <v>1</v>
      </c>
      <c r="H54" s="12">
        <v>20240814</v>
      </c>
    </row>
    <row r="55" spans="1:8">
      <c r="A55" s="18">
        <v>977.1394</v>
      </c>
      <c r="B55" s="111">
        <v>48</v>
      </c>
      <c r="C55" s="25" t="s">
        <v>247</v>
      </c>
      <c r="D55" s="25" t="s">
        <v>264</v>
      </c>
      <c r="E55" s="25" t="s">
        <v>875</v>
      </c>
      <c r="F55" s="118" t="s">
        <v>909</v>
      </c>
      <c r="G55" s="122">
        <v>0</v>
      </c>
      <c r="H55" s="12">
        <v>20240814</v>
      </c>
    </row>
    <row r="56" spans="1:8">
      <c r="A56" s="18">
        <v>977.1501</v>
      </c>
      <c r="B56" s="12">
        <v>50</v>
      </c>
      <c r="C56" s="12" t="s">
        <v>129</v>
      </c>
      <c r="D56" s="12" t="s">
        <v>135</v>
      </c>
      <c r="E56" s="20" t="s">
        <v>15</v>
      </c>
      <c r="F56" s="21" t="s">
        <v>910</v>
      </c>
      <c r="G56" s="19">
        <v>0</v>
      </c>
      <c r="H56" s="12">
        <v>20240814</v>
      </c>
    </row>
    <row r="57" spans="1:8">
      <c r="A57" s="18">
        <v>977.158</v>
      </c>
      <c r="B57" s="12">
        <v>51</v>
      </c>
      <c r="C57" s="12" t="s">
        <v>129</v>
      </c>
      <c r="D57" s="19" t="s">
        <v>290</v>
      </c>
      <c r="E57" s="19" t="s">
        <v>236</v>
      </c>
      <c r="F57" s="21" t="s">
        <v>911</v>
      </c>
      <c r="G57" s="19">
        <v>0</v>
      </c>
      <c r="H57" s="12">
        <v>20240814</v>
      </c>
    </row>
    <row r="58" spans="1:8">
      <c r="A58" s="18">
        <v>977.1899</v>
      </c>
      <c r="B58" s="12">
        <v>55</v>
      </c>
      <c r="C58" s="12" t="s">
        <v>129</v>
      </c>
      <c r="D58" s="19" t="s">
        <v>235</v>
      </c>
      <c r="E58" s="19" t="s">
        <v>236</v>
      </c>
      <c r="F58" s="21" t="s">
        <v>912</v>
      </c>
      <c r="G58" s="19">
        <v>0</v>
      </c>
      <c r="H58" s="12">
        <v>20240814</v>
      </c>
    </row>
    <row r="59" spans="1:8">
      <c r="A59" s="18">
        <v>977.2247</v>
      </c>
      <c r="B59" s="12">
        <v>60</v>
      </c>
      <c r="C59" s="12" t="s">
        <v>129</v>
      </c>
      <c r="D59" s="20" t="s">
        <v>49</v>
      </c>
      <c r="E59" s="20" t="s">
        <v>885</v>
      </c>
      <c r="F59" s="21" t="s">
        <v>913</v>
      </c>
      <c r="G59" s="19">
        <v>1</v>
      </c>
      <c r="H59" s="12">
        <v>20240814</v>
      </c>
    </row>
    <row r="60" ht="40.5" spans="1:8">
      <c r="A60" s="18">
        <v>977.2502</v>
      </c>
      <c r="B60" s="70">
        <v>63</v>
      </c>
      <c r="C60" s="29" t="s">
        <v>820</v>
      </c>
      <c r="D60" s="64" t="s">
        <v>177</v>
      </c>
      <c r="E60" s="64" t="s">
        <v>29</v>
      </c>
      <c r="F60" s="118" t="s">
        <v>914</v>
      </c>
      <c r="G60" s="122">
        <v>1</v>
      </c>
      <c r="H60" s="12">
        <v>20240814</v>
      </c>
    </row>
    <row r="61" spans="1:8">
      <c r="A61" s="18">
        <v>977.2819</v>
      </c>
      <c r="B61" s="111">
        <v>66</v>
      </c>
      <c r="C61" s="25" t="s">
        <v>247</v>
      </c>
      <c r="D61" s="25" t="s">
        <v>264</v>
      </c>
      <c r="E61" s="25" t="s">
        <v>875</v>
      </c>
      <c r="F61" s="118" t="s">
        <v>915</v>
      </c>
      <c r="G61" s="122">
        <v>0</v>
      </c>
      <c r="H61" s="12">
        <v>20240814</v>
      </c>
    </row>
    <row r="62" spans="1:8">
      <c r="A62" s="18">
        <v>977.2845</v>
      </c>
      <c r="B62" s="22">
        <v>67</v>
      </c>
      <c r="C62" s="22" t="s">
        <v>12</v>
      </c>
      <c r="D62" s="22" t="s">
        <v>12</v>
      </c>
      <c r="E62" s="22" t="s">
        <v>13</v>
      </c>
      <c r="F62" s="31" t="s">
        <v>916</v>
      </c>
      <c r="G62" s="22">
        <v>1</v>
      </c>
      <c r="H62" s="12">
        <v>20240814</v>
      </c>
    </row>
    <row r="63" spans="1:8">
      <c r="A63" s="18">
        <v>977.293</v>
      </c>
      <c r="B63" s="12">
        <v>68</v>
      </c>
      <c r="C63" s="12" t="s">
        <v>129</v>
      </c>
      <c r="D63" s="19" t="s">
        <v>290</v>
      </c>
      <c r="E63" s="19" t="s">
        <v>236</v>
      </c>
      <c r="F63" s="21" t="s">
        <v>917</v>
      </c>
      <c r="G63" s="19">
        <v>0</v>
      </c>
      <c r="H63" s="12">
        <v>20240814</v>
      </c>
    </row>
    <row r="64" spans="1:8">
      <c r="A64" s="18">
        <v>977.3017</v>
      </c>
      <c r="B64" s="12">
        <v>69</v>
      </c>
      <c r="C64" s="12" t="s">
        <v>129</v>
      </c>
      <c r="D64" s="19" t="s">
        <v>235</v>
      </c>
      <c r="E64" s="19" t="s">
        <v>236</v>
      </c>
      <c r="F64" s="21" t="s">
        <v>918</v>
      </c>
      <c r="G64" s="19">
        <v>0</v>
      </c>
      <c r="H64" s="12">
        <v>20240814</v>
      </c>
    </row>
    <row r="65" spans="1:8">
      <c r="A65" s="18">
        <v>977.3144</v>
      </c>
      <c r="B65" s="22">
        <v>70</v>
      </c>
      <c r="C65" s="22" t="s">
        <v>12</v>
      </c>
      <c r="D65" s="22" t="s">
        <v>12</v>
      </c>
      <c r="E65" s="22" t="s">
        <v>282</v>
      </c>
      <c r="F65" s="31" t="s">
        <v>919</v>
      </c>
      <c r="G65" s="22">
        <v>1</v>
      </c>
      <c r="H65" s="12">
        <v>20240814</v>
      </c>
    </row>
    <row r="66" spans="1:8">
      <c r="A66" s="18">
        <v>977.3154</v>
      </c>
      <c r="B66" s="111">
        <v>70</v>
      </c>
      <c r="C66" s="25" t="s">
        <v>247</v>
      </c>
      <c r="D66" s="25" t="s">
        <v>264</v>
      </c>
      <c r="E66" s="25" t="s">
        <v>875</v>
      </c>
      <c r="F66" s="118" t="s">
        <v>920</v>
      </c>
      <c r="G66" s="122">
        <v>0</v>
      </c>
      <c r="H66" s="12">
        <v>20240814</v>
      </c>
    </row>
    <row r="67" spans="1:8">
      <c r="A67" s="18">
        <v>977.3149</v>
      </c>
      <c r="B67" s="22">
        <v>70</v>
      </c>
      <c r="C67" s="22" t="s">
        <v>12</v>
      </c>
      <c r="D67" s="22" t="s">
        <v>12</v>
      </c>
      <c r="E67" s="22" t="s">
        <v>853</v>
      </c>
      <c r="F67" s="31" t="s">
        <v>921</v>
      </c>
      <c r="G67" s="22">
        <v>1</v>
      </c>
      <c r="H67" s="12">
        <v>20240814</v>
      </c>
    </row>
    <row r="68" ht="15.75" spans="1:8">
      <c r="A68" s="18">
        <v>977.3232</v>
      </c>
      <c r="B68" s="70">
        <v>71</v>
      </c>
      <c r="C68" s="110" t="s">
        <v>238</v>
      </c>
      <c r="D68" s="110" t="s">
        <v>242</v>
      </c>
      <c r="E68" s="110" t="s">
        <v>240</v>
      </c>
      <c r="F68" s="118" t="s">
        <v>922</v>
      </c>
      <c r="G68" s="122">
        <v>1</v>
      </c>
      <c r="H68" s="12">
        <v>20240814</v>
      </c>
    </row>
    <row r="69" spans="1:8">
      <c r="A69" s="18">
        <v>977.3237</v>
      </c>
      <c r="B69" s="111">
        <v>71</v>
      </c>
      <c r="C69" s="25" t="s">
        <v>247</v>
      </c>
      <c r="D69" s="25" t="s">
        <v>242</v>
      </c>
      <c r="E69" s="25" t="s">
        <v>248</v>
      </c>
      <c r="F69" s="118" t="s">
        <v>923</v>
      </c>
      <c r="G69" s="122">
        <v>1</v>
      </c>
      <c r="H69" s="12">
        <v>20240814</v>
      </c>
    </row>
    <row r="70" spans="1:8">
      <c r="A70" s="18">
        <v>977.34</v>
      </c>
      <c r="B70" s="22">
        <v>74</v>
      </c>
      <c r="C70" s="22" t="s">
        <v>12</v>
      </c>
      <c r="D70" s="22" t="s">
        <v>12</v>
      </c>
      <c r="E70" s="22" t="s">
        <v>853</v>
      </c>
      <c r="F70" s="31" t="s">
        <v>924</v>
      </c>
      <c r="G70" s="22">
        <v>1</v>
      </c>
      <c r="H70" s="12">
        <v>20240814</v>
      </c>
    </row>
    <row r="71" spans="1:8">
      <c r="A71" s="18">
        <v>977.3491</v>
      </c>
      <c r="B71" s="22">
        <v>75</v>
      </c>
      <c r="C71" s="22" t="s">
        <v>12</v>
      </c>
      <c r="D71" s="22" t="s">
        <v>12</v>
      </c>
      <c r="E71" s="22" t="s">
        <v>13</v>
      </c>
      <c r="F71" s="31" t="s">
        <v>925</v>
      </c>
      <c r="G71" s="22">
        <v>1</v>
      </c>
      <c r="H71" s="12">
        <v>20240814</v>
      </c>
    </row>
    <row r="72" spans="1:8">
      <c r="A72" s="18">
        <v>977.3631</v>
      </c>
      <c r="B72" s="12">
        <v>77</v>
      </c>
      <c r="C72" s="12" t="s">
        <v>129</v>
      </c>
      <c r="D72" s="19" t="s">
        <v>290</v>
      </c>
      <c r="E72" s="20" t="s">
        <v>33</v>
      </c>
      <c r="F72" s="21" t="s">
        <v>926</v>
      </c>
      <c r="G72" s="19">
        <v>1</v>
      </c>
      <c r="H72" s="12">
        <v>20240814</v>
      </c>
    </row>
    <row r="73" ht="15.75" spans="1:8">
      <c r="A73" s="18">
        <v>977.3748</v>
      </c>
      <c r="B73" s="68">
        <v>78</v>
      </c>
      <c r="C73" s="110" t="s">
        <v>238</v>
      </c>
      <c r="D73" s="110" t="s">
        <v>239</v>
      </c>
      <c r="E73" s="110" t="s">
        <v>445</v>
      </c>
      <c r="F73" s="118" t="s">
        <v>927</v>
      </c>
      <c r="G73" s="122">
        <v>1</v>
      </c>
      <c r="H73" s="12">
        <v>20240814</v>
      </c>
    </row>
    <row r="74" spans="1:8">
      <c r="A74" s="18">
        <v>977.3786</v>
      </c>
      <c r="B74" s="12">
        <v>79</v>
      </c>
      <c r="C74" s="12" t="s">
        <v>129</v>
      </c>
      <c r="D74" s="20" t="s">
        <v>9</v>
      </c>
      <c r="E74" s="20" t="s">
        <v>33</v>
      </c>
      <c r="F74" s="21" t="s">
        <v>928</v>
      </c>
      <c r="G74" s="19">
        <v>1</v>
      </c>
      <c r="H74" s="12">
        <v>20240814</v>
      </c>
    </row>
    <row r="75" spans="1:8">
      <c r="A75" s="18">
        <v>977.3862</v>
      </c>
      <c r="B75" s="12">
        <v>80</v>
      </c>
      <c r="C75" s="12" t="s">
        <v>129</v>
      </c>
      <c r="D75" s="19" t="s">
        <v>290</v>
      </c>
      <c r="E75" s="20" t="s">
        <v>33</v>
      </c>
      <c r="F75" s="21" t="s">
        <v>929</v>
      </c>
      <c r="G75" s="19">
        <v>0</v>
      </c>
      <c r="H75" s="12">
        <v>20240814</v>
      </c>
    </row>
    <row r="76" spans="1:8">
      <c r="A76" s="18">
        <v>977.3902</v>
      </c>
      <c r="B76" s="22">
        <v>80</v>
      </c>
      <c r="C76" s="22" t="s">
        <v>12</v>
      </c>
      <c r="D76" s="22" t="s">
        <v>12</v>
      </c>
      <c r="E76" s="22" t="s">
        <v>13</v>
      </c>
      <c r="F76" s="31" t="s">
        <v>930</v>
      </c>
      <c r="G76" s="22">
        <v>1</v>
      </c>
      <c r="H76" s="12">
        <v>20240814</v>
      </c>
    </row>
    <row r="77" spans="1:8">
      <c r="A77" s="18">
        <v>977.4017</v>
      </c>
      <c r="B77" s="12">
        <v>82</v>
      </c>
      <c r="C77" s="12" t="s">
        <v>129</v>
      </c>
      <c r="D77" s="19" t="s">
        <v>290</v>
      </c>
      <c r="E77" s="20" t="s">
        <v>33</v>
      </c>
      <c r="F77" s="21" t="s">
        <v>931</v>
      </c>
      <c r="G77" s="19">
        <v>0</v>
      </c>
      <c r="H77" s="12">
        <v>20240814</v>
      </c>
    </row>
    <row r="78" spans="1:8">
      <c r="A78" s="18">
        <v>977.4095</v>
      </c>
      <c r="B78" s="22">
        <v>83</v>
      </c>
      <c r="C78" s="22" t="s">
        <v>12</v>
      </c>
      <c r="D78" s="22" t="s">
        <v>12</v>
      </c>
      <c r="E78" s="22" t="s">
        <v>13</v>
      </c>
      <c r="F78" s="31" t="s">
        <v>932</v>
      </c>
      <c r="G78" s="22">
        <v>1</v>
      </c>
      <c r="H78" s="12">
        <v>20240814</v>
      </c>
    </row>
    <row r="79" spans="1:8">
      <c r="A79" s="18">
        <v>977.4244</v>
      </c>
      <c r="B79" s="22">
        <v>85</v>
      </c>
      <c r="C79" s="22" t="s">
        <v>12</v>
      </c>
      <c r="D79" s="22" t="s">
        <v>12</v>
      </c>
      <c r="E79" s="22" t="s">
        <v>13</v>
      </c>
      <c r="F79" s="31" t="s">
        <v>916</v>
      </c>
      <c r="G79" s="22">
        <v>1</v>
      </c>
      <c r="H79" s="12">
        <v>20240814</v>
      </c>
    </row>
    <row r="80" spans="1:8">
      <c r="A80" s="18">
        <v>977.4356</v>
      </c>
      <c r="B80" s="22">
        <v>86</v>
      </c>
      <c r="C80" s="22" t="s">
        <v>12</v>
      </c>
      <c r="D80" s="22" t="s">
        <v>12</v>
      </c>
      <c r="E80" s="22" t="s">
        <v>13</v>
      </c>
      <c r="F80" s="31" t="s">
        <v>933</v>
      </c>
      <c r="G80" s="22">
        <v>1</v>
      </c>
      <c r="H80" s="12">
        <v>20240814</v>
      </c>
    </row>
    <row r="81" ht="15.75" spans="1:8">
      <c r="A81" s="18">
        <v>977.4321</v>
      </c>
      <c r="B81" s="70">
        <v>86</v>
      </c>
      <c r="C81" s="25" t="s">
        <v>238</v>
      </c>
      <c r="D81" s="25" t="s">
        <v>264</v>
      </c>
      <c r="E81" s="25" t="s">
        <v>244</v>
      </c>
      <c r="F81" s="118" t="s">
        <v>934</v>
      </c>
      <c r="G81" s="122">
        <v>1</v>
      </c>
      <c r="H81" s="12">
        <v>20240814</v>
      </c>
    </row>
    <row r="82" spans="1:8">
      <c r="A82" s="18">
        <v>977.4605</v>
      </c>
      <c r="B82" s="22">
        <v>89</v>
      </c>
      <c r="C82" s="22" t="s">
        <v>12</v>
      </c>
      <c r="D82" s="22" t="s">
        <v>12</v>
      </c>
      <c r="E82" s="22" t="s">
        <v>13</v>
      </c>
      <c r="F82" s="31" t="s">
        <v>935</v>
      </c>
      <c r="G82" s="22">
        <v>1</v>
      </c>
      <c r="H82" s="12">
        <v>20240814</v>
      </c>
    </row>
    <row r="83" spans="1:8">
      <c r="A83" s="18">
        <v>977.4711</v>
      </c>
      <c r="B83" s="12">
        <v>91</v>
      </c>
      <c r="C83" s="12" t="s">
        <v>129</v>
      </c>
      <c r="D83" s="19" t="s">
        <v>290</v>
      </c>
      <c r="E83" s="19" t="s">
        <v>936</v>
      </c>
      <c r="F83" s="63" t="s">
        <v>937</v>
      </c>
      <c r="G83" s="19">
        <v>0</v>
      </c>
      <c r="H83" s="12">
        <v>20240814</v>
      </c>
    </row>
    <row r="84" spans="1:8">
      <c r="A84" s="18">
        <v>977.48</v>
      </c>
      <c r="B84" s="22">
        <v>92</v>
      </c>
      <c r="C84" s="22" t="s">
        <v>12</v>
      </c>
      <c r="D84" s="22" t="s">
        <v>12</v>
      </c>
      <c r="E84" s="22" t="s">
        <v>13</v>
      </c>
      <c r="F84" s="31" t="s">
        <v>938</v>
      </c>
      <c r="G84" s="22">
        <v>1</v>
      </c>
      <c r="H84" s="12">
        <v>20240814</v>
      </c>
    </row>
    <row r="85" spans="1:8">
      <c r="A85" s="18">
        <v>977.487</v>
      </c>
      <c r="B85" s="12">
        <v>93</v>
      </c>
      <c r="C85" s="12" t="s">
        <v>129</v>
      </c>
      <c r="D85" s="19" t="s">
        <v>290</v>
      </c>
      <c r="E85" s="19" t="s">
        <v>236</v>
      </c>
      <c r="F85" s="21" t="s">
        <v>939</v>
      </c>
      <c r="G85" s="19">
        <v>0</v>
      </c>
      <c r="H85" s="12">
        <v>20240814</v>
      </c>
    </row>
    <row r="86" spans="1:8">
      <c r="A86" s="18">
        <v>977.4947</v>
      </c>
      <c r="B86" s="22">
        <v>94</v>
      </c>
      <c r="C86" s="22" t="s">
        <v>12</v>
      </c>
      <c r="D86" s="22" t="s">
        <v>12</v>
      </c>
      <c r="E86" s="22" t="s">
        <v>13</v>
      </c>
      <c r="F86" s="31" t="s">
        <v>916</v>
      </c>
      <c r="G86" s="22">
        <v>1</v>
      </c>
      <c r="H86" s="12">
        <v>20240814</v>
      </c>
    </row>
    <row r="87" spans="1:8">
      <c r="A87" s="18">
        <v>977.5104</v>
      </c>
      <c r="B87" s="12">
        <v>96</v>
      </c>
      <c r="C87" s="12" t="s">
        <v>129</v>
      </c>
      <c r="D87" s="19" t="s">
        <v>290</v>
      </c>
      <c r="E87" s="20" t="s">
        <v>33</v>
      </c>
      <c r="F87" s="21" t="s">
        <v>940</v>
      </c>
      <c r="G87" s="19">
        <v>1</v>
      </c>
      <c r="H87" s="12">
        <v>20240814</v>
      </c>
    </row>
    <row r="88" spans="1:8">
      <c r="A88" s="18">
        <v>977.5104</v>
      </c>
      <c r="B88" s="12">
        <v>96</v>
      </c>
      <c r="C88" s="12" t="s">
        <v>129</v>
      </c>
      <c r="D88" s="19" t="s">
        <v>228</v>
      </c>
      <c r="E88" s="20" t="s">
        <v>41</v>
      </c>
      <c r="F88" s="21" t="s">
        <v>800</v>
      </c>
      <c r="G88" s="19">
        <v>1</v>
      </c>
      <c r="H88" s="12">
        <v>20240814</v>
      </c>
    </row>
    <row r="89" spans="1:8">
      <c r="A89" s="18">
        <v>977.5104</v>
      </c>
      <c r="B89" s="22">
        <v>96</v>
      </c>
      <c r="C89" s="22" t="s">
        <v>12</v>
      </c>
      <c r="D89" s="22" t="s">
        <v>12</v>
      </c>
      <c r="E89" s="22" t="s">
        <v>13</v>
      </c>
      <c r="F89" s="31" t="s">
        <v>916</v>
      </c>
      <c r="G89" s="22">
        <v>1</v>
      </c>
      <c r="H89" s="12">
        <v>20240814</v>
      </c>
    </row>
    <row r="90" ht="40.5" spans="1:8">
      <c r="A90" s="18">
        <v>977.5399</v>
      </c>
      <c r="B90" s="12">
        <v>99</v>
      </c>
      <c r="C90" s="117" t="s">
        <v>878</v>
      </c>
      <c r="D90" s="20" t="s">
        <v>40</v>
      </c>
      <c r="E90" s="20" t="s">
        <v>941</v>
      </c>
      <c r="F90" s="21" t="s">
        <v>942</v>
      </c>
      <c r="G90" s="19">
        <v>1</v>
      </c>
      <c r="H90" s="12">
        <v>20240814</v>
      </c>
    </row>
    <row r="91" spans="1:8">
      <c r="A91" s="18">
        <v>977.5416</v>
      </c>
      <c r="B91" s="22">
        <v>100</v>
      </c>
      <c r="C91" s="22" t="s">
        <v>12</v>
      </c>
      <c r="D91" s="22" t="s">
        <v>12</v>
      </c>
      <c r="E91" s="22" t="s">
        <v>13</v>
      </c>
      <c r="F91" s="31" t="s">
        <v>943</v>
      </c>
      <c r="G91" s="22">
        <v>1</v>
      </c>
      <c r="H91" s="12">
        <v>20240814</v>
      </c>
    </row>
    <row r="92" ht="15.75" spans="1:8">
      <c r="A92" s="18">
        <v>977.5528</v>
      </c>
      <c r="B92" s="70">
        <v>103</v>
      </c>
      <c r="C92" s="25" t="s">
        <v>238</v>
      </c>
      <c r="D92" s="25" t="s">
        <v>264</v>
      </c>
      <c r="E92" s="25" t="s">
        <v>244</v>
      </c>
      <c r="F92" s="118" t="s">
        <v>498</v>
      </c>
      <c r="G92" s="122">
        <v>1</v>
      </c>
      <c r="H92" s="12">
        <v>20240814</v>
      </c>
    </row>
    <row r="93" ht="15.75" spans="1:8">
      <c r="A93" s="18">
        <v>977.5579</v>
      </c>
      <c r="B93" s="70">
        <v>104</v>
      </c>
      <c r="C93" s="110" t="s">
        <v>238</v>
      </c>
      <c r="D93" s="110" t="s">
        <v>242</v>
      </c>
      <c r="E93" s="110" t="s">
        <v>240</v>
      </c>
      <c r="F93" s="118" t="s">
        <v>944</v>
      </c>
      <c r="G93" s="122">
        <v>1</v>
      </c>
      <c r="H93" s="12">
        <v>20240814</v>
      </c>
    </row>
    <row r="94" ht="15.75" spans="1:8">
      <c r="A94" s="18">
        <v>977.5638</v>
      </c>
      <c r="B94" s="70">
        <v>105</v>
      </c>
      <c r="C94" s="110" t="s">
        <v>238</v>
      </c>
      <c r="D94" s="110" t="s">
        <v>242</v>
      </c>
      <c r="E94" s="110" t="s">
        <v>240</v>
      </c>
      <c r="F94" s="118" t="s">
        <v>945</v>
      </c>
      <c r="G94" s="122">
        <v>1</v>
      </c>
      <c r="H94" s="12">
        <v>20240814</v>
      </c>
    </row>
    <row r="95" spans="1:8">
      <c r="A95" s="18">
        <v>977.5747</v>
      </c>
      <c r="B95" s="12">
        <v>108</v>
      </c>
      <c r="C95" s="12" t="s">
        <v>129</v>
      </c>
      <c r="D95" s="19" t="s">
        <v>235</v>
      </c>
      <c r="E95" s="19" t="s">
        <v>236</v>
      </c>
      <c r="F95" s="21" t="s">
        <v>946</v>
      </c>
      <c r="G95" s="19">
        <v>0</v>
      </c>
      <c r="H95" s="12">
        <v>20240814</v>
      </c>
    </row>
    <row r="96" spans="1:8">
      <c r="A96" s="18">
        <v>977.5754</v>
      </c>
      <c r="B96" s="12">
        <v>109</v>
      </c>
      <c r="C96" s="12" t="s">
        <v>129</v>
      </c>
      <c r="D96" s="19" t="s">
        <v>235</v>
      </c>
      <c r="E96" s="20" t="s">
        <v>33</v>
      </c>
      <c r="F96" s="21" t="s">
        <v>947</v>
      </c>
      <c r="G96" s="19">
        <v>1</v>
      </c>
      <c r="H96" s="12">
        <v>20240814</v>
      </c>
    </row>
    <row r="97" spans="1:8">
      <c r="A97" s="18">
        <v>977.5754</v>
      </c>
      <c r="B97" s="22">
        <v>109</v>
      </c>
      <c r="C97" s="22" t="s">
        <v>12</v>
      </c>
      <c r="D97" s="22" t="s">
        <v>12</v>
      </c>
      <c r="E97" s="22" t="s">
        <v>13</v>
      </c>
      <c r="F97" s="31" t="s">
        <v>948</v>
      </c>
      <c r="G97" s="22">
        <v>1</v>
      </c>
      <c r="H97" s="12">
        <v>20240814</v>
      </c>
    </row>
    <row r="98" spans="1:8">
      <c r="A98" s="18">
        <v>977.5915</v>
      </c>
      <c r="B98" s="12">
        <v>112</v>
      </c>
      <c r="C98" s="12" t="s">
        <v>129</v>
      </c>
      <c r="D98" s="19" t="s">
        <v>290</v>
      </c>
      <c r="E98" s="20" t="s">
        <v>15</v>
      </c>
      <c r="F98" s="21" t="s">
        <v>949</v>
      </c>
      <c r="G98" s="19">
        <v>0</v>
      </c>
      <c r="H98" s="12">
        <v>20240814</v>
      </c>
    </row>
    <row r="99" spans="1:8">
      <c r="A99" s="18">
        <v>977.5935</v>
      </c>
      <c r="B99" s="22">
        <v>112</v>
      </c>
      <c r="C99" s="22" t="s">
        <v>12</v>
      </c>
      <c r="D99" s="22" t="s">
        <v>12</v>
      </c>
      <c r="E99" s="22" t="s">
        <v>13</v>
      </c>
      <c r="F99" s="31" t="s">
        <v>884</v>
      </c>
      <c r="G99" s="22">
        <v>1</v>
      </c>
      <c r="H99" s="12">
        <v>20240814</v>
      </c>
    </row>
    <row r="100" spans="1:8">
      <c r="A100" s="18">
        <v>977.6119</v>
      </c>
      <c r="B100" s="22">
        <v>114</v>
      </c>
      <c r="C100" s="22" t="s">
        <v>12</v>
      </c>
      <c r="D100" s="22" t="s">
        <v>12</v>
      </c>
      <c r="E100" s="22" t="s">
        <v>13</v>
      </c>
      <c r="F100" s="31" t="s">
        <v>950</v>
      </c>
      <c r="G100" s="22">
        <v>1</v>
      </c>
      <c r="H100" s="12">
        <v>20240814</v>
      </c>
    </row>
    <row r="101" spans="1:8">
      <c r="A101" s="18">
        <v>977.6162</v>
      </c>
      <c r="B101" s="12">
        <v>115</v>
      </c>
      <c r="C101" s="12" t="s">
        <v>129</v>
      </c>
      <c r="D101" s="19" t="s">
        <v>290</v>
      </c>
      <c r="E101" s="20" t="s">
        <v>15</v>
      </c>
      <c r="F101" s="21" t="s">
        <v>949</v>
      </c>
      <c r="G101" s="19">
        <v>0</v>
      </c>
      <c r="H101" s="12">
        <v>20240814</v>
      </c>
    </row>
    <row r="102" spans="1:8">
      <c r="A102" s="18">
        <v>977.6425</v>
      </c>
      <c r="B102" s="22">
        <v>118</v>
      </c>
      <c r="C102" s="22" t="s">
        <v>12</v>
      </c>
      <c r="D102" s="22" t="s">
        <v>12</v>
      </c>
      <c r="E102" s="22" t="s">
        <v>13</v>
      </c>
      <c r="F102" s="31" t="s">
        <v>951</v>
      </c>
      <c r="G102" s="22">
        <v>1</v>
      </c>
      <c r="H102" s="12">
        <v>20240814</v>
      </c>
    </row>
    <row r="103" spans="1:8">
      <c r="A103" s="18">
        <v>977.6706</v>
      </c>
      <c r="B103" s="22">
        <v>121</v>
      </c>
      <c r="C103" s="22" t="s">
        <v>12</v>
      </c>
      <c r="D103" s="22" t="s">
        <v>12</v>
      </c>
      <c r="E103" s="22" t="s">
        <v>13</v>
      </c>
      <c r="F103" s="31" t="s">
        <v>952</v>
      </c>
      <c r="G103" s="22">
        <v>1</v>
      </c>
      <c r="H103" s="12">
        <v>20240814</v>
      </c>
    </row>
    <row r="104" ht="28.5" spans="1:8">
      <c r="A104" s="18">
        <v>977.6863</v>
      </c>
      <c r="B104" s="15">
        <v>123</v>
      </c>
      <c r="C104" s="22" t="s">
        <v>170</v>
      </c>
      <c r="D104" s="22" t="s">
        <v>170</v>
      </c>
      <c r="E104" s="22" t="s">
        <v>172</v>
      </c>
      <c r="F104" s="31" t="s">
        <v>614</v>
      </c>
      <c r="G104" s="22">
        <v>1</v>
      </c>
      <c r="H104" s="12">
        <v>20240814</v>
      </c>
    </row>
    <row r="105" spans="1:8">
      <c r="A105" s="18">
        <v>977.7035</v>
      </c>
      <c r="B105" s="12">
        <v>125</v>
      </c>
      <c r="C105" s="12" t="s">
        <v>129</v>
      </c>
      <c r="D105" s="19" t="s">
        <v>290</v>
      </c>
      <c r="E105" s="20" t="s">
        <v>33</v>
      </c>
      <c r="F105" s="21" t="s">
        <v>900</v>
      </c>
      <c r="G105" s="19">
        <v>0</v>
      </c>
      <c r="H105" s="12">
        <v>20240814</v>
      </c>
    </row>
    <row r="106" spans="1:8">
      <c r="A106" s="18">
        <v>977.7326</v>
      </c>
      <c r="B106" s="22">
        <v>128</v>
      </c>
      <c r="C106" s="22" t="s">
        <v>12</v>
      </c>
      <c r="D106" s="22" t="s">
        <v>12</v>
      </c>
      <c r="E106" s="22" t="s">
        <v>13</v>
      </c>
      <c r="F106" s="31" t="s">
        <v>953</v>
      </c>
      <c r="G106" s="22">
        <v>1</v>
      </c>
      <c r="H106" s="12">
        <v>20240814</v>
      </c>
    </row>
    <row r="107" ht="15.75" spans="1:8">
      <c r="A107" s="18">
        <v>977.8113</v>
      </c>
      <c r="B107" s="70">
        <v>137</v>
      </c>
      <c r="C107" s="110" t="s">
        <v>238</v>
      </c>
      <c r="D107" s="110" t="s">
        <v>242</v>
      </c>
      <c r="E107" s="110" t="s">
        <v>240</v>
      </c>
      <c r="F107" s="118" t="s">
        <v>954</v>
      </c>
      <c r="G107" s="122">
        <v>1</v>
      </c>
      <c r="H107" s="12">
        <v>20240814</v>
      </c>
    </row>
    <row r="108" ht="28.5" spans="1:8">
      <c r="A108" s="18">
        <v>977.8356</v>
      </c>
      <c r="B108" s="22">
        <v>140</v>
      </c>
      <c r="C108" s="22" t="s">
        <v>170</v>
      </c>
      <c r="D108" s="22" t="s">
        <v>170</v>
      </c>
      <c r="E108" s="22" t="s">
        <v>172</v>
      </c>
      <c r="F108" s="31" t="s">
        <v>614</v>
      </c>
      <c r="G108" s="22">
        <v>1</v>
      </c>
      <c r="H108" s="12">
        <v>20240814</v>
      </c>
    </row>
    <row r="109" spans="1:8">
      <c r="A109" s="18">
        <v>977.8444</v>
      </c>
      <c r="B109" s="22">
        <v>141</v>
      </c>
      <c r="C109" s="22" t="s">
        <v>253</v>
      </c>
      <c r="D109" s="22" t="s">
        <v>126</v>
      </c>
      <c r="E109" s="22" t="s">
        <v>254</v>
      </c>
      <c r="F109" s="31" t="s">
        <v>955</v>
      </c>
      <c r="G109" s="22">
        <v>1</v>
      </c>
      <c r="H109" s="12">
        <v>20240814</v>
      </c>
    </row>
    <row r="110" spans="1:8">
      <c r="A110" s="18">
        <v>977.8531</v>
      </c>
      <c r="B110" s="111">
        <v>142</v>
      </c>
      <c r="C110" s="25" t="s">
        <v>247</v>
      </c>
      <c r="D110" s="25" t="s">
        <v>264</v>
      </c>
      <c r="E110" s="25" t="s">
        <v>372</v>
      </c>
      <c r="F110" s="161" t="s">
        <v>956</v>
      </c>
      <c r="G110" s="122">
        <v>1</v>
      </c>
      <c r="H110" s="12">
        <v>20240814</v>
      </c>
    </row>
    <row r="111" spans="1:8">
      <c r="A111" s="18">
        <v>977.8619</v>
      </c>
      <c r="B111" s="12">
        <v>143</v>
      </c>
      <c r="C111" s="12" t="s">
        <v>129</v>
      </c>
      <c r="D111" s="19" t="s">
        <v>228</v>
      </c>
      <c r="E111" s="20" t="s">
        <v>33</v>
      </c>
      <c r="F111" s="21" t="s">
        <v>957</v>
      </c>
      <c r="G111" s="27">
        <v>1</v>
      </c>
      <c r="H111" s="12">
        <v>20240814</v>
      </c>
    </row>
    <row r="112" spans="1:8">
      <c r="A112" s="18">
        <v>977.8706</v>
      </c>
      <c r="B112" s="12">
        <v>144</v>
      </c>
      <c r="C112" s="12" t="s">
        <v>129</v>
      </c>
      <c r="D112" s="19" t="s">
        <v>228</v>
      </c>
      <c r="E112" s="20" t="s">
        <v>33</v>
      </c>
      <c r="F112" s="21" t="s">
        <v>958</v>
      </c>
      <c r="G112" s="19">
        <v>1</v>
      </c>
      <c r="H112" s="12">
        <v>20240814</v>
      </c>
    </row>
    <row r="113" spans="1:8">
      <c r="A113" s="18">
        <v>977.8978</v>
      </c>
      <c r="B113" s="22">
        <v>147</v>
      </c>
      <c r="C113" s="22" t="s">
        <v>12</v>
      </c>
      <c r="D113" s="22" t="s">
        <v>12</v>
      </c>
      <c r="E113" s="22" t="s">
        <v>13</v>
      </c>
      <c r="F113" s="31" t="s">
        <v>959</v>
      </c>
      <c r="G113" s="22">
        <v>1</v>
      </c>
      <c r="H113" s="12">
        <v>20240814</v>
      </c>
    </row>
    <row r="114" spans="1:8">
      <c r="A114" s="18">
        <v>977.9137</v>
      </c>
      <c r="B114" s="22">
        <v>148</v>
      </c>
      <c r="C114" s="22" t="s">
        <v>253</v>
      </c>
      <c r="D114" s="22" t="s">
        <v>126</v>
      </c>
      <c r="E114" s="22" t="s">
        <v>254</v>
      </c>
      <c r="F114" s="31" t="s">
        <v>960</v>
      </c>
      <c r="G114" s="22">
        <v>1</v>
      </c>
      <c r="H114" s="12">
        <v>20240814</v>
      </c>
    </row>
    <row r="115" spans="1:8">
      <c r="A115" s="18">
        <v>977.9323</v>
      </c>
      <c r="B115" s="111">
        <v>151</v>
      </c>
      <c r="C115" s="25" t="s">
        <v>247</v>
      </c>
      <c r="D115" s="25" t="s">
        <v>264</v>
      </c>
      <c r="E115" s="25" t="s">
        <v>248</v>
      </c>
      <c r="F115" s="161" t="s">
        <v>961</v>
      </c>
      <c r="G115" s="122">
        <v>0</v>
      </c>
      <c r="H115" s="12">
        <v>20240814</v>
      </c>
    </row>
    <row r="116" spans="1:8">
      <c r="A116" s="18">
        <v>978.0007</v>
      </c>
      <c r="B116" s="12">
        <v>158</v>
      </c>
      <c r="C116" s="12" t="s">
        <v>129</v>
      </c>
      <c r="D116" s="19" t="s">
        <v>235</v>
      </c>
      <c r="E116" s="19" t="s">
        <v>236</v>
      </c>
      <c r="F116" s="21" t="s">
        <v>962</v>
      </c>
      <c r="G116" s="19">
        <v>0</v>
      </c>
      <c r="H116" s="12">
        <v>20240814</v>
      </c>
    </row>
    <row r="117" ht="28.5" spans="1:8">
      <c r="A117" s="18">
        <v>977.9937</v>
      </c>
      <c r="B117" s="22">
        <v>158</v>
      </c>
      <c r="C117" s="22" t="s">
        <v>170</v>
      </c>
      <c r="D117" s="22" t="s">
        <v>170</v>
      </c>
      <c r="E117" s="22" t="s">
        <v>172</v>
      </c>
      <c r="F117" s="31" t="s">
        <v>614</v>
      </c>
      <c r="G117" s="22">
        <v>1</v>
      </c>
      <c r="H117" s="12">
        <v>20240814</v>
      </c>
    </row>
    <row r="118" ht="40.5" spans="1:8">
      <c r="A118" s="18">
        <v>977.9957</v>
      </c>
      <c r="B118" s="70">
        <v>158</v>
      </c>
      <c r="C118" s="29" t="s">
        <v>820</v>
      </c>
      <c r="D118" s="64" t="s">
        <v>177</v>
      </c>
      <c r="E118" s="64" t="s">
        <v>29</v>
      </c>
      <c r="F118" s="118" t="s">
        <v>963</v>
      </c>
      <c r="G118" s="122">
        <v>1</v>
      </c>
      <c r="H118" s="12">
        <v>20240814</v>
      </c>
    </row>
    <row r="119" spans="1:8">
      <c r="A119" s="18">
        <v>978.0165</v>
      </c>
      <c r="B119" s="12">
        <v>160</v>
      </c>
      <c r="C119" s="12" t="s">
        <v>129</v>
      </c>
      <c r="D119" s="19" t="s">
        <v>228</v>
      </c>
      <c r="E119" s="19" t="s">
        <v>236</v>
      </c>
      <c r="F119" s="21" t="s">
        <v>964</v>
      </c>
      <c r="G119" s="19">
        <v>1</v>
      </c>
      <c r="H119" s="12">
        <v>20240814</v>
      </c>
    </row>
    <row r="120" ht="15.75" spans="1:8">
      <c r="A120" s="18">
        <v>978.0234</v>
      </c>
      <c r="B120" s="70">
        <v>161</v>
      </c>
      <c r="C120" s="110" t="s">
        <v>238</v>
      </c>
      <c r="D120" s="110" t="s">
        <v>239</v>
      </c>
      <c r="E120" s="110" t="s">
        <v>240</v>
      </c>
      <c r="F120" s="118" t="s">
        <v>965</v>
      </c>
      <c r="G120" s="122">
        <v>1</v>
      </c>
      <c r="H120" s="12">
        <v>20240814</v>
      </c>
    </row>
    <row r="121" spans="1:8">
      <c r="A121" s="18">
        <v>978.038</v>
      </c>
      <c r="B121" s="22">
        <v>163</v>
      </c>
      <c r="C121" s="22" t="s">
        <v>12</v>
      </c>
      <c r="D121" s="22" t="s">
        <v>12</v>
      </c>
      <c r="E121" s="22" t="s">
        <v>13</v>
      </c>
      <c r="F121" s="31" t="s">
        <v>896</v>
      </c>
      <c r="G121" s="22">
        <v>1</v>
      </c>
      <c r="H121" s="12">
        <v>20240814</v>
      </c>
    </row>
    <row r="122" spans="1:8">
      <c r="A122" s="18">
        <v>978.0647</v>
      </c>
      <c r="B122" s="12">
        <v>166</v>
      </c>
      <c r="C122" s="12" t="s">
        <v>129</v>
      </c>
      <c r="D122" s="19" t="s">
        <v>228</v>
      </c>
      <c r="E122" s="20" t="s">
        <v>15</v>
      </c>
      <c r="F122" s="21" t="s">
        <v>966</v>
      </c>
      <c r="G122" s="19">
        <v>1</v>
      </c>
      <c r="H122" s="12">
        <v>20240814</v>
      </c>
    </row>
    <row r="123" spans="1:8">
      <c r="A123" s="18">
        <v>978.09</v>
      </c>
      <c r="B123" s="111">
        <v>168</v>
      </c>
      <c r="C123" s="25" t="s">
        <v>247</v>
      </c>
      <c r="D123" s="25" t="s">
        <v>242</v>
      </c>
      <c r="E123" s="25" t="s">
        <v>248</v>
      </c>
      <c r="F123" s="118" t="s">
        <v>967</v>
      </c>
      <c r="G123" s="122">
        <v>1</v>
      </c>
      <c r="H123" s="12">
        <v>20240814</v>
      </c>
    </row>
    <row r="124" spans="1:8">
      <c r="A124" s="18">
        <v>978.0909</v>
      </c>
      <c r="B124" s="12">
        <v>169</v>
      </c>
      <c r="C124" s="12" t="s">
        <v>129</v>
      </c>
      <c r="D124" s="19" t="s">
        <v>228</v>
      </c>
      <c r="E124" s="20" t="s">
        <v>33</v>
      </c>
      <c r="F124" s="21" t="s">
        <v>968</v>
      </c>
      <c r="G124" s="19">
        <v>1</v>
      </c>
      <c r="H124" s="12">
        <v>20240814</v>
      </c>
    </row>
    <row r="125" spans="1:8">
      <c r="A125" s="18">
        <v>978.0919</v>
      </c>
      <c r="B125" s="12">
        <v>169</v>
      </c>
      <c r="C125" s="12" t="s">
        <v>129</v>
      </c>
      <c r="D125" s="19" t="s">
        <v>228</v>
      </c>
      <c r="E125" s="20" t="s">
        <v>41</v>
      </c>
      <c r="F125" s="21" t="s">
        <v>969</v>
      </c>
      <c r="G125" s="19">
        <v>0</v>
      </c>
      <c r="H125" s="12">
        <v>20240814</v>
      </c>
    </row>
    <row r="126" spans="1:8">
      <c r="A126" s="18">
        <v>978.0929</v>
      </c>
      <c r="B126" s="12">
        <v>169</v>
      </c>
      <c r="C126" s="12" t="s">
        <v>129</v>
      </c>
      <c r="D126" s="19" t="s">
        <v>228</v>
      </c>
      <c r="E126" s="19" t="s">
        <v>236</v>
      </c>
      <c r="F126" s="21" t="s">
        <v>970</v>
      </c>
      <c r="G126" s="19">
        <v>0</v>
      </c>
      <c r="H126" s="12">
        <v>20240814</v>
      </c>
    </row>
    <row r="127" ht="15.75" spans="1:8">
      <c r="A127" s="18">
        <v>978.0909</v>
      </c>
      <c r="B127" s="70">
        <v>169</v>
      </c>
      <c r="C127" s="110" t="s">
        <v>238</v>
      </c>
      <c r="D127" s="110" t="s">
        <v>242</v>
      </c>
      <c r="E127" s="110" t="s">
        <v>240</v>
      </c>
      <c r="F127" s="118" t="s">
        <v>971</v>
      </c>
      <c r="G127" s="122">
        <v>1</v>
      </c>
      <c r="H127" s="12">
        <v>20240814</v>
      </c>
    </row>
    <row r="128" spans="1:8">
      <c r="A128" s="18">
        <v>978.0939</v>
      </c>
      <c r="B128" s="111">
        <v>169</v>
      </c>
      <c r="C128" s="25" t="s">
        <v>247</v>
      </c>
      <c r="D128" s="25" t="s">
        <v>242</v>
      </c>
      <c r="E128" s="25" t="s">
        <v>248</v>
      </c>
      <c r="F128" s="118" t="s">
        <v>972</v>
      </c>
      <c r="G128" s="122">
        <v>1</v>
      </c>
      <c r="H128" s="12">
        <v>20240814</v>
      </c>
    </row>
    <row r="129" ht="28.5" spans="1:8">
      <c r="A129" s="18">
        <v>978.135</v>
      </c>
      <c r="B129" s="22">
        <v>174</v>
      </c>
      <c r="C129" s="22" t="s">
        <v>170</v>
      </c>
      <c r="D129" s="22" t="s">
        <v>170</v>
      </c>
      <c r="E129" s="22" t="s">
        <v>172</v>
      </c>
      <c r="F129" s="31" t="s">
        <v>614</v>
      </c>
      <c r="G129" s="22">
        <v>1</v>
      </c>
      <c r="H129" s="12">
        <v>20240814</v>
      </c>
    </row>
    <row r="130" spans="1:8">
      <c r="A130" s="18">
        <v>978.2505</v>
      </c>
      <c r="B130" s="12">
        <v>187</v>
      </c>
      <c r="C130" s="12" t="s">
        <v>129</v>
      </c>
      <c r="D130" s="19" t="s">
        <v>235</v>
      </c>
      <c r="E130" s="19" t="s">
        <v>236</v>
      </c>
      <c r="F130" s="21" t="s">
        <v>973</v>
      </c>
      <c r="G130" s="19">
        <v>0</v>
      </c>
      <c r="H130" s="12">
        <v>20240814</v>
      </c>
    </row>
    <row r="131" spans="1:8">
      <c r="A131" s="18">
        <v>978.2495</v>
      </c>
      <c r="B131" s="12">
        <v>187</v>
      </c>
      <c r="C131" s="12" t="s">
        <v>129</v>
      </c>
      <c r="D131" s="19" t="s">
        <v>290</v>
      </c>
      <c r="E131" s="20" t="s">
        <v>885</v>
      </c>
      <c r="F131" s="21" t="s">
        <v>974</v>
      </c>
      <c r="G131" s="19">
        <v>1</v>
      </c>
      <c r="H131" s="12">
        <v>20240814</v>
      </c>
    </row>
    <row r="132" ht="15.75" spans="1:8">
      <c r="A132" s="18">
        <v>978.2677</v>
      </c>
      <c r="B132" s="22">
        <v>189</v>
      </c>
      <c r="C132" s="22" t="s">
        <v>12</v>
      </c>
      <c r="D132" s="22" t="s">
        <v>12</v>
      </c>
      <c r="E132" s="23" t="s">
        <v>851</v>
      </c>
      <c r="F132" s="31" t="s">
        <v>975</v>
      </c>
      <c r="G132" s="22">
        <v>1</v>
      </c>
      <c r="H132" s="12">
        <v>20240814</v>
      </c>
    </row>
    <row r="133" spans="1:8">
      <c r="A133" s="18">
        <v>978.2958</v>
      </c>
      <c r="B133" s="110">
        <v>192</v>
      </c>
      <c r="C133" s="25" t="s">
        <v>268</v>
      </c>
      <c r="D133" s="25" t="s">
        <v>269</v>
      </c>
      <c r="E133" s="64" t="s">
        <v>19</v>
      </c>
      <c r="F133" s="118" t="s">
        <v>897</v>
      </c>
      <c r="G133" s="122">
        <v>1</v>
      </c>
      <c r="H133" s="12">
        <v>20240814</v>
      </c>
    </row>
    <row r="134" spans="1:8">
      <c r="A134" s="18">
        <v>978.3358</v>
      </c>
      <c r="B134" s="12">
        <v>197</v>
      </c>
      <c r="C134" s="12" t="s">
        <v>129</v>
      </c>
      <c r="D134" s="19" t="s">
        <v>235</v>
      </c>
      <c r="E134" s="20" t="s">
        <v>976</v>
      </c>
      <c r="F134" s="21" t="s">
        <v>977</v>
      </c>
      <c r="G134" s="19">
        <v>1</v>
      </c>
      <c r="H134" s="12">
        <v>20240814</v>
      </c>
    </row>
    <row r="135" ht="15.75" spans="1:8">
      <c r="A135" s="18">
        <v>978.3438</v>
      </c>
      <c r="B135" s="22">
        <v>197</v>
      </c>
      <c r="C135" s="22" t="s">
        <v>12</v>
      </c>
      <c r="D135" s="22" t="s">
        <v>12</v>
      </c>
      <c r="E135" s="22" t="s">
        <v>862</v>
      </c>
      <c r="F135" s="31" t="s">
        <v>978</v>
      </c>
      <c r="G135" s="22">
        <v>1</v>
      </c>
      <c r="H135" s="12">
        <v>20240814</v>
      </c>
    </row>
    <row r="136" ht="27" spans="1:8">
      <c r="A136" s="18">
        <v>976.77</v>
      </c>
      <c r="B136" s="15" t="s">
        <v>979</v>
      </c>
      <c r="C136" s="22" t="s">
        <v>170</v>
      </c>
      <c r="D136" s="22" t="s">
        <v>170</v>
      </c>
      <c r="E136" s="22" t="s">
        <v>172</v>
      </c>
      <c r="F136" s="31" t="s">
        <v>222</v>
      </c>
      <c r="G136" s="22">
        <v>1</v>
      </c>
      <c r="H136" s="12">
        <v>20240814</v>
      </c>
    </row>
    <row r="137" ht="27" spans="1:8">
      <c r="A137" s="18">
        <v>977.545</v>
      </c>
      <c r="B137" s="15" t="s">
        <v>980</v>
      </c>
      <c r="C137" s="22" t="s">
        <v>170</v>
      </c>
      <c r="D137" s="22" t="s">
        <v>170</v>
      </c>
      <c r="E137" s="22" t="s">
        <v>172</v>
      </c>
      <c r="F137" s="31" t="s">
        <v>222</v>
      </c>
      <c r="G137" s="22">
        <v>1</v>
      </c>
      <c r="H137" s="12">
        <v>20240814</v>
      </c>
    </row>
    <row r="138" ht="27" spans="1:8">
      <c r="A138" s="18">
        <v>977.669</v>
      </c>
      <c r="B138" s="15" t="s">
        <v>981</v>
      </c>
      <c r="C138" s="22" t="s">
        <v>170</v>
      </c>
      <c r="D138" s="22" t="s">
        <v>170</v>
      </c>
      <c r="E138" s="22" t="s">
        <v>172</v>
      </c>
      <c r="F138" s="31" t="s">
        <v>222</v>
      </c>
      <c r="G138" s="22">
        <v>1</v>
      </c>
      <c r="H138" s="12">
        <v>20240814</v>
      </c>
    </row>
    <row r="139" ht="27" spans="1:8">
      <c r="A139" s="18">
        <v>977.844</v>
      </c>
      <c r="B139" s="15" t="s">
        <v>982</v>
      </c>
      <c r="C139" s="22" t="s">
        <v>170</v>
      </c>
      <c r="D139" s="22" t="s">
        <v>170</v>
      </c>
      <c r="E139" s="22" t="s">
        <v>172</v>
      </c>
      <c r="F139" s="31" t="s">
        <v>222</v>
      </c>
      <c r="G139" s="22">
        <v>1</v>
      </c>
      <c r="H139" s="12">
        <v>20240814</v>
      </c>
    </row>
    <row r="140" ht="27" spans="1:8">
      <c r="A140" s="18">
        <v>978.02</v>
      </c>
      <c r="B140" s="15" t="s">
        <v>983</v>
      </c>
      <c r="C140" s="22" t="s">
        <v>170</v>
      </c>
      <c r="D140" s="22" t="s">
        <v>170</v>
      </c>
      <c r="E140" s="22" t="s">
        <v>172</v>
      </c>
      <c r="F140" s="31" t="s">
        <v>222</v>
      </c>
      <c r="G140" s="22">
        <v>1</v>
      </c>
      <c r="H140" s="12">
        <v>20240814</v>
      </c>
    </row>
    <row r="141" ht="27" spans="1:8">
      <c r="A141" s="18">
        <v>978.197</v>
      </c>
      <c r="B141" s="15" t="s">
        <v>984</v>
      </c>
      <c r="C141" s="22" t="s">
        <v>170</v>
      </c>
      <c r="D141" s="22" t="s">
        <v>170</v>
      </c>
      <c r="E141" s="22" t="s">
        <v>172</v>
      </c>
      <c r="F141" s="31" t="s">
        <v>222</v>
      </c>
      <c r="G141" s="22">
        <v>1</v>
      </c>
      <c r="H141" s="12">
        <v>20240814</v>
      </c>
    </row>
    <row r="142" ht="27" spans="1:8">
      <c r="A142" s="18">
        <v>976.927</v>
      </c>
      <c r="B142" s="15" t="s">
        <v>985</v>
      </c>
      <c r="C142" s="22" t="s">
        <v>170</v>
      </c>
      <c r="D142" s="22" t="s">
        <v>170</v>
      </c>
      <c r="E142" s="22" t="s">
        <v>172</v>
      </c>
      <c r="F142" s="31" t="s">
        <v>222</v>
      </c>
      <c r="G142" s="22">
        <v>1</v>
      </c>
      <c r="H142" s="12">
        <v>20240814</v>
      </c>
    </row>
    <row r="143" ht="27" spans="1:8">
      <c r="A143" s="18">
        <v>977.08</v>
      </c>
      <c r="B143" s="15" t="s">
        <v>986</v>
      </c>
      <c r="C143" s="22" t="s">
        <v>170</v>
      </c>
      <c r="D143" s="22" t="s">
        <v>170</v>
      </c>
      <c r="E143" s="22" t="s">
        <v>172</v>
      </c>
      <c r="F143" s="31" t="s">
        <v>222</v>
      </c>
      <c r="G143" s="22">
        <v>1</v>
      </c>
      <c r="H143" s="12">
        <v>20240814</v>
      </c>
    </row>
    <row r="144" ht="27" spans="1:8">
      <c r="A144" s="18">
        <v>977.233</v>
      </c>
      <c r="B144" s="15" t="s">
        <v>987</v>
      </c>
      <c r="C144" s="22" t="s">
        <v>170</v>
      </c>
      <c r="D144" s="22" t="s">
        <v>170</v>
      </c>
      <c r="E144" s="22" t="s">
        <v>172</v>
      </c>
      <c r="F144" s="31" t="s">
        <v>222</v>
      </c>
      <c r="G144" s="22">
        <v>1</v>
      </c>
      <c r="H144" s="12">
        <v>20240814</v>
      </c>
    </row>
    <row r="145" ht="27" spans="1:8">
      <c r="A145" s="18">
        <v>977.394</v>
      </c>
      <c r="B145" s="15" t="s">
        <v>988</v>
      </c>
      <c r="C145" s="22" t="s">
        <v>170</v>
      </c>
      <c r="D145" s="22" t="s">
        <v>170</v>
      </c>
      <c r="E145" s="22" t="s">
        <v>172</v>
      </c>
      <c r="F145" s="31" t="s">
        <v>222</v>
      </c>
      <c r="G145" s="22">
        <v>1</v>
      </c>
      <c r="H145" s="12">
        <v>20240814</v>
      </c>
    </row>
    <row r="146" spans="1:8">
      <c r="B146" s="22" t="s">
        <v>989</v>
      </c>
      <c r="C146" s="22" t="s">
        <v>125</v>
      </c>
      <c r="D146" s="22" t="s">
        <v>91</v>
      </c>
      <c r="E146" s="22" t="s">
        <v>91</v>
      </c>
      <c r="F146" s="31" t="s">
        <v>990</v>
      </c>
      <c r="G146" s="22">
        <v>0</v>
      </c>
      <c r="H146" s="12">
        <v>20240814</v>
      </c>
    </row>
  </sheetData>
  <autoFilter xmlns:etc="http://www.wps.cn/officeDocument/2017/etCustomData" ref="A1:H146" etc:filterBottomFollowUsedRange="0">
    <extLst/>
  </autoFilter>
  <sortState ref="A2:H149">
    <sortCondition ref="B2:B149"/>
  </sortState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76"/>
  <sheetViews>
    <sheetView workbookViewId="0">
      <selection activeCell="M8" sqref="M8"/>
    </sheetView>
  </sheetViews>
  <sheetFormatPr defaultColWidth="9" defaultRowHeight="15" outlineLevelCol="7"/>
  <cols>
    <col min="1" max="1" width="9" style="16"/>
    <col min="2" max="2" width="7.125" style="12" customWidth="1"/>
    <col min="3" max="3" width="11.25" style="12" customWidth="1"/>
    <col min="4" max="4" width="9" style="12"/>
    <col min="5" max="5" width="9" style="16"/>
    <col min="6" max="6" width="68.875" style="39" customWidth="1"/>
    <col min="7" max="7" width="9" style="12"/>
    <col min="8" max="8" width="9.5" style="12" customWidth="1"/>
    <col min="9" max="16384" width="9" style="16"/>
  </cols>
  <sheetData>
    <row r="1" ht="27" spans="1:8">
      <c r="A1" s="14" t="s">
        <v>112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spans="1:8">
      <c r="A2" s="85">
        <v>984.803</v>
      </c>
      <c r="B2" s="15">
        <v>0</v>
      </c>
      <c r="C2" s="15" t="s">
        <v>224</v>
      </c>
      <c r="D2" s="15" t="s">
        <v>318</v>
      </c>
      <c r="E2" s="15" t="s">
        <v>551</v>
      </c>
      <c r="F2" s="152" t="s">
        <v>991</v>
      </c>
      <c r="G2" s="15">
        <v>0</v>
      </c>
      <c r="H2" s="12">
        <v>20250731</v>
      </c>
    </row>
    <row r="3" spans="1:8">
      <c r="A3" s="85">
        <v>985.293</v>
      </c>
      <c r="B3" s="35">
        <v>0</v>
      </c>
      <c r="C3" s="93" t="s">
        <v>321</v>
      </c>
      <c r="D3" s="35" t="s">
        <v>992</v>
      </c>
      <c r="E3" s="35" t="s">
        <v>875</v>
      </c>
      <c r="F3" s="105" t="s">
        <v>993</v>
      </c>
      <c r="G3" s="35">
        <v>1</v>
      </c>
      <c r="H3" s="12">
        <v>20250731</v>
      </c>
    </row>
    <row r="4" spans="1:8">
      <c r="A4" s="85">
        <v>984.803</v>
      </c>
      <c r="B4" s="35">
        <v>0</v>
      </c>
      <c r="C4" s="93" t="s">
        <v>321</v>
      </c>
      <c r="D4" s="35" t="s">
        <v>322</v>
      </c>
      <c r="E4" s="35" t="s">
        <v>875</v>
      </c>
      <c r="F4" s="105" t="s">
        <v>994</v>
      </c>
      <c r="G4" s="35">
        <v>1</v>
      </c>
      <c r="H4" s="12">
        <v>20250731</v>
      </c>
    </row>
    <row r="5" ht="15.75" spans="1:8">
      <c r="A5" s="85">
        <v>984.803</v>
      </c>
      <c r="B5" s="86">
        <v>1</v>
      </c>
      <c r="C5" s="86" t="s">
        <v>12</v>
      </c>
      <c r="D5" s="86" t="s">
        <v>12</v>
      </c>
      <c r="E5" s="86" t="s">
        <v>82</v>
      </c>
      <c r="F5" s="107" t="s">
        <v>995</v>
      </c>
      <c r="G5" s="86">
        <v>1</v>
      </c>
      <c r="H5" s="12">
        <v>20250731</v>
      </c>
    </row>
    <row r="6" spans="1:8">
      <c r="A6" s="85">
        <v>984.804</v>
      </c>
      <c r="B6" s="87">
        <v>1</v>
      </c>
      <c r="C6" s="87" t="s">
        <v>996</v>
      </c>
      <c r="D6" s="87" t="s">
        <v>228</v>
      </c>
      <c r="E6" s="87" t="s">
        <v>997</v>
      </c>
      <c r="F6" s="38" t="s">
        <v>998</v>
      </c>
      <c r="G6" s="87">
        <v>1</v>
      </c>
      <c r="H6" s="12">
        <v>20250731</v>
      </c>
    </row>
    <row r="7" spans="1:8">
      <c r="A7" s="85">
        <v>984.8203</v>
      </c>
      <c r="B7" s="15">
        <v>3</v>
      </c>
      <c r="C7" s="15" t="s">
        <v>129</v>
      </c>
      <c r="D7" s="87" t="s">
        <v>228</v>
      </c>
      <c r="E7" s="87" t="s">
        <v>689</v>
      </c>
      <c r="F7" s="38" t="s">
        <v>999</v>
      </c>
      <c r="G7" s="87">
        <v>1</v>
      </c>
      <c r="H7" s="12">
        <v>20250731</v>
      </c>
    </row>
    <row r="8" spans="1:8">
      <c r="A8" s="85">
        <v>984.8243</v>
      </c>
      <c r="B8" s="15">
        <v>3</v>
      </c>
      <c r="C8" s="15" t="s">
        <v>129</v>
      </c>
      <c r="D8" s="87" t="s">
        <v>231</v>
      </c>
      <c r="E8" s="87" t="s">
        <v>716</v>
      </c>
      <c r="F8" s="38" t="s">
        <v>1000</v>
      </c>
      <c r="G8" s="87">
        <v>1</v>
      </c>
      <c r="H8" s="12">
        <v>20250731</v>
      </c>
    </row>
    <row r="9" spans="1:8">
      <c r="A9" s="85">
        <v>984.8233</v>
      </c>
      <c r="B9" s="15">
        <v>3</v>
      </c>
      <c r="C9" s="15" t="s">
        <v>129</v>
      </c>
      <c r="D9" s="87" t="s">
        <v>228</v>
      </c>
      <c r="E9" s="87" t="s">
        <v>716</v>
      </c>
      <c r="F9" s="38" t="s">
        <v>1001</v>
      </c>
      <c r="G9" s="87">
        <v>1</v>
      </c>
      <c r="H9" s="12">
        <v>20250731</v>
      </c>
    </row>
    <row r="10" spans="1:8">
      <c r="A10" s="85">
        <v>984.8218</v>
      </c>
      <c r="B10" s="15">
        <v>3</v>
      </c>
      <c r="C10" s="15" t="s">
        <v>340</v>
      </c>
      <c r="D10" s="87" t="s">
        <v>1002</v>
      </c>
      <c r="E10" s="87" t="s">
        <v>1003</v>
      </c>
      <c r="F10" s="38" t="s">
        <v>1004</v>
      </c>
      <c r="G10" s="87">
        <v>1</v>
      </c>
      <c r="H10" s="12">
        <v>20250731</v>
      </c>
    </row>
    <row r="11" spans="1:8">
      <c r="A11" s="85">
        <v>984.8238</v>
      </c>
      <c r="B11" s="15">
        <v>3</v>
      </c>
      <c r="C11" s="15" t="s">
        <v>340</v>
      </c>
      <c r="D11" s="87" t="s">
        <v>1002</v>
      </c>
      <c r="E11" s="87" t="s">
        <v>1003</v>
      </c>
      <c r="F11" s="38" t="s">
        <v>1005</v>
      </c>
      <c r="G11" s="87">
        <v>1</v>
      </c>
      <c r="H11" s="12">
        <v>20250731</v>
      </c>
    </row>
    <row r="12" ht="27" spans="1:8">
      <c r="A12" s="85">
        <v>984.8223</v>
      </c>
      <c r="B12" s="15">
        <v>3</v>
      </c>
      <c r="C12" s="36" t="s">
        <v>1006</v>
      </c>
      <c r="D12" s="87" t="s">
        <v>1002</v>
      </c>
      <c r="E12" s="87" t="s">
        <v>1007</v>
      </c>
      <c r="F12" s="38" t="s">
        <v>1008</v>
      </c>
      <c r="G12" s="87">
        <v>1</v>
      </c>
      <c r="H12" s="12">
        <v>20250731</v>
      </c>
    </row>
    <row r="13" spans="1:8">
      <c r="A13" s="85">
        <v>984.8203</v>
      </c>
      <c r="B13" s="86">
        <v>3</v>
      </c>
      <c r="C13" s="86" t="s">
        <v>125</v>
      </c>
      <c r="D13" s="86" t="s">
        <v>126</v>
      </c>
      <c r="E13" s="86" t="s">
        <v>127</v>
      </c>
      <c r="F13" s="107" t="s">
        <v>1009</v>
      </c>
      <c r="G13" s="86">
        <v>1</v>
      </c>
      <c r="H13" s="12">
        <v>20250731</v>
      </c>
    </row>
    <row r="14" spans="1:8">
      <c r="A14" s="85">
        <v>984.8283</v>
      </c>
      <c r="B14" s="15">
        <v>4</v>
      </c>
      <c r="C14" s="15" t="s">
        <v>340</v>
      </c>
      <c r="D14" s="87" t="s">
        <v>1002</v>
      </c>
      <c r="E14" s="87" t="s">
        <v>1003</v>
      </c>
      <c r="F14" s="38" t="s">
        <v>1010</v>
      </c>
      <c r="G14" s="87">
        <v>1</v>
      </c>
      <c r="H14" s="12">
        <v>20250731</v>
      </c>
    </row>
    <row r="15" ht="27" spans="1:8">
      <c r="A15" s="164">
        <v>984.8313</v>
      </c>
      <c r="B15" s="15">
        <v>4</v>
      </c>
      <c r="C15" s="36" t="s">
        <v>1006</v>
      </c>
      <c r="D15" s="87" t="s">
        <v>1002</v>
      </c>
      <c r="E15" s="87" t="s">
        <v>1011</v>
      </c>
      <c r="F15" s="38" t="s">
        <v>1012</v>
      </c>
      <c r="G15" s="87">
        <v>1</v>
      </c>
      <c r="H15" s="12">
        <v>20250731</v>
      </c>
    </row>
    <row r="16" ht="27" spans="1:8">
      <c r="A16" s="164">
        <v>984.8323</v>
      </c>
      <c r="B16" s="15">
        <v>4</v>
      </c>
      <c r="C16" s="36" t="s">
        <v>1006</v>
      </c>
      <c r="D16" s="15" t="s">
        <v>1013</v>
      </c>
      <c r="E16" s="87" t="s">
        <v>1007</v>
      </c>
      <c r="F16" s="38" t="s">
        <v>1014</v>
      </c>
      <c r="G16" s="15">
        <v>1</v>
      </c>
      <c r="H16" s="12">
        <v>20250731</v>
      </c>
    </row>
    <row r="17" spans="1:8">
      <c r="A17" s="85">
        <v>984.8356</v>
      </c>
      <c r="B17" s="15">
        <v>5</v>
      </c>
      <c r="C17" s="15" t="s">
        <v>340</v>
      </c>
      <c r="D17" s="87" t="s">
        <v>1002</v>
      </c>
      <c r="E17" s="87" t="s">
        <v>1003</v>
      </c>
      <c r="F17" s="38" t="s">
        <v>1015</v>
      </c>
      <c r="G17" s="87">
        <v>1</v>
      </c>
      <c r="H17" s="12">
        <v>20250731</v>
      </c>
    </row>
    <row r="18" ht="15.75" spans="1:8">
      <c r="A18" s="85">
        <v>984.8361</v>
      </c>
      <c r="B18" s="86">
        <v>5</v>
      </c>
      <c r="C18" s="86" t="s">
        <v>12</v>
      </c>
      <c r="D18" s="86" t="s">
        <v>12</v>
      </c>
      <c r="E18" s="86" t="s">
        <v>82</v>
      </c>
      <c r="F18" s="107" t="s">
        <v>1016</v>
      </c>
      <c r="G18" s="86">
        <v>1</v>
      </c>
      <c r="H18" s="12">
        <v>20250731</v>
      </c>
    </row>
    <row r="19" spans="1:8">
      <c r="A19" s="85">
        <v>984.8439</v>
      </c>
      <c r="B19" s="15">
        <v>6</v>
      </c>
      <c r="C19" s="15" t="s">
        <v>129</v>
      </c>
      <c r="D19" s="87" t="s">
        <v>290</v>
      </c>
      <c r="E19" s="87" t="s">
        <v>689</v>
      </c>
      <c r="F19" s="38" t="s">
        <v>1017</v>
      </c>
      <c r="G19" s="87">
        <v>1</v>
      </c>
      <c r="H19" s="12">
        <v>20250731</v>
      </c>
    </row>
    <row r="20" ht="15.75" spans="1:8">
      <c r="A20" s="85">
        <v>984.8439</v>
      </c>
      <c r="B20" s="86">
        <v>6</v>
      </c>
      <c r="C20" s="86" t="s">
        <v>12</v>
      </c>
      <c r="D20" s="86" t="s">
        <v>12</v>
      </c>
      <c r="E20" s="86" t="s">
        <v>82</v>
      </c>
      <c r="F20" s="107" t="s">
        <v>1018</v>
      </c>
      <c r="G20" s="86">
        <v>1</v>
      </c>
      <c r="H20" s="12">
        <v>20250731</v>
      </c>
    </row>
    <row r="21" ht="15.75" spans="1:8">
      <c r="A21" s="85">
        <v>984.8526</v>
      </c>
      <c r="B21" s="86">
        <v>7</v>
      </c>
      <c r="C21" s="86" t="s">
        <v>12</v>
      </c>
      <c r="D21" s="86" t="s">
        <v>12</v>
      </c>
      <c r="E21" s="86" t="s">
        <v>862</v>
      </c>
      <c r="F21" s="107" t="s">
        <v>1019</v>
      </c>
      <c r="G21" s="86">
        <v>1</v>
      </c>
      <c r="H21" s="12">
        <v>20250731</v>
      </c>
    </row>
    <row r="22" spans="1:8">
      <c r="A22" s="85">
        <v>984.8634</v>
      </c>
      <c r="B22" s="86">
        <v>8</v>
      </c>
      <c r="C22" s="86" t="s">
        <v>12</v>
      </c>
      <c r="D22" s="86" t="s">
        <v>12</v>
      </c>
      <c r="E22" s="86" t="s">
        <v>82</v>
      </c>
      <c r="F22" s="107" t="s">
        <v>1020</v>
      </c>
      <c r="G22" s="86">
        <v>2</v>
      </c>
      <c r="H22" s="12">
        <v>20250731</v>
      </c>
    </row>
    <row r="23" ht="15.75" spans="1:8">
      <c r="A23" s="85">
        <v>984.8614</v>
      </c>
      <c r="B23" s="86">
        <v>8</v>
      </c>
      <c r="C23" s="86" t="s">
        <v>12</v>
      </c>
      <c r="D23" s="86" t="s">
        <v>12</v>
      </c>
      <c r="E23" s="86" t="s">
        <v>1021</v>
      </c>
      <c r="F23" s="107" t="s">
        <v>1022</v>
      </c>
      <c r="G23" s="86">
        <v>1</v>
      </c>
      <c r="H23" s="12">
        <v>20250731</v>
      </c>
    </row>
    <row r="24" ht="15.75" spans="1:8">
      <c r="A24" s="85">
        <v>984.8689</v>
      </c>
      <c r="B24" s="86">
        <v>8</v>
      </c>
      <c r="C24" s="86" t="s">
        <v>12</v>
      </c>
      <c r="D24" s="86" t="s">
        <v>12</v>
      </c>
      <c r="E24" s="86" t="s">
        <v>82</v>
      </c>
      <c r="F24" s="107" t="s">
        <v>1023</v>
      </c>
      <c r="G24" s="86">
        <v>1</v>
      </c>
      <c r="H24" s="12">
        <v>20250731</v>
      </c>
    </row>
    <row r="25" spans="1:8">
      <c r="A25" s="85">
        <v>984.882</v>
      </c>
      <c r="B25" s="86">
        <v>10</v>
      </c>
      <c r="C25" s="86" t="s">
        <v>12</v>
      </c>
      <c r="D25" s="86" t="s">
        <v>12</v>
      </c>
      <c r="E25" s="86" t="s">
        <v>13</v>
      </c>
      <c r="F25" s="107" t="s">
        <v>1024</v>
      </c>
      <c r="G25" s="86">
        <v>1</v>
      </c>
      <c r="H25" s="12">
        <v>20250731</v>
      </c>
    </row>
    <row r="26" spans="1:8">
      <c r="A26" s="85">
        <v>984.9143</v>
      </c>
      <c r="B26" s="35">
        <v>13</v>
      </c>
      <c r="C26" s="35" t="s">
        <v>268</v>
      </c>
      <c r="D26" s="35" t="s">
        <v>364</v>
      </c>
      <c r="E26" s="35" t="s">
        <v>270</v>
      </c>
      <c r="F26" s="104" t="s">
        <v>1025</v>
      </c>
      <c r="G26" s="103">
        <v>1</v>
      </c>
      <c r="H26" s="12">
        <v>20250731</v>
      </c>
    </row>
    <row r="27" spans="1:8">
      <c r="A27" s="85">
        <v>984.9227</v>
      </c>
      <c r="B27" s="86">
        <v>15</v>
      </c>
      <c r="C27" s="86" t="s">
        <v>12</v>
      </c>
      <c r="D27" s="86" t="s">
        <v>12</v>
      </c>
      <c r="E27" s="86" t="s">
        <v>1026</v>
      </c>
      <c r="F27" s="107" t="s">
        <v>1027</v>
      </c>
      <c r="G27" s="86">
        <v>1</v>
      </c>
      <c r="H27" s="12">
        <v>20250731</v>
      </c>
    </row>
    <row r="28" spans="1:8">
      <c r="A28" s="85">
        <v>984.9445</v>
      </c>
      <c r="B28" s="86">
        <v>17</v>
      </c>
      <c r="C28" s="86" t="s">
        <v>12</v>
      </c>
      <c r="D28" s="86" t="s">
        <v>12</v>
      </c>
      <c r="E28" s="86" t="s">
        <v>13</v>
      </c>
      <c r="F28" s="107" t="s">
        <v>1028</v>
      </c>
      <c r="G28" s="86">
        <v>1</v>
      </c>
      <c r="H28" s="12">
        <v>20250731</v>
      </c>
    </row>
    <row r="29" spans="1:8">
      <c r="A29" s="85">
        <v>984.9487</v>
      </c>
      <c r="B29" s="87">
        <v>18</v>
      </c>
      <c r="C29" s="101" t="s">
        <v>1029</v>
      </c>
      <c r="D29" s="87" t="s">
        <v>235</v>
      </c>
      <c r="E29" s="37" t="s">
        <v>1030</v>
      </c>
      <c r="F29" s="38" t="s">
        <v>1031</v>
      </c>
      <c r="G29" s="87">
        <v>1</v>
      </c>
      <c r="H29" s="12">
        <v>20250731</v>
      </c>
    </row>
    <row r="30" spans="1:8">
      <c r="A30" s="85">
        <v>984.9755</v>
      </c>
      <c r="B30" s="86">
        <v>21</v>
      </c>
      <c r="C30" s="86" t="s">
        <v>12</v>
      </c>
      <c r="D30" s="86" t="s">
        <v>12</v>
      </c>
      <c r="E30" s="86" t="s">
        <v>13</v>
      </c>
      <c r="F30" s="107" t="s">
        <v>1032</v>
      </c>
      <c r="G30" s="86">
        <v>1</v>
      </c>
      <c r="H30" s="12">
        <v>20250731</v>
      </c>
    </row>
    <row r="31" spans="1:8">
      <c r="A31" s="85">
        <v>984.9937</v>
      </c>
      <c r="B31" s="15">
        <v>23</v>
      </c>
      <c r="C31" s="15" t="s">
        <v>129</v>
      </c>
      <c r="D31" s="87" t="s">
        <v>235</v>
      </c>
      <c r="E31" s="87" t="s">
        <v>716</v>
      </c>
      <c r="F31" s="38" t="s">
        <v>1033</v>
      </c>
      <c r="G31" s="87">
        <v>1</v>
      </c>
      <c r="H31" s="12">
        <v>20250731</v>
      </c>
    </row>
    <row r="32" spans="1:8">
      <c r="A32" s="85">
        <v>984.9927</v>
      </c>
      <c r="B32" s="87">
        <v>23</v>
      </c>
      <c r="C32" s="101" t="s">
        <v>1029</v>
      </c>
      <c r="D32" s="87" t="s">
        <v>228</v>
      </c>
      <c r="E32" s="87" t="s">
        <v>1030</v>
      </c>
      <c r="F32" s="38" t="s">
        <v>1034</v>
      </c>
      <c r="G32" s="87">
        <v>1</v>
      </c>
      <c r="H32" s="12">
        <v>20250731</v>
      </c>
    </row>
    <row r="33" spans="1:8">
      <c r="A33" s="85">
        <v>985.0014</v>
      </c>
      <c r="B33" s="87">
        <v>24</v>
      </c>
      <c r="C33" s="101" t="s">
        <v>1029</v>
      </c>
      <c r="D33" s="87" t="s">
        <v>228</v>
      </c>
      <c r="E33" s="87" t="s">
        <v>1030</v>
      </c>
      <c r="F33" s="38" t="s">
        <v>1035</v>
      </c>
      <c r="G33" s="87">
        <v>1</v>
      </c>
      <c r="H33" s="12">
        <v>20250731</v>
      </c>
    </row>
    <row r="34" spans="1:8">
      <c r="A34" s="85">
        <v>985.0112</v>
      </c>
      <c r="B34" s="15">
        <v>25</v>
      </c>
      <c r="C34" s="15" t="s">
        <v>129</v>
      </c>
      <c r="D34" s="87" t="s">
        <v>235</v>
      </c>
      <c r="E34" s="87" t="s">
        <v>716</v>
      </c>
      <c r="F34" s="38" t="s">
        <v>1036</v>
      </c>
      <c r="G34" s="87">
        <v>0</v>
      </c>
      <c r="H34" s="12">
        <v>20250731</v>
      </c>
    </row>
    <row r="35" spans="1:8">
      <c r="A35" s="85">
        <v>985.0102</v>
      </c>
      <c r="B35" s="86">
        <v>25</v>
      </c>
      <c r="C35" s="86" t="s">
        <v>12</v>
      </c>
      <c r="D35" s="86" t="s">
        <v>12</v>
      </c>
      <c r="E35" s="86" t="s">
        <v>13</v>
      </c>
      <c r="F35" s="107" t="s">
        <v>1037</v>
      </c>
      <c r="G35" s="86">
        <v>1</v>
      </c>
      <c r="H35" s="12">
        <v>20250731</v>
      </c>
    </row>
    <row r="36" spans="1:8">
      <c r="A36" s="85">
        <v>985.0102</v>
      </c>
      <c r="B36" s="87">
        <v>25</v>
      </c>
      <c r="C36" s="101" t="s">
        <v>1029</v>
      </c>
      <c r="D36" s="87" t="s">
        <v>235</v>
      </c>
      <c r="E36" s="37" t="s">
        <v>1030</v>
      </c>
      <c r="F36" s="38" t="s">
        <v>1038</v>
      </c>
      <c r="G36" s="87">
        <v>1</v>
      </c>
      <c r="H36" s="12">
        <v>20250731</v>
      </c>
    </row>
    <row r="37" spans="1:8">
      <c r="A37" s="85">
        <v>985.019</v>
      </c>
      <c r="B37" s="15">
        <v>26</v>
      </c>
      <c r="C37" s="15" t="s">
        <v>129</v>
      </c>
      <c r="D37" s="87" t="s">
        <v>290</v>
      </c>
      <c r="E37" s="87" t="s">
        <v>689</v>
      </c>
      <c r="F37" s="38" t="s">
        <v>1039</v>
      </c>
      <c r="G37" s="87">
        <v>0</v>
      </c>
      <c r="H37" s="12">
        <v>20250731</v>
      </c>
    </row>
    <row r="38" spans="1:8">
      <c r="A38" s="85">
        <v>985.019</v>
      </c>
      <c r="B38" s="87">
        <v>26</v>
      </c>
      <c r="C38" s="101" t="s">
        <v>1029</v>
      </c>
      <c r="D38" s="87" t="s">
        <v>290</v>
      </c>
      <c r="E38" s="87" t="s">
        <v>1030</v>
      </c>
      <c r="F38" s="38" t="s">
        <v>1040</v>
      </c>
      <c r="G38" s="87">
        <v>1</v>
      </c>
      <c r="H38" s="12">
        <v>20250731</v>
      </c>
    </row>
    <row r="39" spans="1:8">
      <c r="A39" s="85">
        <v>985.0498</v>
      </c>
      <c r="B39" s="15">
        <v>29</v>
      </c>
      <c r="C39" s="15" t="s">
        <v>129</v>
      </c>
      <c r="D39" s="87" t="s">
        <v>228</v>
      </c>
      <c r="E39" s="87" t="s">
        <v>716</v>
      </c>
      <c r="F39" s="38" t="s">
        <v>1041</v>
      </c>
      <c r="G39" s="87">
        <v>1</v>
      </c>
      <c r="H39" s="12">
        <v>20250731</v>
      </c>
    </row>
    <row r="40" spans="1:8">
      <c r="A40" s="85">
        <v>985.0493</v>
      </c>
      <c r="B40" s="15">
        <v>29</v>
      </c>
      <c r="C40" s="15" t="s">
        <v>129</v>
      </c>
      <c r="D40" s="87" t="s">
        <v>231</v>
      </c>
      <c r="E40" s="87" t="s">
        <v>716</v>
      </c>
      <c r="F40" s="38" t="s">
        <v>1042</v>
      </c>
      <c r="G40" s="87">
        <v>1</v>
      </c>
      <c r="H40" s="12">
        <v>20250731</v>
      </c>
    </row>
    <row r="41" spans="1:8">
      <c r="A41" s="85">
        <v>985.0596</v>
      </c>
      <c r="B41" s="86">
        <v>30</v>
      </c>
      <c r="C41" s="86" t="s">
        <v>12</v>
      </c>
      <c r="D41" s="86" t="s">
        <v>12</v>
      </c>
      <c r="E41" s="86" t="s">
        <v>13</v>
      </c>
      <c r="F41" s="107" t="s">
        <v>1043</v>
      </c>
      <c r="G41" s="86">
        <v>1</v>
      </c>
      <c r="H41" s="12">
        <v>20250731</v>
      </c>
    </row>
    <row r="42" spans="1:8">
      <c r="A42" s="85">
        <v>985.071</v>
      </c>
      <c r="B42" s="87">
        <v>31</v>
      </c>
      <c r="C42" s="101" t="s">
        <v>1029</v>
      </c>
      <c r="D42" s="87" t="s">
        <v>235</v>
      </c>
      <c r="E42" s="37" t="s">
        <v>1030</v>
      </c>
      <c r="F42" s="38" t="s">
        <v>1044</v>
      </c>
      <c r="G42" s="87">
        <v>1</v>
      </c>
      <c r="H42" s="12">
        <v>20250731</v>
      </c>
    </row>
    <row r="43" spans="1:8">
      <c r="A43" s="85">
        <v>985.0772</v>
      </c>
      <c r="B43" s="15">
        <v>32</v>
      </c>
      <c r="C43" s="15" t="s">
        <v>129</v>
      </c>
      <c r="D43" s="87" t="s">
        <v>228</v>
      </c>
      <c r="E43" s="87" t="s">
        <v>716</v>
      </c>
      <c r="F43" s="38" t="s">
        <v>1045</v>
      </c>
      <c r="G43" s="87">
        <v>1</v>
      </c>
      <c r="H43" s="12">
        <v>20250731</v>
      </c>
    </row>
    <row r="44" spans="1:8">
      <c r="A44" s="85">
        <v>985.0803</v>
      </c>
      <c r="B44" s="87">
        <v>33</v>
      </c>
      <c r="C44" s="101" t="s">
        <v>1029</v>
      </c>
      <c r="D44" s="87" t="s">
        <v>235</v>
      </c>
      <c r="E44" s="37" t="s">
        <v>1030</v>
      </c>
      <c r="F44" s="38" t="s">
        <v>1038</v>
      </c>
      <c r="G44" s="87">
        <v>1</v>
      </c>
      <c r="H44" s="12">
        <v>20250731</v>
      </c>
    </row>
    <row r="45" spans="1:8">
      <c r="A45" s="85">
        <v>985.089</v>
      </c>
      <c r="B45" s="15">
        <v>34</v>
      </c>
      <c r="C45" s="15" t="s">
        <v>129</v>
      </c>
      <c r="D45" s="87" t="s">
        <v>290</v>
      </c>
      <c r="E45" s="87" t="s">
        <v>689</v>
      </c>
      <c r="F45" s="38" t="s">
        <v>1046</v>
      </c>
      <c r="G45" s="87">
        <v>1</v>
      </c>
      <c r="H45" s="12">
        <v>20250731</v>
      </c>
    </row>
    <row r="46" spans="1:8">
      <c r="A46" s="85">
        <v>985.0976</v>
      </c>
      <c r="B46" s="15">
        <v>35</v>
      </c>
      <c r="C46" s="15" t="s">
        <v>129</v>
      </c>
      <c r="D46" s="87" t="s">
        <v>228</v>
      </c>
      <c r="E46" s="87" t="s">
        <v>689</v>
      </c>
      <c r="F46" s="38" t="s">
        <v>1047</v>
      </c>
      <c r="G46" s="87">
        <v>0</v>
      </c>
      <c r="H46" s="12">
        <v>20250731</v>
      </c>
    </row>
    <row r="47" spans="1:8">
      <c r="A47" s="85">
        <v>985.1046</v>
      </c>
      <c r="B47" s="86">
        <v>35</v>
      </c>
      <c r="C47" s="86" t="s">
        <v>12</v>
      </c>
      <c r="D47" s="86" t="s">
        <v>12</v>
      </c>
      <c r="E47" s="86" t="s">
        <v>13</v>
      </c>
      <c r="F47" s="107" t="s">
        <v>1048</v>
      </c>
      <c r="G47" s="86">
        <v>1</v>
      </c>
      <c r="H47" s="12">
        <v>20250731</v>
      </c>
    </row>
    <row r="48" spans="1:8">
      <c r="A48" s="85">
        <v>985.1244</v>
      </c>
      <c r="B48" s="86">
        <v>38</v>
      </c>
      <c r="C48" s="86" t="s">
        <v>12</v>
      </c>
      <c r="D48" s="86" t="s">
        <v>12</v>
      </c>
      <c r="E48" s="86" t="s">
        <v>13</v>
      </c>
      <c r="F48" s="107" t="s">
        <v>1032</v>
      </c>
      <c r="G48" s="86">
        <v>1</v>
      </c>
      <c r="H48" s="12">
        <v>20250731</v>
      </c>
    </row>
    <row r="49" spans="1:8">
      <c r="A49" s="85">
        <v>985.1337</v>
      </c>
      <c r="B49" s="86">
        <v>39</v>
      </c>
      <c r="C49" s="86" t="s">
        <v>12</v>
      </c>
      <c r="D49" s="86" t="s">
        <v>12</v>
      </c>
      <c r="E49" s="86" t="s">
        <v>13</v>
      </c>
      <c r="F49" s="107" t="s">
        <v>1049</v>
      </c>
      <c r="G49" s="86">
        <v>1</v>
      </c>
      <c r="H49" s="12">
        <v>20250731</v>
      </c>
    </row>
    <row r="50" spans="1:8">
      <c r="A50" s="85">
        <v>985.1502</v>
      </c>
      <c r="B50" s="15">
        <v>41</v>
      </c>
      <c r="C50" s="15" t="s">
        <v>129</v>
      </c>
      <c r="D50" s="87" t="s">
        <v>290</v>
      </c>
      <c r="E50" s="87" t="s">
        <v>689</v>
      </c>
      <c r="F50" s="38" t="s">
        <v>1050</v>
      </c>
      <c r="G50" s="87">
        <v>0</v>
      </c>
      <c r="H50" s="12">
        <v>20250731</v>
      </c>
    </row>
    <row r="51" spans="1:8">
      <c r="A51" s="85">
        <v>985.159</v>
      </c>
      <c r="B51" s="15">
        <v>42</v>
      </c>
      <c r="C51" s="15" t="s">
        <v>129</v>
      </c>
      <c r="D51" s="87" t="s">
        <v>290</v>
      </c>
      <c r="E51" s="87" t="s">
        <v>689</v>
      </c>
      <c r="F51" s="38" t="s">
        <v>1051</v>
      </c>
      <c r="G51" s="87">
        <v>0</v>
      </c>
      <c r="H51" s="12">
        <v>20250731</v>
      </c>
    </row>
    <row r="52" spans="1:8">
      <c r="A52" s="85">
        <v>985.159</v>
      </c>
      <c r="B52" s="15">
        <v>42</v>
      </c>
      <c r="C52" s="15" t="s">
        <v>129</v>
      </c>
      <c r="D52" s="87" t="s">
        <v>290</v>
      </c>
      <c r="E52" s="87" t="s">
        <v>716</v>
      </c>
      <c r="F52" s="38" t="s">
        <v>1052</v>
      </c>
      <c r="G52" s="87">
        <v>0</v>
      </c>
      <c r="H52" s="12">
        <v>20250731</v>
      </c>
    </row>
    <row r="53" spans="1:8">
      <c r="A53" s="85">
        <v>985.1728</v>
      </c>
      <c r="B53" s="15">
        <v>43</v>
      </c>
      <c r="C53" s="151" t="s">
        <v>8</v>
      </c>
      <c r="D53" s="165" t="s">
        <v>9</v>
      </c>
      <c r="E53" s="165" t="s">
        <v>15</v>
      </c>
      <c r="F53" s="106" t="s">
        <v>1053</v>
      </c>
      <c r="G53" s="87">
        <v>0</v>
      </c>
      <c r="H53" s="12">
        <v>20250731</v>
      </c>
    </row>
    <row r="54" ht="15.75" spans="1:8">
      <c r="A54" s="85">
        <v>985.1678</v>
      </c>
      <c r="B54" s="86">
        <v>43</v>
      </c>
      <c r="C54" s="86" t="s">
        <v>12</v>
      </c>
      <c r="D54" s="86" t="s">
        <v>12</v>
      </c>
      <c r="E54" s="86" t="s">
        <v>82</v>
      </c>
      <c r="F54" s="107" t="s">
        <v>1054</v>
      </c>
      <c r="G54" s="86">
        <v>2</v>
      </c>
      <c r="H54" s="12">
        <v>20250731</v>
      </c>
    </row>
    <row r="55" spans="1:8">
      <c r="A55" s="85">
        <v>985.1772</v>
      </c>
      <c r="B55" s="86">
        <v>44</v>
      </c>
      <c r="C55" s="119" t="s">
        <v>8</v>
      </c>
      <c r="D55" s="119" t="s">
        <v>9</v>
      </c>
      <c r="E55" s="119" t="s">
        <v>15</v>
      </c>
      <c r="F55" s="166" t="s">
        <v>1055</v>
      </c>
      <c r="G55" s="86">
        <v>0</v>
      </c>
      <c r="H55" s="12">
        <v>20250731</v>
      </c>
    </row>
    <row r="56" spans="1:8">
      <c r="A56" s="85">
        <v>985.1767</v>
      </c>
      <c r="B56" s="15">
        <v>44</v>
      </c>
      <c r="C56" s="15" t="s">
        <v>129</v>
      </c>
      <c r="D56" s="87" t="s">
        <v>290</v>
      </c>
      <c r="E56" s="87" t="s">
        <v>689</v>
      </c>
      <c r="F56" s="38" t="s">
        <v>1056</v>
      </c>
      <c r="G56" s="87">
        <v>0</v>
      </c>
      <c r="H56" s="12">
        <v>20250731</v>
      </c>
    </row>
    <row r="57" spans="1:8">
      <c r="A57" s="85">
        <v>985.1869</v>
      </c>
      <c r="B57" s="15">
        <v>45</v>
      </c>
      <c r="C57" s="15" t="s">
        <v>129</v>
      </c>
      <c r="D57" s="87" t="s">
        <v>290</v>
      </c>
      <c r="E57" s="87" t="s">
        <v>716</v>
      </c>
      <c r="F57" s="38" t="s">
        <v>1057</v>
      </c>
      <c r="G57" s="87">
        <v>0</v>
      </c>
      <c r="H57" s="12">
        <v>20250731</v>
      </c>
    </row>
    <row r="58" spans="1:8">
      <c r="A58" s="85">
        <v>985.1854</v>
      </c>
      <c r="B58" s="87">
        <v>45</v>
      </c>
      <c r="C58" s="101" t="s">
        <v>1029</v>
      </c>
      <c r="D58" s="87" t="s">
        <v>228</v>
      </c>
      <c r="E58" s="87" t="s">
        <v>1030</v>
      </c>
      <c r="F58" s="38" t="s">
        <v>1058</v>
      </c>
      <c r="G58" s="87">
        <v>1</v>
      </c>
      <c r="H58" s="12">
        <v>20250731</v>
      </c>
    </row>
    <row r="59" spans="1:8">
      <c r="A59" s="85">
        <v>985.202</v>
      </c>
      <c r="B59" s="15">
        <v>46</v>
      </c>
      <c r="C59" s="15" t="s">
        <v>129</v>
      </c>
      <c r="D59" s="87" t="s">
        <v>228</v>
      </c>
      <c r="E59" s="87" t="s">
        <v>716</v>
      </c>
      <c r="F59" s="38" t="s">
        <v>1059</v>
      </c>
      <c r="G59" s="87">
        <v>0</v>
      </c>
      <c r="H59" s="12">
        <v>20250731</v>
      </c>
    </row>
    <row r="60" spans="1:8">
      <c r="A60" s="85">
        <v>985.194</v>
      </c>
      <c r="B60" s="86">
        <v>46</v>
      </c>
      <c r="C60" s="86" t="s">
        <v>12</v>
      </c>
      <c r="D60" s="86" t="s">
        <v>12</v>
      </c>
      <c r="E60" s="86" t="s">
        <v>13</v>
      </c>
      <c r="F60" s="107" t="s">
        <v>1060</v>
      </c>
      <c r="G60" s="86">
        <v>1</v>
      </c>
      <c r="H60" s="12">
        <v>20250731</v>
      </c>
    </row>
    <row r="61" spans="1:8">
      <c r="A61" s="85">
        <v>985.194</v>
      </c>
      <c r="B61" s="87">
        <v>46</v>
      </c>
      <c r="C61" s="101" t="s">
        <v>1029</v>
      </c>
      <c r="D61" s="87" t="s">
        <v>235</v>
      </c>
      <c r="E61" s="37" t="s">
        <v>1030</v>
      </c>
      <c r="F61" s="38" t="s">
        <v>1038</v>
      </c>
      <c r="G61" s="87">
        <v>1</v>
      </c>
      <c r="H61" s="12">
        <v>20250731</v>
      </c>
    </row>
    <row r="62" spans="1:8">
      <c r="A62" s="85">
        <v>985.2088</v>
      </c>
      <c r="B62" s="86">
        <v>47</v>
      </c>
      <c r="C62" s="86" t="s">
        <v>12</v>
      </c>
      <c r="D62" s="86" t="s">
        <v>12</v>
      </c>
      <c r="E62" s="86" t="s">
        <v>13</v>
      </c>
      <c r="F62" s="107" t="s">
        <v>1061</v>
      </c>
      <c r="G62" s="86">
        <v>1</v>
      </c>
      <c r="H62" s="12">
        <v>20250731</v>
      </c>
    </row>
    <row r="63" spans="1:8">
      <c r="A63" s="85">
        <v>985.2196</v>
      </c>
      <c r="B63" s="86">
        <v>48</v>
      </c>
      <c r="C63" s="86" t="s">
        <v>12</v>
      </c>
      <c r="D63" s="86" t="s">
        <v>12</v>
      </c>
      <c r="E63" s="86" t="s">
        <v>13</v>
      </c>
      <c r="F63" s="107" t="s">
        <v>1062</v>
      </c>
      <c r="G63" s="86">
        <v>1</v>
      </c>
      <c r="H63" s="12">
        <v>20250731</v>
      </c>
    </row>
    <row r="64" spans="1:8">
      <c r="A64" s="85">
        <v>985.2348</v>
      </c>
      <c r="B64" s="86">
        <v>50</v>
      </c>
      <c r="C64" s="86" t="s">
        <v>12</v>
      </c>
      <c r="D64" s="86" t="s">
        <v>12</v>
      </c>
      <c r="E64" s="86" t="s">
        <v>13</v>
      </c>
      <c r="F64" s="107" t="s">
        <v>1063</v>
      </c>
      <c r="G64" s="86">
        <v>1</v>
      </c>
      <c r="H64" s="12">
        <v>20250731</v>
      </c>
    </row>
    <row r="65" spans="1:8">
      <c r="A65" s="85">
        <v>985.2293</v>
      </c>
      <c r="B65" s="87">
        <v>50</v>
      </c>
      <c r="C65" s="101" t="s">
        <v>1029</v>
      </c>
      <c r="D65" s="87" t="s">
        <v>290</v>
      </c>
      <c r="E65" s="87" t="s">
        <v>1030</v>
      </c>
      <c r="F65" s="38" t="s">
        <v>1064</v>
      </c>
      <c r="G65" s="87">
        <v>1</v>
      </c>
      <c r="H65" s="12">
        <v>20250731</v>
      </c>
    </row>
    <row r="66" spans="1:8">
      <c r="A66" s="85">
        <v>985.2468</v>
      </c>
      <c r="B66" s="87">
        <v>52</v>
      </c>
      <c r="C66" s="87" t="s">
        <v>996</v>
      </c>
      <c r="D66" s="87" t="s">
        <v>228</v>
      </c>
      <c r="E66" s="87" t="s">
        <v>997</v>
      </c>
      <c r="F66" s="38" t="s">
        <v>1065</v>
      </c>
      <c r="G66" s="87">
        <v>1</v>
      </c>
      <c r="H66" s="12">
        <v>20250731</v>
      </c>
    </row>
    <row r="67" spans="1:8">
      <c r="A67" s="85">
        <v>985.2733</v>
      </c>
      <c r="B67" s="87">
        <v>55</v>
      </c>
      <c r="C67" s="101" t="s">
        <v>1029</v>
      </c>
      <c r="D67" s="87" t="s">
        <v>290</v>
      </c>
      <c r="E67" s="87" t="s">
        <v>1030</v>
      </c>
      <c r="F67" s="38" t="s">
        <v>1066</v>
      </c>
      <c r="G67" s="87">
        <v>1</v>
      </c>
      <c r="H67" s="12">
        <v>20250731</v>
      </c>
    </row>
    <row r="68" ht="15.75" spans="1:8">
      <c r="A68" s="85">
        <v>985.2934</v>
      </c>
      <c r="B68" s="86">
        <v>57</v>
      </c>
      <c r="C68" s="86" t="s">
        <v>12</v>
      </c>
      <c r="D68" s="86" t="s">
        <v>12</v>
      </c>
      <c r="E68" s="86" t="s">
        <v>1067</v>
      </c>
      <c r="F68" s="107" t="s">
        <v>1068</v>
      </c>
      <c r="G68" s="86">
        <v>1</v>
      </c>
      <c r="H68" s="12">
        <v>20250731</v>
      </c>
    </row>
    <row r="69" spans="1:8">
      <c r="A69" s="85">
        <f>985.293-0.006</f>
        <v>985.287</v>
      </c>
      <c r="B69" s="87">
        <v>57</v>
      </c>
      <c r="C69" s="87" t="s">
        <v>996</v>
      </c>
      <c r="D69" s="87" t="s">
        <v>228</v>
      </c>
      <c r="E69" s="87" t="s">
        <v>997</v>
      </c>
      <c r="F69" s="38" t="s">
        <v>1069</v>
      </c>
      <c r="G69" s="87">
        <v>1</v>
      </c>
      <c r="H69" s="12">
        <v>20250731</v>
      </c>
    </row>
    <row r="70" spans="1:8">
      <c r="A70" s="85">
        <f>985.293-0.005</f>
        <v>985.288</v>
      </c>
      <c r="B70" s="35">
        <v>57</v>
      </c>
      <c r="C70" s="35" t="s">
        <v>247</v>
      </c>
      <c r="D70" s="35" t="s">
        <v>242</v>
      </c>
      <c r="E70" s="35" t="s">
        <v>248</v>
      </c>
      <c r="F70" s="104" t="s">
        <v>1070</v>
      </c>
      <c r="G70" s="103">
        <v>1</v>
      </c>
      <c r="H70" s="12">
        <v>20250731</v>
      </c>
    </row>
    <row r="71" ht="27" spans="1:8">
      <c r="A71" s="85">
        <v>984.803</v>
      </c>
      <c r="B71" s="15" t="s">
        <v>94</v>
      </c>
      <c r="C71" s="86" t="s">
        <v>170</v>
      </c>
      <c r="D71" s="86" t="s">
        <v>170</v>
      </c>
      <c r="E71" s="86" t="s">
        <v>172</v>
      </c>
      <c r="F71" s="107" t="s">
        <v>222</v>
      </c>
      <c r="G71" s="86">
        <v>1</v>
      </c>
      <c r="H71" s="12">
        <v>20250731</v>
      </c>
    </row>
    <row r="72" ht="27" spans="1:8">
      <c r="A72" s="85">
        <v>984.888</v>
      </c>
      <c r="B72" s="15" t="s">
        <v>99</v>
      </c>
      <c r="C72" s="86" t="s">
        <v>170</v>
      </c>
      <c r="D72" s="86" t="s">
        <v>170</v>
      </c>
      <c r="E72" s="86" t="s">
        <v>172</v>
      </c>
      <c r="F72" s="107" t="s">
        <v>222</v>
      </c>
      <c r="G72" s="86">
        <v>1</v>
      </c>
      <c r="H72" s="12">
        <v>20250731</v>
      </c>
    </row>
    <row r="73" ht="27" spans="1:8">
      <c r="A73" s="85">
        <v>984.975</v>
      </c>
      <c r="B73" s="15" t="s">
        <v>100</v>
      </c>
      <c r="C73" s="86" t="s">
        <v>170</v>
      </c>
      <c r="D73" s="86" t="s">
        <v>170</v>
      </c>
      <c r="E73" s="86" t="s">
        <v>172</v>
      </c>
      <c r="F73" s="107" t="s">
        <v>222</v>
      </c>
      <c r="G73" s="86">
        <v>1</v>
      </c>
      <c r="H73" s="12">
        <v>20250731</v>
      </c>
    </row>
    <row r="74" ht="27" spans="1:8">
      <c r="A74" s="85">
        <v>985.063</v>
      </c>
      <c r="B74" s="15" t="s">
        <v>101</v>
      </c>
      <c r="C74" s="86" t="s">
        <v>170</v>
      </c>
      <c r="D74" s="86" t="s">
        <v>170</v>
      </c>
      <c r="E74" s="86" t="s">
        <v>172</v>
      </c>
      <c r="F74" s="107" t="s">
        <v>222</v>
      </c>
      <c r="G74" s="86">
        <v>1</v>
      </c>
      <c r="H74" s="12">
        <v>20250731</v>
      </c>
    </row>
    <row r="75" ht="27" spans="1:8">
      <c r="A75" s="85">
        <v>985.15</v>
      </c>
      <c r="B75" s="15" t="s">
        <v>102</v>
      </c>
      <c r="C75" s="86" t="s">
        <v>170</v>
      </c>
      <c r="D75" s="86" t="s">
        <v>170</v>
      </c>
      <c r="E75" s="86" t="s">
        <v>172</v>
      </c>
      <c r="F75" s="107" t="s">
        <v>222</v>
      </c>
      <c r="G75" s="86">
        <v>1</v>
      </c>
      <c r="H75" s="12">
        <v>20250731</v>
      </c>
    </row>
    <row r="76" ht="27" spans="1:8">
      <c r="A76" s="85">
        <v>985.238</v>
      </c>
      <c r="B76" s="15" t="s">
        <v>1071</v>
      </c>
      <c r="C76" s="86" t="s">
        <v>170</v>
      </c>
      <c r="D76" s="86" t="s">
        <v>170</v>
      </c>
      <c r="E76" s="86" t="s">
        <v>172</v>
      </c>
      <c r="F76" s="107" t="s">
        <v>222</v>
      </c>
      <c r="G76" s="86">
        <v>1</v>
      </c>
      <c r="H76" s="12">
        <v>20250731</v>
      </c>
    </row>
  </sheetData>
  <autoFilter xmlns:etc="http://www.wps.cn/officeDocument/2017/etCustomData" ref="A1:H76" etc:filterBottomFollowUsedRange="0">
    <extLst/>
  </autoFilter>
  <sortState ref="A2:H74">
    <sortCondition ref="B2:B74"/>
  </sortState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8"/>
  <sheetViews>
    <sheetView workbookViewId="0">
      <selection activeCell="L30" sqref="L30"/>
    </sheetView>
  </sheetViews>
  <sheetFormatPr defaultColWidth="9" defaultRowHeight="14.25" outlineLevelCol="7"/>
  <cols>
    <col min="2" max="4" width="9" style="4"/>
    <col min="5" max="5" width="10.375" style="4" customWidth="1"/>
    <col min="6" max="6" width="79.75" customWidth="1"/>
    <col min="7" max="7" width="9" style="4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94" t="s">
        <v>114</v>
      </c>
      <c r="G1" s="14" t="s">
        <v>6</v>
      </c>
      <c r="H1" s="14" t="s">
        <v>7</v>
      </c>
    </row>
    <row r="2" ht="15" spans="1:8">
      <c r="A2" s="18">
        <v>978.357</v>
      </c>
      <c r="B2" s="22">
        <v>0</v>
      </c>
      <c r="C2" s="12" t="s">
        <v>542</v>
      </c>
      <c r="D2" s="23" t="s">
        <v>1072</v>
      </c>
      <c r="E2" s="23" t="s">
        <v>1073</v>
      </c>
      <c r="F2" s="95" t="s">
        <v>1074</v>
      </c>
      <c r="G2" s="22">
        <v>1</v>
      </c>
      <c r="H2" s="12">
        <v>20240814</v>
      </c>
    </row>
    <row r="3" ht="15" spans="1:8">
      <c r="A3" s="18">
        <v>976.816</v>
      </c>
      <c r="B3" s="22">
        <v>0</v>
      </c>
      <c r="C3" s="12" t="s">
        <v>542</v>
      </c>
      <c r="D3" s="28" t="s">
        <v>105</v>
      </c>
      <c r="E3" s="19" t="s">
        <v>771</v>
      </c>
      <c r="F3" s="21" t="s">
        <v>1075</v>
      </c>
      <c r="G3" s="19">
        <v>0</v>
      </c>
      <c r="H3" s="12">
        <v>20240814</v>
      </c>
    </row>
    <row r="4" ht="15" spans="1:8">
      <c r="A4" s="18">
        <v>978.357</v>
      </c>
      <c r="B4" s="22">
        <v>0</v>
      </c>
      <c r="C4" s="23" t="s">
        <v>106</v>
      </c>
      <c r="D4" s="23" t="s">
        <v>451</v>
      </c>
      <c r="E4" s="23" t="s">
        <v>10</v>
      </c>
      <c r="F4" s="95" t="s">
        <v>1076</v>
      </c>
      <c r="G4" s="22">
        <v>1</v>
      </c>
      <c r="H4" s="12">
        <v>20240814</v>
      </c>
    </row>
    <row r="5" ht="15" spans="1:8">
      <c r="A5" s="18">
        <v>978.357</v>
      </c>
      <c r="B5" s="110">
        <v>0</v>
      </c>
      <c r="C5" s="29" t="s">
        <v>321</v>
      </c>
      <c r="D5" s="23" t="s">
        <v>451</v>
      </c>
      <c r="E5" s="25" t="s">
        <v>875</v>
      </c>
      <c r="F5" s="161" t="s">
        <v>1077</v>
      </c>
      <c r="G5" s="122">
        <v>1</v>
      </c>
      <c r="H5" s="12">
        <v>20240814</v>
      </c>
    </row>
    <row r="6" ht="15" spans="1:8">
      <c r="A6" s="18">
        <v>976.816</v>
      </c>
      <c r="B6" s="22">
        <v>0</v>
      </c>
      <c r="C6" s="12" t="s">
        <v>224</v>
      </c>
      <c r="D6" s="12" t="s">
        <v>225</v>
      </c>
      <c r="E6" s="19" t="s">
        <v>1078</v>
      </c>
      <c r="F6" s="21" t="s">
        <v>1079</v>
      </c>
      <c r="G6" s="19">
        <v>1</v>
      </c>
      <c r="H6" s="12">
        <v>20240814</v>
      </c>
    </row>
    <row r="7" ht="15.75" spans="1:8">
      <c r="A7" s="18">
        <v>978.3488</v>
      </c>
      <c r="B7" s="22">
        <v>2</v>
      </c>
      <c r="C7" s="22" t="s">
        <v>12</v>
      </c>
      <c r="D7" s="22" t="s">
        <v>12</v>
      </c>
      <c r="E7" s="22" t="s">
        <v>82</v>
      </c>
      <c r="F7" s="31" t="s">
        <v>1080</v>
      </c>
      <c r="G7" s="22">
        <v>1</v>
      </c>
      <c r="H7" s="12">
        <v>20240814</v>
      </c>
    </row>
    <row r="8" ht="15.75" spans="1:8">
      <c r="A8" s="18">
        <v>978.3402</v>
      </c>
      <c r="B8" s="70">
        <v>3</v>
      </c>
      <c r="C8" s="29" t="s">
        <v>238</v>
      </c>
      <c r="D8" s="25" t="s">
        <v>258</v>
      </c>
      <c r="E8" s="25" t="s">
        <v>244</v>
      </c>
      <c r="F8" s="118" t="s">
        <v>1081</v>
      </c>
      <c r="G8" s="111">
        <v>1</v>
      </c>
      <c r="H8" s="12">
        <v>20240814</v>
      </c>
    </row>
    <row r="9" ht="15" spans="1:8">
      <c r="A9" s="18">
        <v>978.3138</v>
      </c>
      <c r="B9" s="12">
        <v>6</v>
      </c>
      <c r="C9" s="12" t="s">
        <v>129</v>
      </c>
      <c r="D9" s="19" t="s">
        <v>290</v>
      </c>
      <c r="E9" s="20" t="s">
        <v>41</v>
      </c>
      <c r="F9" s="21" t="s">
        <v>1082</v>
      </c>
      <c r="G9" s="19">
        <v>0</v>
      </c>
      <c r="H9" s="12">
        <v>20240814</v>
      </c>
    </row>
    <row r="10" ht="15" spans="1:8">
      <c r="A10" s="18">
        <v>978.3049</v>
      </c>
      <c r="B10" s="12">
        <v>7</v>
      </c>
      <c r="C10" s="12" t="s">
        <v>129</v>
      </c>
      <c r="D10" s="19" t="s">
        <v>290</v>
      </c>
      <c r="E10" s="20" t="s">
        <v>33</v>
      </c>
      <c r="F10" s="21" t="s">
        <v>1083</v>
      </c>
      <c r="G10" s="19">
        <v>0</v>
      </c>
      <c r="H10" s="12">
        <v>20240814</v>
      </c>
    </row>
    <row r="11" ht="15" spans="1:8">
      <c r="A11" s="18">
        <v>978.279</v>
      </c>
      <c r="B11" s="12">
        <v>10</v>
      </c>
      <c r="C11" s="12" t="s">
        <v>129</v>
      </c>
      <c r="D11" s="19" t="s">
        <v>235</v>
      </c>
      <c r="E11" s="20" t="s">
        <v>33</v>
      </c>
      <c r="F11" s="21" t="s">
        <v>830</v>
      </c>
      <c r="G11" s="19">
        <v>0</v>
      </c>
      <c r="H11" s="12">
        <v>20240814</v>
      </c>
    </row>
    <row r="12" ht="27" spans="1:8">
      <c r="A12" s="18">
        <v>978.164</v>
      </c>
      <c r="B12" s="15">
        <v>23</v>
      </c>
      <c r="C12" s="22" t="s">
        <v>170</v>
      </c>
      <c r="D12" s="22" t="s">
        <v>170</v>
      </c>
      <c r="E12" s="22" t="s">
        <v>172</v>
      </c>
      <c r="F12" s="31" t="s">
        <v>276</v>
      </c>
      <c r="G12" s="22">
        <v>1</v>
      </c>
      <c r="H12" s="12">
        <v>20240814</v>
      </c>
    </row>
    <row r="13" ht="15" spans="1:8">
      <c r="A13" s="18">
        <v>978.17</v>
      </c>
      <c r="B13" s="70">
        <v>23</v>
      </c>
      <c r="C13" s="29" t="s">
        <v>268</v>
      </c>
      <c r="D13" s="25" t="s">
        <v>364</v>
      </c>
      <c r="E13" s="25" t="s">
        <v>19</v>
      </c>
      <c r="F13" s="118" t="s">
        <v>1084</v>
      </c>
      <c r="G13" s="111">
        <v>1</v>
      </c>
      <c r="H13" s="12">
        <v>20240814</v>
      </c>
    </row>
    <row r="14" ht="15" spans="1:8">
      <c r="A14" s="18">
        <v>978.1462</v>
      </c>
      <c r="B14" s="12">
        <v>25</v>
      </c>
      <c r="C14" s="12" t="s">
        <v>129</v>
      </c>
      <c r="D14" s="19" t="s">
        <v>228</v>
      </c>
      <c r="E14" s="20" t="s">
        <v>33</v>
      </c>
      <c r="F14" s="21" t="s">
        <v>751</v>
      </c>
      <c r="G14" s="19">
        <v>0</v>
      </c>
      <c r="H14" s="12">
        <v>20240814</v>
      </c>
    </row>
    <row r="15" ht="15" spans="1:8">
      <c r="A15" s="18">
        <v>978.1532</v>
      </c>
      <c r="B15" s="70">
        <v>25</v>
      </c>
      <c r="C15" s="29" t="s">
        <v>268</v>
      </c>
      <c r="D15" s="25" t="s">
        <v>364</v>
      </c>
      <c r="E15" s="25" t="s">
        <v>19</v>
      </c>
      <c r="F15" s="118" t="s">
        <v>1085</v>
      </c>
      <c r="G15" s="111">
        <v>1</v>
      </c>
      <c r="H15" s="12">
        <v>20240814</v>
      </c>
    </row>
    <row r="16" ht="40.5" spans="1:8">
      <c r="A16" s="18">
        <v>978.1407</v>
      </c>
      <c r="B16" s="22">
        <v>26</v>
      </c>
      <c r="C16" s="22" t="s">
        <v>21</v>
      </c>
      <c r="D16" s="23" t="s">
        <v>18</v>
      </c>
      <c r="E16" s="23" t="s">
        <v>29</v>
      </c>
      <c r="F16" s="31" t="s">
        <v>1086</v>
      </c>
      <c r="G16" s="22">
        <v>1</v>
      </c>
      <c r="H16" s="12">
        <v>20240814</v>
      </c>
    </row>
    <row r="17" ht="15" spans="1:8">
      <c r="A17" s="18">
        <v>978.1212</v>
      </c>
      <c r="B17" s="12">
        <v>28</v>
      </c>
      <c r="C17" s="12" t="s">
        <v>129</v>
      </c>
      <c r="D17" s="19" t="s">
        <v>290</v>
      </c>
      <c r="E17" s="20" t="s">
        <v>15</v>
      </c>
      <c r="F17" s="21" t="s">
        <v>1087</v>
      </c>
      <c r="G17" s="19">
        <v>1</v>
      </c>
      <c r="H17" s="12">
        <v>20240814</v>
      </c>
    </row>
    <row r="18" ht="15" spans="1:8">
      <c r="A18" s="18">
        <v>978.1242</v>
      </c>
      <c r="B18" s="22">
        <v>28</v>
      </c>
      <c r="C18" s="22" t="s">
        <v>253</v>
      </c>
      <c r="D18" s="22" t="s">
        <v>126</v>
      </c>
      <c r="E18" s="22" t="s">
        <v>254</v>
      </c>
      <c r="F18" s="31" t="s">
        <v>1088</v>
      </c>
      <c r="G18" s="22">
        <v>1</v>
      </c>
      <c r="H18" s="12">
        <v>20240814</v>
      </c>
    </row>
    <row r="19" ht="40.5" spans="1:8">
      <c r="A19" s="18">
        <v>978.1282</v>
      </c>
      <c r="B19" s="22">
        <v>28</v>
      </c>
      <c r="C19" s="22" t="s">
        <v>21</v>
      </c>
      <c r="D19" s="23" t="s">
        <v>18</v>
      </c>
      <c r="E19" s="23" t="s">
        <v>29</v>
      </c>
      <c r="F19" s="31" t="s">
        <v>1089</v>
      </c>
      <c r="G19" s="22">
        <v>1</v>
      </c>
      <c r="H19" s="12">
        <v>20240814</v>
      </c>
    </row>
    <row r="20" ht="15" spans="1:8">
      <c r="A20" s="18">
        <v>978.1212</v>
      </c>
      <c r="B20" s="111">
        <v>28</v>
      </c>
      <c r="C20" s="25" t="s">
        <v>247</v>
      </c>
      <c r="D20" s="25" t="s">
        <v>264</v>
      </c>
      <c r="E20" s="25" t="s">
        <v>372</v>
      </c>
      <c r="F20" s="161" t="s">
        <v>1090</v>
      </c>
      <c r="G20" s="122">
        <v>0</v>
      </c>
      <c r="H20" s="12">
        <v>20240814</v>
      </c>
    </row>
    <row r="21" ht="15" spans="1:8">
      <c r="A21" s="18">
        <v>978.1144</v>
      </c>
      <c r="B21" s="12">
        <v>29</v>
      </c>
      <c r="C21" s="12" t="s">
        <v>129</v>
      </c>
      <c r="D21" s="19" t="s">
        <v>290</v>
      </c>
      <c r="E21" s="20" t="s">
        <v>41</v>
      </c>
      <c r="F21" s="21" t="s">
        <v>1091</v>
      </c>
      <c r="G21" s="19">
        <v>1</v>
      </c>
      <c r="H21" s="12">
        <v>20240814</v>
      </c>
    </row>
    <row r="22" ht="15" spans="1:8">
      <c r="A22" s="18">
        <v>978.1114</v>
      </c>
      <c r="B22" s="12">
        <v>29</v>
      </c>
      <c r="C22" s="12" t="s">
        <v>129</v>
      </c>
      <c r="D22" s="20" t="s">
        <v>26</v>
      </c>
      <c r="E22" s="20" t="s">
        <v>976</v>
      </c>
      <c r="F22" s="21" t="s">
        <v>1092</v>
      </c>
      <c r="G22" s="19">
        <v>1</v>
      </c>
      <c r="H22" s="12">
        <v>20240814</v>
      </c>
    </row>
    <row r="23" ht="40.5" spans="1:8">
      <c r="A23" s="18">
        <v>978.1184</v>
      </c>
      <c r="B23" s="22">
        <v>29</v>
      </c>
      <c r="C23" s="22" t="s">
        <v>21</v>
      </c>
      <c r="D23" s="23" t="s">
        <v>18</v>
      </c>
      <c r="E23" s="23" t="s">
        <v>29</v>
      </c>
      <c r="F23" s="31" t="s">
        <v>1093</v>
      </c>
      <c r="G23" s="22">
        <v>1</v>
      </c>
      <c r="H23" s="12">
        <v>20240814</v>
      </c>
    </row>
    <row r="24" ht="15" spans="1:8">
      <c r="A24" s="18">
        <v>978.1144</v>
      </c>
      <c r="B24" s="68">
        <v>29</v>
      </c>
      <c r="C24" s="29" t="s">
        <v>268</v>
      </c>
      <c r="D24" s="25" t="s">
        <v>364</v>
      </c>
      <c r="E24" s="25" t="s">
        <v>19</v>
      </c>
      <c r="F24" s="118" t="s">
        <v>1094</v>
      </c>
      <c r="G24" s="111">
        <v>1</v>
      </c>
      <c r="H24" s="12">
        <v>20240814</v>
      </c>
    </row>
    <row r="25" ht="15" spans="1:8">
      <c r="A25" s="18">
        <v>978.1025</v>
      </c>
      <c r="B25" s="25">
        <v>30</v>
      </c>
      <c r="C25" s="29" t="s">
        <v>268</v>
      </c>
      <c r="D25" s="25" t="s">
        <v>364</v>
      </c>
      <c r="E25" s="25" t="s">
        <v>19</v>
      </c>
      <c r="F25" s="118" t="s">
        <v>1095</v>
      </c>
      <c r="G25" s="111">
        <v>1</v>
      </c>
      <c r="H25" s="12">
        <v>20240814</v>
      </c>
    </row>
    <row r="26" ht="15" spans="1:8">
      <c r="A26" s="18">
        <v>978.0831</v>
      </c>
      <c r="B26" s="70">
        <v>33</v>
      </c>
      <c r="C26" s="29" t="s">
        <v>268</v>
      </c>
      <c r="D26" s="25" t="s">
        <v>364</v>
      </c>
      <c r="E26" s="25" t="s">
        <v>19</v>
      </c>
      <c r="F26" s="118" t="s">
        <v>1085</v>
      </c>
      <c r="G26" s="111">
        <v>1</v>
      </c>
      <c r="H26" s="12">
        <v>20240814</v>
      </c>
    </row>
    <row r="27" ht="15" spans="1:8">
      <c r="A27" s="18">
        <v>978.0544</v>
      </c>
      <c r="B27" s="70">
        <v>36</v>
      </c>
      <c r="C27" s="29" t="s">
        <v>268</v>
      </c>
      <c r="D27" s="25" t="s">
        <v>364</v>
      </c>
      <c r="E27" s="25" t="s">
        <v>19</v>
      </c>
      <c r="F27" s="118" t="s">
        <v>1096</v>
      </c>
      <c r="G27" s="111">
        <v>1</v>
      </c>
      <c r="H27" s="12">
        <v>20240814</v>
      </c>
    </row>
    <row r="28" ht="15" spans="1:8">
      <c r="A28" s="18">
        <v>978.0422</v>
      </c>
      <c r="B28" s="70">
        <v>37</v>
      </c>
      <c r="C28" s="29" t="s">
        <v>268</v>
      </c>
      <c r="D28" s="25" t="s">
        <v>364</v>
      </c>
      <c r="E28" s="25" t="s">
        <v>19</v>
      </c>
      <c r="F28" s="118" t="s">
        <v>1097</v>
      </c>
      <c r="G28" s="111">
        <v>1</v>
      </c>
      <c r="H28" s="12">
        <v>20240814</v>
      </c>
    </row>
    <row r="29" ht="27" spans="1:8">
      <c r="A29" s="18">
        <v>978.0148</v>
      </c>
      <c r="B29" s="22">
        <v>40</v>
      </c>
      <c r="C29" s="22" t="s">
        <v>170</v>
      </c>
      <c r="D29" s="22" t="s">
        <v>170</v>
      </c>
      <c r="E29" s="22" t="s">
        <v>172</v>
      </c>
      <c r="F29" s="31" t="s">
        <v>276</v>
      </c>
      <c r="G29" s="22">
        <v>1</v>
      </c>
      <c r="H29" s="12">
        <v>20240814</v>
      </c>
    </row>
    <row r="30" ht="15" spans="1:8">
      <c r="A30" s="18">
        <v>978.009</v>
      </c>
      <c r="B30" s="12">
        <v>41</v>
      </c>
      <c r="C30" s="12" t="s">
        <v>129</v>
      </c>
      <c r="D30" s="19" t="s">
        <v>228</v>
      </c>
      <c r="E30" s="20" t="s">
        <v>41</v>
      </c>
      <c r="F30" s="21" t="s">
        <v>1098</v>
      </c>
      <c r="G30" s="19">
        <v>1</v>
      </c>
      <c r="H30" s="12">
        <v>20240814</v>
      </c>
    </row>
    <row r="31" customHeight="1" spans="1:8">
      <c r="A31" s="18">
        <v>978.0052</v>
      </c>
      <c r="B31" s="70">
        <v>42</v>
      </c>
      <c r="C31" s="29" t="s">
        <v>268</v>
      </c>
      <c r="D31" s="25" t="s">
        <v>364</v>
      </c>
      <c r="E31" s="25" t="s">
        <v>19</v>
      </c>
      <c r="F31" s="118" t="s">
        <v>1099</v>
      </c>
      <c r="G31" s="111">
        <v>1</v>
      </c>
      <c r="H31" s="12">
        <v>20240814</v>
      </c>
    </row>
    <row r="32" ht="15" spans="1:8">
      <c r="A32" s="18">
        <v>977.962</v>
      </c>
      <c r="B32" s="111">
        <v>46</v>
      </c>
      <c r="C32" s="25" t="s">
        <v>247</v>
      </c>
      <c r="D32" s="25" t="s">
        <v>264</v>
      </c>
      <c r="E32" s="25" t="s">
        <v>372</v>
      </c>
      <c r="F32" s="161" t="s">
        <v>1100</v>
      </c>
      <c r="G32" s="122">
        <v>0</v>
      </c>
      <c r="H32" s="12">
        <v>20240814</v>
      </c>
    </row>
    <row r="33" ht="15" spans="1:8">
      <c r="A33" s="18">
        <v>977.9532</v>
      </c>
      <c r="B33" s="12">
        <v>47</v>
      </c>
      <c r="C33" s="12" t="s">
        <v>129</v>
      </c>
      <c r="D33" s="20" t="s">
        <v>43</v>
      </c>
      <c r="E33" s="20" t="s">
        <v>33</v>
      </c>
      <c r="F33" s="21" t="s">
        <v>1101</v>
      </c>
      <c r="G33" s="19">
        <v>0</v>
      </c>
      <c r="H33" s="12">
        <v>20240814</v>
      </c>
    </row>
    <row r="34" ht="15" spans="1:8">
      <c r="A34" s="18">
        <v>977.9388</v>
      </c>
      <c r="B34" s="12">
        <v>49</v>
      </c>
      <c r="C34" s="12" t="s">
        <v>129</v>
      </c>
      <c r="D34" s="19" t="s">
        <v>228</v>
      </c>
      <c r="E34" s="20" t="s">
        <v>1102</v>
      </c>
      <c r="F34" s="109" t="s">
        <v>1103</v>
      </c>
      <c r="G34" s="19">
        <v>0</v>
      </c>
      <c r="H34" s="12">
        <v>20240814</v>
      </c>
    </row>
    <row r="35" ht="15" spans="1:8">
      <c r="A35" s="18">
        <v>977.93</v>
      </c>
      <c r="B35" s="12">
        <v>50</v>
      </c>
      <c r="C35" s="12" t="s">
        <v>129</v>
      </c>
      <c r="D35" s="19" t="s">
        <v>290</v>
      </c>
      <c r="E35" s="20" t="s">
        <v>33</v>
      </c>
      <c r="F35" s="21" t="s">
        <v>1104</v>
      </c>
      <c r="G35" s="19">
        <v>0</v>
      </c>
      <c r="H35" s="12">
        <v>20240814</v>
      </c>
    </row>
    <row r="36" ht="15" spans="1:8">
      <c r="A36" s="18">
        <v>977.8885</v>
      </c>
      <c r="B36" s="25">
        <v>55</v>
      </c>
      <c r="C36" s="29" t="s">
        <v>238</v>
      </c>
      <c r="D36" s="25" t="s">
        <v>1105</v>
      </c>
      <c r="E36" s="19" t="s">
        <v>1106</v>
      </c>
      <c r="F36" s="21" t="s">
        <v>1107</v>
      </c>
      <c r="G36" s="19">
        <v>1</v>
      </c>
      <c r="H36" s="12">
        <v>20240814</v>
      </c>
    </row>
    <row r="37" ht="15" spans="1:8">
      <c r="A37" s="18">
        <v>977.8785</v>
      </c>
      <c r="B37" s="25">
        <v>57</v>
      </c>
      <c r="C37" s="29" t="s">
        <v>238</v>
      </c>
      <c r="D37" s="25" t="s">
        <v>264</v>
      </c>
      <c r="E37" s="19" t="s">
        <v>1030</v>
      </c>
      <c r="F37" s="21" t="s">
        <v>1108</v>
      </c>
      <c r="G37" s="19">
        <v>1</v>
      </c>
      <c r="H37" s="12">
        <v>20240814</v>
      </c>
    </row>
    <row r="38" ht="27" spans="1:8">
      <c r="A38" s="18">
        <v>977.8607</v>
      </c>
      <c r="B38" s="22">
        <v>58</v>
      </c>
      <c r="C38" s="22" t="s">
        <v>170</v>
      </c>
      <c r="D38" s="22" t="s">
        <v>170</v>
      </c>
      <c r="E38" s="22" t="s">
        <v>172</v>
      </c>
      <c r="F38" s="31" t="s">
        <v>276</v>
      </c>
      <c r="G38" s="22">
        <v>1</v>
      </c>
      <c r="H38" s="12">
        <v>20240814</v>
      </c>
    </row>
    <row r="39" ht="15" spans="1:8">
      <c r="A39" s="18">
        <v>977.8518</v>
      </c>
      <c r="B39" s="12">
        <v>59</v>
      </c>
      <c r="C39" s="12" t="s">
        <v>129</v>
      </c>
      <c r="D39" s="19" t="s">
        <v>290</v>
      </c>
      <c r="E39" s="20" t="s">
        <v>33</v>
      </c>
      <c r="F39" s="21" t="s">
        <v>1109</v>
      </c>
      <c r="G39" s="19">
        <v>0</v>
      </c>
      <c r="H39" s="12">
        <v>20240814</v>
      </c>
    </row>
    <row r="40" ht="15" spans="1:8">
      <c r="A40" s="18">
        <v>977.8538</v>
      </c>
      <c r="B40" s="70">
        <v>59</v>
      </c>
      <c r="C40" s="29" t="s">
        <v>268</v>
      </c>
      <c r="D40" s="25" t="s">
        <v>364</v>
      </c>
      <c r="E40" s="25" t="s">
        <v>19</v>
      </c>
      <c r="F40" s="118" t="s">
        <v>1110</v>
      </c>
      <c r="G40" s="111">
        <v>1</v>
      </c>
      <c r="H40" s="12">
        <v>20240814</v>
      </c>
    </row>
    <row r="41" ht="15" spans="1:8">
      <c r="A41" s="18">
        <v>977.8348</v>
      </c>
      <c r="B41" s="12">
        <v>61</v>
      </c>
      <c r="C41" s="12" t="s">
        <v>129</v>
      </c>
      <c r="D41" s="19" t="s">
        <v>228</v>
      </c>
      <c r="E41" s="20" t="s">
        <v>33</v>
      </c>
      <c r="F41" s="21" t="s">
        <v>1111</v>
      </c>
      <c r="G41" s="19">
        <v>0</v>
      </c>
      <c r="H41" s="12">
        <v>20240814</v>
      </c>
    </row>
    <row r="42" ht="15" spans="1:8">
      <c r="A42" s="18">
        <v>977.8305</v>
      </c>
      <c r="B42" s="70">
        <v>62</v>
      </c>
      <c r="C42" s="29" t="s">
        <v>268</v>
      </c>
      <c r="D42" s="25" t="s">
        <v>364</v>
      </c>
      <c r="E42" s="25" t="s">
        <v>19</v>
      </c>
      <c r="F42" s="118" t="s">
        <v>1112</v>
      </c>
      <c r="G42" s="111">
        <v>1</v>
      </c>
      <c r="H42" s="12">
        <v>20240814</v>
      </c>
    </row>
    <row r="43" ht="40.5" spans="1:8">
      <c r="A43" s="18">
        <v>977.8071</v>
      </c>
      <c r="B43" s="68">
        <v>65</v>
      </c>
      <c r="C43" s="29" t="s">
        <v>820</v>
      </c>
      <c r="D43" s="25" t="s">
        <v>364</v>
      </c>
      <c r="E43" s="64" t="s">
        <v>29</v>
      </c>
      <c r="F43" s="118" t="s">
        <v>1113</v>
      </c>
      <c r="G43" s="111">
        <v>1</v>
      </c>
      <c r="H43" s="12">
        <v>20240814</v>
      </c>
    </row>
    <row r="44" ht="15" spans="1:8">
      <c r="A44" s="18">
        <v>977.7833</v>
      </c>
      <c r="B44" s="12">
        <v>67</v>
      </c>
      <c r="C44" s="12" t="s">
        <v>129</v>
      </c>
      <c r="D44" s="19" t="s">
        <v>228</v>
      </c>
      <c r="E44" s="20" t="s">
        <v>33</v>
      </c>
      <c r="F44" s="21" t="s">
        <v>1114</v>
      </c>
      <c r="G44" s="19">
        <v>0</v>
      </c>
      <c r="H44" s="12">
        <v>20240814</v>
      </c>
    </row>
    <row r="45" ht="15" spans="1:8">
      <c r="A45" s="18">
        <v>977.7833</v>
      </c>
      <c r="B45" s="12">
        <v>67</v>
      </c>
      <c r="C45" s="12" t="s">
        <v>129</v>
      </c>
      <c r="D45" s="19" t="s">
        <v>228</v>
      </c>
      <c r="E45" s="20" t="s">
        <v>33</v>
      </c>
      <c r="F45" s="21" t="s">
        <v>1115</v>
      </c>
      <c r="G45" s="19">
        <v>0</v>
      </c>
      <c r="H45" s="12">
        <v>20240814</v>
      </c>
    </row>
    <row r="46" ht="15" spans="1:8">
      <c r="A46" s="18">
        <v>977.7477</v>
      </c>
      <c r="B46" s="12">
        <v>71</v>
      </c>
      <c r="C46" s="12" t="s">
        <v>129</v>
      </c>
      <c r="D46" s="19" t="s">
        <v>228</v>
      </c>
      <c r="E46" s="20" t="s">
        <v>33</v>
      </c>
      <c r="F46" s="21" t="s">
        <v>1116</v>
      </c>
      <c r="G46" s="19">
        <v>0</v>
      </c>
      <c r="H46" s="12">
        <v>20240814</v>
      </c>
    </row>
    <row r="47" ht="15" spans="1:8">
      <c r="A47" s="18">
        <v>977.7403</v>
      </c>
      <c r="B47" s="12">
        <v>72</v>
      </c>
      <c r="C47" s="12" t="s">
        <v>129</v>
      </c>
      <c r="D47" s="19" t="s">
        <v>228</v>
      </c>
      <c r="E47" s="20" t="s">
        <v>41</v>
      </c>
      <c r="F47" s="21" t="s">
        <v>1117</v>
      </c>
      <c r="G47" s="19">
        <v>1</v>
      </c>
      <c r="H47" s="12">
        <v>20240814</v>
      </c>
    </row>
    <row r="48" ht="15" spans="1:8">
      <c r="A48" s="18">
        <v>977.7314</v>
      </c>
      <c r="B48" s="12">
        <v>73</v>
      </c>
      <c r="C48" s="12" t="s">
        <v>129</v>
      </c>
      <c r="D48" s="17" t="s">
        <v>290</v>
      </c>
      <c r="E48" s="20" t="s">
        <v>33</v>
      </c>
      <c r="F48" s="162" t="s">
        <v>751</v>
      </c>
      <c r="G48" s="19">
        <v>0</v>
      </c>
      <c r="H48" s="12">
        <v>20240814</v>
      </c>
    </row>
    <row r="49" ht="15" spans="1:8">
      <c r="A49" s="18">
        <v>977.7225</v>
      </c>
      <c r="B49" s="12">
        <v>74</v>
      </c>
      <c r="C49" s="12" t="s">
        <v>129</v>
      </c>
      <c r="D49" s="17" t="s">
        <v>228</v>
      </c>
      <c r="E49" s="20" t="s">
        <v>33</v>
      </c>
      <c r="F49" s="162" t="s">
        <v>1104</v>
      </c>
      <c r="G49" s="19">
        <v>0</v>
      </c>
      <c r="H49" s="12">
        <v>20240814</v>
      </c>
    </row>
    <row r="50" ht="27" spans="1:8">
      <c r="A50" s="18">
        <v>977.7136</v>
      </c>
      <c r="B50" s="22">
        <v>75</v>
      </c>
      <c r="C50" s="22" t="s">
        <v>170</v>
      </c>
      <c r="D50" s="22" t="s">
        <v>170</v>
      </c>
      <c r="E50" s="22" t="s">
        <v>172</v>
      </c>
      <c r="F50" s="31" t="s">
        <v>276</v>
      </c>
      <c r="G50" s="22">
        <v>1</v>
      </c>
      <c r="H50" s="12">
        <v>20240814</v>
      </c>
    </row>
    <row r="51" ht="15" spans="1:8">
      <c r="A51" s="18">
        <v>977.7049</v>
      </c>
      <c r="B51" s="12">
        <v>76</v>
      </c>
      <c r="C51" s="12" t="s">
        <v>129</v>
      </c>
      <c r="D51" s="17" t="s">
        <v>228</v>
      </c>
      <c r="E51" s="20" t="s">
        <v>41</v>
      </c>
      <c r="F51" s="162" t="s">
        <v>1118</v>
      </c>
      <c r="G51" s="19">
        <v>1</v>
      </c>
      <c r="H51" s="12">
        <v>20240814</v>
      </c>
    </row>
    <row r="52" ht="15" spans="1:8">
      <c r="A52" s="18">
        <v>977.6961</v>
      </c>
      <c r="B52" s="12">
        <v>77</v>
      </c>
      <c r="C52" s="12" t="s">
        <v>129</v>
      </c>
      <c r="D52" s="19" t="s">
        <v>290</v>
      </c>
      <c r="E52" s="20" t="s">
        <v>33</v>
      </c>
      <c r="F52" s="162" t="s">
        <v>1119</v>
      </c>
      <c r="G52" s="19">
        <v>0</v>
      </c>
      <c r="H52" s="12">
        <v>20240814</v>
      </c>
    </row>
    <row r="53" ht="40.5" spans="1:8">
      <c r="A53" s="18">
        <v>977.7011</v>
      </c>
      <c r="B53" s="25">
        <v>77</v>
      </c>
      <c r="C53" s="29" t="s">
        <v>820</v>
      </c>
      <c r="D53" s="25" t="s">
        <v>364</v>
      </c>
      <c r="E53" s="64" t="s">
        <v>29</v>
      </c>
      <c r="F53" s="118" t="s">
        <v>1120</v>
      </c>
      <c r="G53" s="111">
        <v>1</v>
      </c>
      <c r="H53" s="12">
        <v>20240814</v>
      </c>
    </row>
    <row r="54" ht="15" spans="1:8">
      <c r="A54" s="18">
        <v>977.652</v>
      </c>
      <c r="B54" s="12">
        <v>82</v>
      </c>
      <c r="C54" s="12" t="s">
        <v>129</v>
      </c>
      <c r="D54" s="19" t="s">
        <v>290</v>
      </c>
      <c r="E54" s="20" t="s">
        <v>33</v>
      </c>
      <c r="F54" s="162" t="s">
        <v>1121</v>
      </c>
      <c r="G54" s="19">
        <v>1</v>
      </c>
      <c r="H54" s="12">
        <v>20240814</v>
      </c>
    </row>
    <row r="55" customHeight="1" spans="1:8">
      <c r="A55" s="18">
        <v>977.6462</v>
      </c>
      <c r="B55" s="25">
        <v>83</v>
      </c>
      <c r="C55" s="29" t="s">
        <v>820</v>
      </c>
      <c r="D55" s="25" t="s">
        <v>364</v>
      </c>
      <c r="E55" s="64" t="s">
        <v>29</v>
      </c>
      <c r="F55" s="118" t="s">
        <v>1122</v>
      </c>
      <c r="G55" s="111">
        <v>1</v>
      </c>
      <c r="H55" s="12">
        <v>20240814</v>
      </c>
    </row>
    <row r="56" ht="15.75" spans="1:8">
      <c r="A56" s="18">
        <v>977.6385</v>
      </c>
      <c r="B56" s="22">
        <v>84</v>
      </c>
      <c r="C56" s="22" t="s">
        <v>253</v>
      </c>
      <c r="D56" s="22" t="s">
        <v>261</v>
      </c>
      <c r="E56" s="22" t="s">
        <v>262</v>
      </c>
      <c r="F56" s="31" t="s">
        <v>1123</v>
      </c>
      <c r="G56" s="22">
        <v>1</v>
      </c>
      <c r="H56" s="12">
        <v>20240814</v>
      </c>
    </row>
    <row r="57" ht="40.5" spans="1:8">
      <c r="A57" s="18">
        <v>977.6355</v>
      </c>
      <c r="B57" s="25">
        <v>84</v>
      </c>
      <c r="C57" s="29" t="s">
        <v>820</v>
      </c>
      <c r="D57" s="25" t="s">
        <v>364</v>
      </c>
      <c r="E57" s="64" t="s">
        <v>29</v>
      </c>
      <c r="F57" s="118" t="s">
        <v>1124</v>
      </c>
      <c r="G57" s="111">
        <v>1</v>
      </c>
      <c r="H57" s="12">
        <v>20240814</v>
      </c>
    </row>
    <row r="58" ht="40.5" spans="1:8">
      <c r="A58" s="18">
        <v>977.6077</v>
      </c>
      <c r="B58" s="12">
        <v>87</v>
      </c>
      <c r="C58" s="117" t="s">
        <v>878</v>
      </c>
      <c r="D58" s="23" t="s">
        <v>18</v>
      </c>
      <c r="E58" s="20" t="s">
        <v>23</v>
      </c>
      <c r="F58" s="163" t="s">
        <v>1125</v>
      </c>
      <c r="G58" s="19">
        <v>1</v>
      </c>
      <c r="H58" s="12">
        <v>20240814</v>
      </c>
    </row>
    <row r="59" ht="15" spans="1:8">
      <c r="A59" s="18">
        <v>977.5771</v>
      </c>
      <c r="B59" s="12">
        <v>93</v>
      </c>
      <c r="C59" s="12" t="s">
        <v>129</v>
      </c>
      <c r="D59" s="19" t="s">
        <v>228</v>
      </c>
      <c r="E59" s="19" t="s">
        <v>467</v>
      </c>
      <c r="F59" s="21" t="s">
        <v>1126</v>
      </c>
      <c r="G59" s="19">
        <v>1</v>
      </c>
      <c r="H59" s="12">
        <v>20240814</v>
      </c>
    </row>
    <row r="60" ht="15" spans="1:8">
      <c r="A60" s="18">
        <v>977.5414</v>
      </c>
      <c r="B60" s="12">
        <v>100</v>
      </c>
      <c r="C60" s="12" t="s">
        <v>129</v>
      </c>
      <c r="D60" s="19" t="s">
        <v>228</v>
      </c>
      <c r="E60" s="136" t="s">
        <v>41</v>
      </c>
      <c r="F60" s="162" t="s">
        <v>308</v>
      </c>
      <c r="G60" s="19">
        <v>1</v>
      </c>
      <c r="H60" s="12">
        <v>20240814</v>
      </c>
    </row>
    <row r="61" ht="15" spans="1:8">
      <c r="A61" s="18">
        <v>977.5371</v>
      </c>
      <c r="B61" s="12">
        <v>101</v>
      </c>
      <c r="C61" s="12" t="s">
        <v>129</v>
      </c>
      <c r="D61" s="19" t="s">
        <v>235</v>
      </c>
      <c r="E61" s="20" t="s">
        <v>33</v>
      </c>
      <c r="F61" s="21" t="s">
        <v>1127</v>
      </c>
      <c r="G61" s="19">
        <v>1</v>
      </c>
      <c r="H61" s="12">
        <v>20240814</v>
      </c>
    </row>
    <row r="62" ht="15" spans="1:8">
      <c r="A62" s="18">
        <v>977.5183</v>
      </c>
      <c r="B62" s="111">
        <v>103</v>
      </c>
      <c r="C62" s="25" t="s">
        <v>247</v>
      </c>
      <c r="D62" s="25" t="s">
        <v>264</v>
      </c>
      <c r="E62" s="25" t="s">
        <v>372</v>
      </c>
      <c r="F62" s="161" t="s">
        <v>1128</v>
      </c>
      <c r="G62" s="122">
        <v>0</v>
      </c>
      <c r="H62" s="12">
        <v>20240814</v>
      </c>
    </row>
    <row r="63" ht="15" spans="1:8">
      <c r="A63" s="18">
        <v>977.4869</v>
      </c>
      <c r="B63" s="12">
        <v>107</v>
      </c>
      <c r="C63" s="12" t="s">
        <v>129</v>
      </c>
      <c r="D63" s="19" t="s">
        <v>228</v>
      </c>
      <c r="E63" s="20" t="s">
        <v>33</v>
      </c>
      <c r="F63" s="21" t="s">
        <v>1129</v>
      </c>
      <c r="G63" s="19">
        <v>0</v>
      </c>
      <c r="H63" s="12">
        <v>20240814</v>
      </c>
    </row>
    <row r="64" ht="40.5" spans="1:8">
      <c r="A64" s="18">
        <v>977.4949</v>
      </c>
      <c r="B64" s="22">
        <v>107</v>
      </c>
      <c r="C64" s="22" t="s">
        <v>21</v>
      </c>
      <c r="D64" s="23" t="s">
        <v>18</v>
      </c>
      <c r="E64" s="64" t="s">
        <v>29</v>
      </c>
      <c r="F64" s="31" t="s">
        <v>1130</v>
      </c>
      <c r="G64" s="22">
        <v>1</v>
      </c>
      <c r="H64" s="12">
        <v>20240814</v>
      </c>
    </row>
    <row r="65" ht="15" spans="1:8">
      <c r="A65" s="18">
        <v>977.4864</v>
      </c>
      <c r="B65" s="22">
        <v>108</v>
      </c>
      <c r="C65" s="22" t="s">
        <v>12</v>
      </c>
      <c r="D65" s="22" t="s">
        <v>12</v>
      </c>
      <c r="E65" s="22" t="s">
        <v>13</v>
      </c>
      <c r="F65" s="31" t="s">
        <v>1131</v>
      </c>
      <c r="G65" s="22">
        <v>1</v>
      </c>
      <c r="H65" s="12">
        <v>20240814</v>
      </c>
    </row>
    <row r="66" ht="15" spans="1:8">
      <c r="A66" s="18">
        <v>977.4864</v>
      </c>
      <c r="B66" s="111">
        <v>108</v>
      </c>
      <c r="C66" s="29" t="s">
        <v>238</v>
      </c>
      <c r="D66" s="25" t="s">
        <v>1105</v>
      </c>
      <c r="E66" s="19" t="s">
        <v>1106</v>
      </c>
      <c r="F66" s="21" t="s">
        <v>1132</v>
      </c>
      <c r="G66" s="19">
        <v>1</v>
      </c>
      <c r="H66" s="12">
        <v>20240814</v>
      </c>
    </row>
    <row r="67" ht="15" spans="1:8">
      <c r="A67" s="18">
        <v>977.4717</v>
      </c>
      <c r="B67" s="70">
        <v>109</v>
      </c>
      <c r="C67" s="29" t="s">
        <v>238</v>
      </c>
      <c r="D67" s="25" t="s">
        <v>264</v>
      </c>
      <c r="E67" s="19" t="s">
        <v>1030</v>
      </c>
      <c r="F67" s="21" t="s">
        <v>1133</v>
      </c>
      <c r="G67" s="19">
        <v>1</v>
      </c>
      <c r="H67" s="12">
        <v>20240814</v>
      </c>
    </row>
    <row r="68" ht="25.5" spans="1:8">
      <c r="A68" s="18">
        <v>977.4639</v>
      </c>
      <c r="B68" s="12">
        <v>110</v>
      </c>
      <c r="C68" s="12" t="s">
        <v>129</v>
      </c>
      <c r="D68" s="19" t="s">
        <v>1134</v>
      </c>
      <c r="E68" s="20" t="s">
        <v>41</v>
      </c>
      <c r="F68" s="21" t="s">
        <v>308</v>
      </c>
      <c r="G68" s="19">
        <v>1</v>
      </c>
      <c r="H68" s="12">
        <v>20240814</v>
      </c>
    </row>
    <row r="69" ht="15" spans="1:8">
      <c r="A69" s="18">
        <v>977.4214</v>
      </c>
      <c r="B69" s="110">
        <v>116</v>
      </c>
      <c r="C69" s="25" t="s">
        <v>247</v>
      </c>
      <c r="D69" s="19" t="s">
        <v>228</v>
      </c>
      <c r="E69" s="20" t="s">
        <v>33</v>
      </c>
      <c r="F69" s="21" t="s">
        <v>1135</v>
      </c>
      <c r="G69" s="19">
        <v>1</v>
      </c>
      <c r="H69" s="12">
        <v>20240814</v>
      </c>
    </row>
    <row r="70" ht="15" spans="1:8">
      <c r="A70" s="18">
        <v>977.4097</v>
      </c>
      <c r="B70" s="22">
        <v>117</v>
      </c>
      <c r="C70" s="22" t="s">
        <v>125</v>
      </c>
      <c r="D70" s="22" t="s">
        <v>126</v>
      </c>
      <c r="E70" s="22" t="s">
        <v>127</v>
      </c>
      <c r="F70" s="31" t="s">
        <v>1136</v>
      </c>
      <c r="G70" s="22">
        <v>1</v>
      </c>
      <c r="H70" s="12">
        <v>20240814</v>
      </c>
    </row>
    <row r="71" ht="15" spans="1:8">
      <c r="A71" s="18">
        <v>977.4053</v>
      </c>
      <c r="B71" s="12">
        <v>118</v>
      </c>
      <c r="C71" s="12" t="s">
        <v>129</v>
      </c>
      <c r="D71" s="19" t="s">
        <v>228</v>
      </c>
      <c r="E71" s="20" t="s">
        <v>41</v>
      </c>
      <c r="F71" s="21" t="s">
        <v>1137</v>
      </c>
      <c r="G71" s="19">
        <v>1</v>
      </c>
      <c r="H71" s="12">
        <v>20240814</v>
      </c>
    </row>
    <row r="72" ht="15" spans="1:8">
      <c r="A72" s="18">
        <v>977.3959</v>
      </c>
      <c r="B72" s="70">
        <v>119</v>
      </c>
      <c r="C72" s="29" t="s">
        <v>268</v>
      </c>
      <c r="D72" s="25" t="s">
        <v>364</v>
      </c>
      <c r="E72" s="25" t="s">
        <v>19</v>
      </c>
      <c r="F72" s="118" t="s">
        <v>1110</v>
      </c>
      <c r="G72" s="111">
        <v>1</v>
      </c>
      <c r="H72" s="12">
        <v>20240814</v>
      </c>
    </row>
    <row r="73" ht="40.5" spans="1:8">
      <c r="A73" s="18">
        <v>977.3892</v>
      </c>
      <c r="B73" s="25">
        <v>120</v>
      </c>
      <c r="C73" s="29" t="s">
        <v>820</v>
      </c>
      <c r="D73" s="25" t="s">
        <v>364</v>
      </c>
      <c r="E73" s="64" t="s">
        <v>29</v>
      </c>
      <c r="F73" s="118" t="s">
        <v>1122</v>
      </c>
      <c r="G73" s="111">
        <v>1</v>
      </c>
      <c r="H73" s="12">
        <v>20240814</v>
      </c>
    </row>
    <row r="74" ht="15" spans="1:8">
      <c r="A74" s="18">
        <v>977.3707</v>
      </c>
      <c r="B74" s="12">
        <v>122</v>
      </c>
      <c r="C74" s="12" t="s">
        <v>129</v>
      </c>
      <c r="D74" s="19" t="s">
        <v>228</v>
      </c>
      <c r="E74" s="20" t="s">
        <v>41</v>
      </c>
      <c r="F74" s="21" t="s">
        <v>308</v>
      </c>
      <c r="G74" s="19">
        <v>1</v>
      </c>
      <c r="H74" s="12">
        <v>20240814</v>
      </c>
    </row>
    <row r="75" ht="15" spans="1:8">
      <c r="A75" s="18">
        <v>977.3681</v>
      </c>
      <c r="B75" s="22">
        <v>123</v>
      </c>
      <c r="C75" s="22" t="s">
        <v>12</v>
      </c>
      <c r="D75" s="22" t="s">
        <v>12</v>
      </c>
      <c r="E75" s="22" t="s">
        <v>853</v>
      </c>
      <c r="F75" s="31" t="s">
        <v>1138</v>
      </c>
      <c r="G75" s="22">
        <v>1</v>
      </c>
      <c r="H75" s="12">
        <v>20240814</v>
      </c>
    </row>
    <row r="76" ht="15" spans="1:8">
      <c r="A76" s="18">
        <v>977.3556</v>
      </c>
      <c r="B76" s="12">
        <v>124</v>
      </c>
      <c r="C76" s="12" t="s">
        <v>129</v>
      </c>
      <c r="D76" s="19" t="s">
        <v>228</v>
      </c>
      <c r="E76" s="20" t="s">
        <v>15</v>
      </c>
      <c r="F76" s="21" t="s">
        <v>1139</v>
      </c>
      <c r="G76" s="19">
        <v>1</v>
      </c>
      <c r="H76" s="12">
        <v>20240814</v>
      </c>
    </row>
    <row r="77" ht="15" spans="1:8">
      <c r="A77" s="18">
        <v>977.3554</v>
      </c>
      <c r="B77" s="22">
        <v>124</v>
      </c>
      <c r="C77" s="22" t="s">
        <v>12</v>
      </c>
      <c r="D77" s="22" t="s">
        <v>12</v>
      </c>
      <c r="E77" s="22" t="s">
        <v>853</v>
      </c>
      <c r="F77" s="31" t="s">
        <v>1140</v>
      </c>
      <c r="G77" s="22">
        <v>1</v>
      </c>
      <c r="H77" s="12">
        <v>20240814</v>
      </c>
    </row>
    <row r="78" ht="15" spans="1:8">
      <c r="A78" s="18">
        <v>977.3454</v>
      </c>
      <c r="B78" s="70">
        <v>126</v>
      </c>
      <c r="C78" s="29" t="s">
        <v>238</v>
      </c>
      <c r="D78" s="25" t="s">
        <v>258</v>
      </c>
      <c r="E78" s="19" t="s">
        <v>1030</v>
      </c>
      <c r="F78" s="21" t="s">
        <v>1141</v>
      </c>
      <c r="G78" s="19">
        <v>1</v>
      </c>
      <c r="H78" s="12">
        <v>20240814</v>
      </c>
    </row>
    <row r="79" ht="15" spans="1:8">
      <c r="A79" s="18">
        <v>977.3261</v>
      </c>
      <c r="B79" s="22">
        <v>128</v>
      </c>
      <c r="C79" s="22" t="s">
        <v>12</v>
      </c>
      <c r="D79" s="22" t="s">
        <v>12</v>
      </c>
      <c r="E79" s="22" t="s">
        <v>282</v>
      </c>
      <c r="F79" s="31" t="s">
        <v>1142</v>
      </c>
      <c r="G79" s="22">
        <v>1</v>
      </c>
      <c r="H79" s="12">
        <v>20240814</v>
      </c>
    </row>
    <row r="80" ht="15.75" spans="1:8">
      <c r="A80" s="18">
        <v>977.3251</v>
      </c>
      <c r="B80" s="111">
        <v>128</v>
      </c>
      <c r="C80" s="29" t="s">
        <v>238</v>
      </c>
      <c r="D80" s="25" t="s">
        <v>1105</v>
      </c>
      <c r="E80" s="25" t="s">
        <v>240</v>
      </c>
      <c r="F80" s="161" t="s">
        <v>1143</v>
      </c>
      <c r="G80" s="111">
        <v>1</v>
      </c>
      <c r="H80" s="12">
        <v>20240814</v>
      </c>
    </row>
    <row r="81" ht="15" spans="1:8">
      <c r="A81" s="18">
        <v>977.321</v>
      </c>
      <c r="B81" s="12">
        <v>129</v>
      </c>
      <c r="C81" s="12" t="s">
        <v>129</v>
      </c>
      <c r="D81" s="19" t="s">
        <v>228</v>
      </c>
      <c r="E81" s="20" t="s">
        <v>41</v>
      </c>
      <c r="F81" s="21" t="s">
        <v>1144</v>
      </c>
      <c r="G81" s="19">
        <v>1</v>
      </c>
      <c r="H81" s="12">
        <v>20240814</v>
      </c>
    </row>
    <row r="82" ht="15" spans="1:8">
      <c r="A82" s="18">
        <v>977.2942</v>
      </c>
      <c r="B82" s="12">
        <v>133</v>
      </c>
      <c r="C82" s="12" t="s">
        <v>129</v>
      </c>
      <c r="D82" s="19" t="s">
        <v>290</v>
      </c>
      <c r="E82" s="19" t="s">
        <v>467</v>
      </c>
      <c r="F82" s="21" t="s">
        <v>1145</v>
      </c>
      <c r="G82" s="19">
        <v>1</v>
      </c>
      <c r="H82" s="12">
        <v>20240814</v>
      </c>
    </row>
    <row r="83" ht="15" spans="1:8">
      <c r="A83" s="18">
        <v>977.2641</v>
      </c>
      <c r="B83" s="12">
        <v>137</v>
      </c>
      <c r="C83" s="12" t="s">
        <v>129</v>
      </c>
      <c r="D83" s="19" t="s">
        <v>290</v>
      </c>
      <c r="E83" s="19" t="s">
        <v>467</v>
      </c>
      <c r="F83" s="21" t="s">
        <v>1146</v>
      </c>
      <c r="G83" s="19">
        <v>1</v>
      </c>
      <c r="H83" s="12">
        <v>20240814</v>
      </c>
    </row>
    <row r="84" ht="15" spans="1:8">
      <c r="A84" s="18">
        <v>977.2591</v>
      </c>
      <c r="B84" s="12">
        <v>137</v>
      </c>
      <c r="C84" s="12" t="s">
        <v>129</v>
      </c>
      <c r="D84" s="19" t="s">
        <v>228</v>
      </c>
      <c r="E84" s="20" t="s">
        <v>41</v>
      </c>
      <c r="F84" s="21" t="s">
        <v>1147</v>
      </c>
      <c r="G84" s="19">
        <v>1</v>
      </c>
      <c r="H84" s="12">
        <v>20240814</v>
      </c>
    </row>
    <row r="85" ht="15" spans="1:8">
      <c r="A85" s="18">
        <v>977.2478</v>
      </c>
      <c r="B85" s="12">
        <v>139</v>
      </c>
      <c r="C85" s="12" t="s">
        <v>129</v>
      </c>
      <c r="D85" s="19" t="s">
        <v>290</v>
      </c>
      <c r="E85" s="19" t="s">
        <v>467</v>
      </c>
      <c r="F85" s="21" t="s">
        <v>1148</v>
      </c>
      <c r="G85" s="19">
        <v>1</v>
      </c>
      <c r="H85" s="12">
        <v>20240814</v>
      </c>
    </row>
    <row r="86" ht="15" spans="1:8">
      <c r="A86" s="18">
        <v>977.2508</v>
      </c>
      <c r="B86" s="68">
        <v>139</v>
      </c>
      <c r="C86" s="29" t="s">
        <v>238</v>
      </c>
      <c r="D86" s="25" t="s">
        <v>1149</v>
      </c>
      <c r="E86" s="19" t="s">
        <v>1150</v>
      </c>
      <c r="F86" s="21" t="s">
        <v>1151</v>
      </c>
      <c r="G86" s="19">
        <v>1</v>
      </c>
      <c r="H86" s="12">
        <v>20240814</v>
      </c>
    </row>
    <row r="87" ht="15" spans="1:8">
      <c r="A87" s="18">
        <v>977.2362</v>
      </c>
      <c r="B87" s="12">
        <v>140</v>
      </c>
      <c r="C87" s="12" t="s">
        <v>129</v>
      </c>
      <c r="D87" s="19" t="s">
        <v>290</v>
      </c>
      <c r="E87" s="19" t="s">
        <v>467</v>
      </c>
      <c r="F87" s="21" t="s">
        <v>1152</v>
      </c>
      <c r="G87" s="19">
        <v>1</v>
      </c>
      <c r="H87" s="12">
        <v>20240814</v>
      </c>
    </row>
    <row r="88" ht="15" spans="1:8">
      <c r="A88" s="18">
        <v>977.2254</v>
      </c>
      <c r="B88" s="22">
        <v>142</v>
      </c>
      <c r="C88" s="22" t="s">
        <v>12</v>
      </c>
      <c r="D88" s="22" t="s">
        <v>12</v>
      </c>
      <c r="E88" s="22" t="s">
        <v>13</v>
      </c>
      <c r="F88" s="31" t="s">
        <v>1153</v>
      </c>
      <c r="G88" s="22">
        <v>1</v>
      </c>
      <c r="H88" s="12">
        <v>20240814</v>
      </c>
    </row>
    <row r="89" ht="40.5" spans="1:8">
      <c r="A89" s="18">
        <v>977.2144</v>
      </c>
      <c r="B89" s="25">
        <v>143</v>
      </c>
      <c r="C89" s="29" t="s">
        <v>820</v>
      </c>
      <c r="D89" s="64" t="s">
        <v>177</v>
      </c>
      <c r="E89" s="64" t="s">
        <v>29</v>
      </c>
      <c r="F89" s="118" t="s">
        <v>1124</v>
      </c>
      <c r="G89" s="111">
        <v>1</v>
      </c>
      <c r="H89" s="12">
        <v>20240814</v>
      </c>
    </row>
    <row r="90" ht="15" spans="1:8">
      <c r="A90" s="18">
        <v>977.1978</v>
      </c>
      <c r="B90" s="12">
        <v>145</v>
      </c>
      <c r="C90" s="12" t="s">
        <v>129</v>
      </c>
      <c r="D90" s="19" t="s">
        <v>290</v>
      </c>
      <c r="E90" s="20" t="s">
        <v>33</v>
      </c>
      <c r="F90" s="21" t="s">
        <v>1154</v>
      </c>
      <c r="G90" s="19">
        <v>0</v>
      </c>
      <c r="H90" s="12">
        <v>20240814</v>
      </c>
    </row>
    <row r="91" ht="25.5" spans="1:8">
      <c r="A91" s="18">
        <v>977.1588</v>
      </c>
      <c r="B91" s="68">
        <v>150</v>
      </c>
      <c r="C91" s="25" t="s">
        <v>247</v>
      </c>
      <c r="D91" s="19" t="s">
        <v>1155</v>
      </c>
      <c r="E91" s="20" t="s">
        <v>41</v>
      </c>
      <c r="F91" s="21" t="s">
        <v>1156</v>
      </c>
      <c r="G91" s="19">
        <v>1</v>
      </c>
      <c r="H91" s="12">
        <v>20240814</v>
      </c>
    </row>
    <row r="92" ht="15" spans="1:8">
      <c r="A92" s="18">
        <v>977.1509</v>
      </c>
      <c r="B92" s="12">
        <v>151</v>
      </c>
      <c r="C92" s="12" t="s">
        <v>129</v>
      </c>
      <c r="D92" s="19" t="s">
        <v>231</v>
      </c>
      <c r="E92" s="20" t="s">
        <v>41</v>
      </c>
      <c r="F92" s="21" t="s">
        <v>1156</v>
      </c>
      <c r="G92" s="19">
        <v>1</v>
      </c>
      <c r="H92" s="12">
        <v>20240814</v>
      </c>
    </row>
    <row r="93" ht="15" spans="1:8">
      <c r="A93" s="18">
        <v>977.1344</v>
      </c>
      <c r="B93" s="12">
        <v>154</v>
      </c>
      <c r="C93" s="12" t="s">
        <v>129</v>
      </c>
      <c r="D93" s="19" t="s">
        <v>290</v>
      </c>
      <c r="E93" s="19" t="s">
        <v>467</v>
      </c>
      <c r="F93" s="21" t="s">
        <v>1157</v>
      </c>
      <c r="G93" s="19">
        <v>1</v>
      </c>
      <c r="H93" s="12">
        <v>20240814</v>
      </c>
    </row>
    <row r="94" ht="15" spans="1:8">
      <c r="A94" s="18">
        <v>977.1157</v>
      </c>
      <c r="B94" s="12">
        <v>156</v>
      </c>
      <c r="C94" s="12" t="s">
        <v>129</v>
      </c>
      <c r="D94" s="19" t="s">
        <v>228</v>
      </c>
      <c r="E94" s="19" t="s">
        <v>467</v>
      </c>
      <c r="F94" s="21" t="s">
        <v>1158</v>
      </c>
      <c r="G94" s="19">
        <v>1</v>
      </c>
      <c r="H94" s="12">
        <v>20240814</v>
      </c>
    </row>
    <row r="95" ht="15" spans="1:8">
      <c r="A95" s="18">
        <v>977.1157</v>
      </c>
      <c r="B95" s="68">
        <v>156</v>
      </c>
      <c r="C95" s="25" t="s">
        <v>247</v>
      </c>
      <c r="D95" s="19" t="s">
        <v>228</v>
      </c>
      <c r="E95" s="19" t="s">
        <v>467</v>
      </c>
      <c r="F95" s="21" t="s">
        <v>1159</v>
      </c>
      <c r="G95" s="19">
        <v>1</v>
      </c>
      <c r="H95" s="12">
        <v>20240814</v>
      </c>
    </row>
    <row r="96" ht="15" spans="1:8">
      <c r="A96" s="18">
        <v>977.0653</v>
      </c>
      <c r="B96" s="12">
        <v>162</v>
      </c>
      <c r="C96" s="12" t="s">
        <v>129</v>
      </c>
      <c r="D96" s="19" t="s">
        <v>290</v>
      </c>
      <c r="E96" s="19" t="s">
        <v>467</v>
      </c>
      <c r="F96" s="21" t="s">
        <v>1160</v>
      </c>
      <c r="G96" s="19">
        <v>1</v>
      </c>
      <c r="H96" s="12">
        <v>20240814</v>
      </c>
    </row>
    <row r="97" ht="15" spans="1:8">
      <c r="A97" s="18">
        <v>977.0587</v>
      </c>
      <c r="B97" s="25">
        <v>163</v>
      </c>
      <c r="C97" s="29" t="s">
        <v>247</v>
      </c>
      <c r="D97" s="25" t="s">
        <v>264</v>
      </c>
      <c r="E97" s="25" t="s">
        <v>1161</v>
      </c>
      <c r="F97" s="66" t="s">
        <v>1162</v>
      </c>
      <c r="G97" s="111">
        <v>1</v>
      </c>
      <c r="H97" s="12">
        <v>20240814</v>
      </c>
    </row>
    <row r="98" ht="15" spans="1:8">
      <c r="A98" s="18">
        <v>977.0427</v>
      </c>
      <c r="B98" s="12">
        <v>165</v>
      </c>
      <c r="C98" s="12" t="s">
        <v>129</v>
      </c>
      <c r="D98" s="19" t="s">
        <v>290</v>
      </c>
      <c r="E98" s="19" t="s">
        <v>467</v>
      </c>
      <c r="F98" s="21" t="s">
        <v>1163</v>
      </c>
      <c r="G98" s="19">
        <v>1</v>
      </c>
      <c r="H98" s="12">
        <v>20240814</v>
      </c>
    </row>
    <row r="99" ht="15" spans="1:8">
      <c r="A99" s="18">
        <v>977.0367</v>
      </c>
      <c r="B99" s="12">
        <v>166</v>
      </c>
      <c r="C99" s="12" t="s">
        <v>129</v>
      </c>
      <c r="D99" s="19" t="s">
        <v>290</v>
      </c>
      <c r="E99" s="19" t="s">
        <v>467</v>
      </c>
      <c r="F99" s="21" t="s">
        <v>1164</v>
      </c>
      <c r="G99" s="19">
        <v>1</v>
      </c>
      <c r="H99" s="12">
        <v>20240814</v>
      </c>
    </row>
    <row r="100" ht="15" spans="1:8">
      <c r="A100" s="18">
        <v>977.0367</v>
      </c>
      <c r="B100" s="12">
        <v>166</v>
      </c>
      <c r="C100" s="12" t="s">
        <v>129</v>
      </c>
      <c r="D100" s="19" t="s">
        <v>231</v>
      </c>
      <c r="E100" s="20" t="s">
        <v>41</v>
      </c>
      <c r="F100" s="21" t="s">
        <v>1165</v>
      </c>
      <c r="G100" s="19">
        <v>1</v>
      </c>
      <c r="H100" s="12">
        <v>20240814</v>
      </c>
    </row>
    <row r="101" ht="15" spans="1:8">
      <c r="A101" s="18">
        <v>977.0352</v>
      </c>
      <c r="B101" s="12">
        <v>166</v>
      </c>
      <c r="C101" s="12" t="s">
        <v>129</v>
      </c>
      <c r="D101" s="19" t="s">
        <v>228</v>
      </c>
      <c r="E101" s="19" t="s">
        <v>1166</v>
      </c>
      <c r="F101" s="21" t="s">
        <v>1167</v>
      </c>
      <c r="G101" s="19">
        <v>1</v>
      </c>
      <c r="H101" s="12">
        <v>20240814</v>
      </c>
    </row>
    <row r="102" ht="15" spans="1:8">
      <c r="A102" s="18">
        <v>977.0352</v>
      </c>
      <c r="B102" s="68">
        <v>166</v>
      </c>
      <c r="C102" s="29" t="s">
        <v>247</v>
      </c>
      <c r="D102" s="25" t="s">
        <v>264</v>
      </c>
      <c r="E102" s="25" t="s">
        <v>1161</v>
      </c>
      <c r="F102" s="66" t="s">
        <v>1168</v>
      </c>
      <c r="G102" s="111">
        <v>1</v>
      </c>
      <c r="H102" s="12">
        <v>20240814</v>
      </c>
    </row>
    <row r="103" ht="15" spans="1:8">
      <c r="A103" s="18">
        <v>977.0039</v>
      </c>
      <c r="B103" s="22">
        <v>170</v>
      </c>
      <c r="C103" s="22" t="s">
        <v>253</v>
      </c>
      <c r="D103" s="22" t="s">
        <v>126</v>
      </c>
      <c r="E103" s="22" t="s">
        <v>254</v>
      </c>
      <c r="F103" s="31" t="s">
        <v>955</v>
      </c>
      <c r="G103" s="22">
        <v>1</v>
      </c>
      <c r="H103" s="12">
        <v>20240814</v>
      </c>
    </row>
    <row r="104" ht="15" spans="1:8">
      <c r="A104" s="18">
        <v>976.9842</v>
      </c>
      <c r="B104" s="12">
        <v>173</v>
      </c>
      <c r="C104" s="12" t="s">
        <v>129</v>
      </c>
      <c r="D104" s="19" t="s">
        <v>290</v>
      </c>
      <c r="E104" s="19" t="s">
        <v>467</v>
      </c>
      <c r="F104" s="21" t="s">
        <v>1169</v>
      </c>
      <c r="G104" s="19">
        <v>1</v>
      </c>
      <c r="H104" s="12">
        <v>20240814</v>
      </c>
    </row>
    <row r="105" ht="15" spans="1:8">
      <c r="A105" s="18">
        <v>976.9734</v>
      </c>
      <c r="B105" s="68">
        <v>174</v>
      </c>
      <c r="C105" s="29" t="s">
        <v>268</v>
      </c>
      <c r="D105" s="25" t="s">
        <v>364</v>
      </c>
      <c r="E105" s="25" t="s">
        <v>19</v>
      </c>
      <c r="F105" s="118" t="s">
        <v>1170</v>
      </c>
      <c r="G105" s="111">
        <v>1</v>
      </c>
      <c r="H105" s="12">
        <v>20240814</v>
      </c>
    </row>
    <row r="106" ht="15" spans="1:8">
      <c r="A106" s="18">
        <v>976.9532</v>
      </c>
      <c r="B106" s="12">
        <v>177</v>
      </c>
      <c r="C106" s="12" t="s">
        <v>129</v>
      </c>
      <c r="D106" s="19" t="s">
        <v>228</v>
      </c>
      <c r="E106" s="19" t="s">
        <v>467</v>
      </c>
      <c r="F106" s="21" t="s">
        <v>1171</v>
      </c>
      <c r="G106" s="19">
        <v>1</v>
      </c>
      <c r="H106" s="12">
        <v>20240814</v>
      </c>
    </row>
    <row r="107" ht="15" spans="1:8">
      <c r="A107" s="18">
        <v>976.9444</v>
      </c>
      <c r="B107" s="12">
        <v>178</v>
      </c>
      <c r="C107" s="12" t="s">
        <v>129</v>
      </c>
      <c r="D107" s="19" t="s">
        <v>228</v>
      </c>
      <c r="E107" s="19" t="s">
        <v>467</v>
      </c>
      <c r="F107" s="21" t="s">
        <v>1172</v>
      </c>
      <c r="G107" s="19">
        <v>1</v>
      </c>
      <c r="H107" s="12">
        <v>20240814</v>
      </c>
    </row>
    <row r="108" ht="15" spans="1:8">
      <c r="A108" s="18">
        <v>976.9335</v>
      </c>
      <c r="B108" s="12">
        <v>179</v>
      </c>
      <c r="C108" s="12" t="s">
        <v>129</v>
      </c>
      <c r="D108" s="19" t="s">
        <v>228</v>
      </c>
      <c r="E108" s="20" t="s">
        <v>314</v>
      </c>
      <c r="F108" s="109" t="s">
        <v>1173</v>
      </c>
      <c r="G108" s="19">
        <v>1</v>
      </c>
      <c r="H108" s="12">
        <v>20240814</v>
      </c>
    </row>
    <row r="109" ht="15" spans="1:8">
      <c r="A109" s="18">
        <v>976.9365</v>
      </c>
      <c r="B109" s="70">
        <v>179</v>
      </c>
      <c r="C109" s="25" t="s">
        <v>247</v>
      </c>
      <c r="D109" s="19" t="s">
        <v>228</v>
      </c>
      <c r="E109" s="19" t="s">
        <v>467</v>
      </c>
      <c r="F109" s="21" t="s">
        <v>1174</v>
      </c>
      <c r="G109" s="19">
        <v>1</v>
      </c>
      <c r="H109" s="12">
        <v>20240814</v>
      </c>
    </row>
    <row r="110" ht="15" spans="1:8">
      <c r="A110" s="18">
        <v>976.9405</v>
      </c>
      <c r="B110" s="70">
        <v>179</v>
      </c>
      <c r="C110" s="25" t="s">
        <v>247</v>
      </c>
      <c r="D110" s="19" t="s">
        <v>228</v>
      </c>
      <c r="E110" s="19" t="s">
        <v>467</v>
      </c>
      <c r="F110" s="21" t="s">
        <v>1175</v>
      </c>
      <c r="G110" s="19">
        <v>1</v>
      </c>
      <c r="H110" s="12">
        <v>20240814</v>
      </c>
    </row>
    <row r="111" ht="15" spans="1:8">
      <c r="A111" s="18">
        <v>976.9111</v>
      </c>
      <c r="B111" s="12">
        <v>182</v>
      </c>
      <c r="C111" s="12" t="s">
        <v>129</v>
      </c>
      <c r="D111" s="19" t="s">
        <v>290</v>
      </c>
      <c r="E111" s="19" t="s">
        <v>467</v>
      </c>
      <c r="F111" s="21" t="s">
        <v>1176</v>
      </c>
      <c r="G111" s="19">
        <v>1</v>
      </c>
      <c r="H111" s="12">
        <v>20240814</v>
      </c>
    </row>
    <row r="112" ht="40.5" spans="1:8">
      <c r="A112" s="18">
        <v>976.8876</v>
      </c>
      <c r="B112" s="25">
        <v>185</v>
      </c>
      <c r="C112" s="29" t="s">
        <v>820</v>
      </c>
      <c r="D112" s="25" t="s">
        <v>364</v>
      </c>
      <c r="E112" s="64" t="s">
        <v>29</v>
      </c>
      <c r="F112" s="118" t="s">
        <v>1124</v>
      </c>
      <c r="G112" s="111">
        <v>1</v>
      </c>
      <c r="H112" s="12">
        <v>20240814</v>
      </c>
    </row>
    <row r="113" ht="15" spans="1:8">
      <c r="A113" s="18">
        <v>976.8822</v>
      </c>
      <c r="B113" s="12">
        <v>186</v>
      </c>
      <c r="C113" s="12" t="s">
        <v>129</v>
      </c>
      <c r="D113" s="19" t="s">
        <v>228</v>
      </c>
      <c r="E113" s="19" t="s">
        <v>467</v>
      </c>
      <c r="F113" s="21" t="s">
        <v>1177</v>
      </c>
      <c r="G113" s="19">
        <v>1</v>
      </c>
      <c r="H113" s="12">
        <v>20240814</v>
      </c>
    </row>
    <row r="114" ht="15" spans="1:8">
      <c r="A114" s="18">
        <v>976.8709</v>
      </c>
      <c r="B114" s="12">
        <v>187</v>
      </c>
      <c r="C114" s="12" t="s">
        <v>129</v>
      </c>
      <c r="D114" s="19" t="s">
        <v>235</v>
      </c>
      <c r="E114" s="19" t="s">
        <v>467</v>
      </c>
      <c r="F114" s="21" t="s">
        <v>1152</v>
      </c>
      <c r="G114" s="19">
        <v>1</v>
      </c>
      <c r="H114" s="12">
        <v>20240814</v>
      </c>
    </row>
    <row r="115" ht="15" spans="1:8">
      <c r="A115" s="18">
        <v>976.863</v>
      </c>
      <c r="B115" s="22">
        <v>188</v>
      </c>
      <c r="C115" s="22" t="s">
        <v>125</v>
      </c>
      <c r="D115" s="22" t="s">
        <v>126</v>
      </c>
      <c r="E115" s="22" t="s">
        <v>127</v>
      </c>
      <c r="F115" s="31" t="s">
        <v>1178</v>
      </c>
      <c r="G115" s="22">
        <v>1</v>
      </c>
      <c r="H115" s="12">
        <v>20240814</v>
      </c>
    </row>
    <row r="116" ht="15" spans="1:8">
      <c r="A116" s="18">
        <v>976.8581</v>
      </c>
      <c r="B116" s="12">
        <v>189</v>
      </c>
      <c r="C116" s="12" t="s">
        <v>129</v>
      </c>
      <c r="D116" s="19" t="s">
        <v>228</v>
      </c>
      <c r="E116" s="19" t="s">
        <v>467</v>
      </c>
      <c r="F116" s="21" t="s">
        <v>1179</v>
      </c>
      <c r="G116" s="19">
        <v>1</v>
      </c>
      <c r="H116" s="12">
        <v>20240814</v>
      </c>
    </row>
    <row r="117" ht="40.5" spans="1:8">
      <c r="A117" s="18">
        <v>976.8611</v>
      </c>
      <c r="B117" s="25">
        <v>189</v>
      </c>
      <c r="C117" s="29" t="s">
        <v>820</v>
      </c>
      <c r="D117" s="25" t="s">
        <v>364</v>
      </c>
      <c r="E117" s="64" t="s">
        <v>29</v>
      </c>
      <c r="F117" s="118" t="s">
        <v>1180</v>
      </c>
      <c r="G117" s="111">
        <v>1</v>
      </c>
      <c r="H117" s="12">
        <v>20240814</v>
      </c>
    </row>
    <row r="118" ht="40.5" spans="1:8">
      <c r="A118" s="18">
        <v>976.8445</v>
      </c>
      <c r="B118" s="25">
        <v>191</v>
      </c>
      <c r="C118" s="29" t="s">
        <v>820</v>
      </c>
      <c r="D118" s="25" t="s">
        <v>364</v>
      </c>
      <c r="E118" s="64" t="s">
        <v>29</v>
      </c>
      <c r="F118" s="118" t="s">
        <v>1120</v>
      </c>
      <c r="G118" s="111">
        <v>1</v>
      </c>
      <c r="H118" s="12">
        <v>20240814</v>
      </c>
    </row>
    <row r="119" ht="27" spans="1:8">
      <c r="A119" s="18">
        <v>978.357</v>
      </c>
      <c r="B119" s="15" t="s">
        <v>979</v>
      </c>
      <c r="C119" s="22" t="s">
        <v>170</v>
      </c>
      <c r="D119" s="22" t="s">
        <v>170</v>
      </c>
      <c r="E119" s="22" t="s">
        <v>172</v>
      </c>
      <c r="F119" s="31" t="s">
        <v>222</v>
      </c>
      <c r="G119" s="22">
        <v>1</v>
      </c>
      <c r="H119" s="12">
        <v>20240814</v>
      </c>
    </row>
    <row r="120" ht="27" spans="1:8">
      <c r="A120" s="18">
        <v>977.534</v>
      </c>
      <c r="B120" s="15" t="s">
        <v>980</v>
      </c>
      <c r="C120" s="22" t="s">
        <v>170</v>
      </c>
      <c r="D120" s="22" t="s">
        <v>170</v>
      </c>
      <c r="E120" s="22" t="s">
        <v>172</v>
      </c>
      <c r="F120" s="31" t="s">
        <v>222</v>
      </c>
      <c r="G120" s="22">
        <v>1</v>
      </c>
      <c r="H120" s="12">
        <v>20240814</v>
      </c>
    </row>
    <row r="121" ht="27" spans="1:8">
      <c r="A121" s="18">
        <v>977.379</v>
      </c>
      <c r="B121" s="15" t="s">
        <v>981</v>
      </c>
      <c r="C121" s="22" t="s">
        <v>170</v>
      </c>
      <c r="D121" s="22" t="s">
        <v>170</v>
      </c>
      <c r="E121" s="22" t="s">
        <v>172</v>
      </c>
      <c r="F121" s="31" t="s">
        <v>222</v>
      </c>
      <c r="G121" s="22">
        <v>1</v>
      </c>
      <c r="H121" s="12">
        <v>20240814</v>
      </c>
    </row>
    <row r="122" ht="27" spans="1:8">
      <c r="A122" s="18">
        <v>977.229</v>
      </c>
      <c r="B122" s="15" t="s">
        <v>982</v>
      </c>
      <c r="C122" s="22" t="s">
        <v>170</v>
      </c>
      <c r="D122" s="22" t="s">
        <v>170</v>
      </c>
      <c r="E122" s="22" t="s">
        <v>172</v>
      </c>
      <c r="F122" s="31" t="s">
        <v>222</v>
      </c>
      <c r="G122" s="22">
        <v>1</v>
      </c>
      <c r="H122" s="12">
        <v>20240814</v>
      </c>
    </row>
    <row r="123" ht="27" spans="1:8">
      <c r="A123" s="18">
        <v>977.073</v>
      </c>
      <c r="B123" s="15" t="s">
        <v>983</v>
      </c>
      <c r="C123" s="22" t="s">
        <v>170</v>
      </c>
      <c r="D123" s="22" t="s">
        <v>170</v>
      </c>
      <c r="E123" s="22" t="s">
        <v>172</v>
      </c>
      <c r="F123" s="31" t="s">
        <v>222</v>
      </c>
      <c r="G123" s="22">
        <v>1</v>
      </c>
      <c r="H123" s="12">
        <v>20240814</v>
      </c>
    </row>
    <row r="124" ht="27" spans="1:8">
      <c r="A124" s="18">
        <v>976.918</v>
      </c>
      <c r="B124" s="15" t="s">
        <v>1181</v>
      </c>
      <c r="C124" s="22" t="s">
        <v>170</v>
      </c>
      <c r="D124" s="22" t="s">
        <v>170</v>
      </c>
      <c r="E124" s="22" t="s">
        <v>172</v>
      </c>
      <c r="F124" s="31" t="s">
        <v>222</v>
      </c>
      <c r="G124" s="22">
        <v>1</v>
      </c>
      <c r="H124" s="12">
        <v>20240814</v>
      </c>
    </row>
    <row r="125" ht="27" spans="1:8">
      <c r="A125" s="18">
        <v>978.182</v>
      </c>
      <c r="B125" s="15" t="s">
        <v>985</v>
      </c>
      <c r="C125" s="22" t="s">
        <v>170</v>
      </c>
      <c r="D125" s="22" t="s">
        <v>170</v>
      </c>
      <c r="E125" s="22" t="s">
        <v>172</v>
      </c>
      <c r="F125" s="31" t="s">
        <v>222</v>
      </c>
      <c r="G125" s="22">
        <v>1</v>
      </c>
      <c r="H125" s="12">
        <v>20240814</v>
      </c>
    </row>
    <row r="126" ht="27" spans="1:8">
      <c r="A126" s="18">
        <v>978.006</v>
      </c>
      <c r="B126" s="15" t="s">
        <v>986</v>
      </c>
      <c r="C126" s="22" t="s">
        <v>170</v>
      </c>
      <c r="D126" s="22" t="s">
        <v>170</v>
      </c>
      <c r="E126" s="22" t="s">
        <v>172</v>
      </c>
      <c r="F126" s="31" t="s">
        <v>222</v>
      </c>
      <c r="G126" s="22">
        <v>1</v>
      </c>
      <c r="H126" s="12">
        <v>20240814</v>
      </c>
    </row>
    <row r="127" ht="27" spans="1:8">
      <c r="A127" s="18">
        <v>977.834</v>
      </c>
      <c r="B127" s="15" t="s">
        <v>987</v>
      </c>
      <c r="C127" s="22" t="s">
        <v>170</v>
      </c>
      <c r="D127" s="22" t="s">
        <v>170</v>
      </c>
      <c r="E127" s="22" t="s">
        <v>172</v>
      </c>
      <c r="F127" s="31" t="s">
        <v>222</v>
      </c>
      <c r="G127" s="22">
        <v>1</v>
      </c>
      <c r="H127" s="12">
        <v>20240814</v>
      </c>
    </row>
    <row r="128" ht="27" spans="1:8">
      <c r="A128" s="18">
        <v>977.661</v>
      </c>
      <c r="B128" s="15" t="s">
        <v>988</v>
      </c>
      <c r="C128" s="22" t="s">
        <v>170</v>
      </c>
      <c r="D128" s="22" t="s">
        <v>170</v>
      </c>
      <c r="E128" s="22" t="s">
        <v>172</v>
      </c>
      <c r="F128" s="31" t="s">
        <v>222</v>
      </c>
      <c r="G128" s="22">
        <v>1</v>
      </c>
      <c r="H128" s="12">
        <v>20240814</v>
      </c>
    </row>
  </sheetData>
  <autoFilter xmlns:etc="http://www.wps.cn/officeDocument/2017/etCustomData" ref="A1:H129" etc:filterBottomFollowUsedRange="0">
    <extLst/>
  </autoFilter>
  <sortState ref="A2:H136">
    <sortCondition ref="B2:B136"/>
  </sortState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workbookViewId="0">
      <selection activeCell="L21" sqref="L21"/>
    </sheetView>
  </sheetViews>
  <sheetFormatPr defaultColWidth="9" defaultRowHeight="14.25" outlineLevelCol="7"/>
  <cols>
    <col min="2" max="5" width="9" style="4"/>
    <col min="6" max="6" width="81.5" customWidth="1"/>
    <col min="7" max="7" width="9" style="4"/>
    <col min="8" max="8" width="9.5" style="4" customWidth="1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ht="15" spans="1:8">
      <c r="A2" s="18">
        <v>985.239</v>
      </c>
      <c r="B2" s="12">
        <v>0</v>
      </c>
      <c r="C2" s="12" t="s">
        <v>224</v>
      </c>
      <c r="D2" s="28" t="s">
        <v>451</v>
      </c>
      <c r="E2" s="19" t="s">
        <v>1166</v>
      </c>
      <c r="F2" s="21" t="s">
        <v>1182</v>
      </c>
      <c r="G2" s="19">
        <v>1</v>
      </c>
      <c r="H2" s="12">
        <v>20240807</v>
      </c>
    </row>
    <row r="3" ht="15" spans="1:8">
      <c r="A3" s="18">
        <v>985.239</v>
      </c>
      <c r="B3" s="12">
        <v>0</v>
      </c>
      <c r="C3" s="12" t="s">
        <v>224</v>
      </c>
      <c r="D3" s="28" t="s">
        <v>451</v>
      </c>
      <c r="E3" s="19" t="s">
        <v>467</v>
      </c>
      <c r="F3" s="21" t="s">
        <v>1183</v>
      </c>
      <c r="G3" s="19">
        <v>1</v>
      </c>
      <c r="H3" s="12">
        <v>20240807</v>
      </c>
    </row>
    <row r="4" ht="15" spans="1:8">
      <c r="A4" s="18">
        <v>985.239</v>
      </c>
      <c r="B4" s="22">
        <v>1</v>
      </c>
      <c r="C4" s="23" t="s">
        <v>88</v>
      </c>
      <c r="D4" s="23" t="s">
        <v>18</v>
      </c>
      <c r="E4" s="23" t="s">
        <v>314</v>
      </c>
      <c r="F4" s="31" t="s">
        <v>1184</v>
      </c>
      <c r="G4" s="22">
        <v>1</v>
      </c>
      <c r="H4" s="12">
        <v>20240807</v>
      </c>
    </row>
    <row r="5" ht="15" spans="1:8">
      <c r="A5" s="18">
        <v>985.241</v>
      </c>
      <c r="B5" s="19">
        <v>1</v>
      </c>
      <c r="C5" s="26" t="s">
        <v>1029</v>
      </c>
      <c r="D5" s="19" t="s">
        <v>1185</v>
      </c>
      <c r="E5" s="17" t="s">
        <v>1030</v>
      </c>
      <c r="F5" s="21" t="s">
        <v>1186</v>
      </c>
      <c r="G5" s="19">
        <v>1</v>
      </c>
      <c r="H5" s="12">
        <v>20240807</v>
      </c>
    </row>
    <row r="6" ht="15" spans="1:8">
      <c r="A6" s="18">
        <v>985.24</v>
      </c>
      <c r="B6" s="19">
        <v>1</v>
      </c>
      <c r="C6" s="19" t="s">
        <v>996</v>
      </c>
      <c r="D6" s="19" t="s">
        <v>228</v>
      </c>
      <c r="E6" s="19" t="s">
        <v>997</v>
      </c>
      <c r="F6" s="21" t="s">
        <v>998</v>
      </c>
      <c r="G6" s="19">
        <v>1</v>
      </c>
      <c r="H6" s="12">
        <v>20240807</v>
      </c>
    </row>
    <row r="7" ht="15" spans="1:8">
      <c r="A7" s="18">
        <v>985.2307</v>
      </c>
      <c r="B7" s="12">
        <v>2</v>
      </c>
      <c r="C7" s="12" t="s">
        <v>129</v>
      </c>
      <c r="D7" s="19" t="s">
        <v>228</v>
      </c>
      <c r="E7" s="20" t="s">
        <v>33</v>
      </c>
      <c r="F7" s="21" t="s">
        <v>1187</v>
      </c>
      <c r="G7" s="19">
        <v>1</v>
      </c>
      <c r="H7" s="12">
        <v>20240807</v>
      </c>
    </row>
    <row r="8" ht="25.5" spans="1:8">
      <c r="A8" s="18">
        <v>985.2251</v>
      </c>
      <c r="B8" s="19">
        <v>3</v>
      </c>
      <c r="C8" s="19" t="s">
        <v>996</v>
      </c>
      <c r="D8" s="19" t="s">
        <v>1188</v>
      </c>
      <c r="E8" s="19" t="s">
        <v>997</v>
      </c>
      <c r="F8" s="21" t="s">
        <v>1189</v>
      </c>
      <c r="G8" s="19">
        <v>1</v>
      </c>
      <c r="H8" s="12">
        <v>20240807</v>
      </c>
    </row>
    <row r="9" ht="15" spans="1:8">
      <c r="A9" s="18">
        <v>985.2011</v>
      </c>
      <c r="B9" s="22">
        <v>6</v>
      </c>
      <c r="C9" s="23" t="s">
        <v>88</v>
      </c>
      <c r="D9" s="23" t="s">
        <v>18</v>
      </c>
      <c r="E9" s="23" t="s">
        <v>256</v>
      </c>
      <c r="F9" s="31" t="s">
        <v>1190</v>
      </c>
      <c r="G9" s="22">
        <v>1</v>
      </c>
      <c r="H9" s="12">
        <v>20240807</v>
      </c>
    </row>
    <row r="10" ht="15" spans="1:8">
      <c r="A10" s="18">
        <v>985.1924</v>
      </c>
      <c r="B10" s="12">
        <v>7</v>
      </c>
      <c r="C10" s="12" t="s">
        <v>129</v>
      </c>
      <c r="D10" s="19" t="s">
        <v>228</v>
      </c>
      <c r="E10" s="20" t="s">
        <v>15</v>
      </c>
      <c r="F10" s="21" t="s">
        <v>797</v>
      </c>
      <c r="G10" s="19">
        <v>1</v>
      </c>
      <c r="H10" s="12">
        <v>20240807</v>
      </c>
    </row>
    <row r="11" ht="15" spans="1:8">
      <c r="A11" s="18">
        <v>985.1744</v>
      </c>
      <c r="B11" s="12">
        <v>9</v>
      </c>
      <c r="C11" s="12" t="s">
        <v>129</v>
      </c>
      <c r="D11" s="19" t="s">
        <v>290</v>
      </c>
      <c r="E11" s="20" t="s">
        <v>33</v>
      </c>
      <c r="F11" s="21" t="s">
        <v>1191</v>
      </c>
      <c r="G11" s="19">
        <v>0</v>
      </c>
      <c r="H11" s="12">
        <v>20240807</v>
      </c>
    </row>
    <row r="12" ht="15" spans="1:8">
      <c r="A12" s="18">
        <v>985.1749</v>
      </c>
      <c r="B12" s="12">
        <v>9</v>
      </c>
      <c r="C12" s="12" t="s">
        <v>129</v>
      </c>
      <c r="D12" s="19" t="s">
        <v>290</v>
      </c>
      <c r="E12" s="20" t="s">
        <v>15</v>
      </c>
      <c r="F12" s="21" t="s">
        <v>1192</v>
      </c>
      <c r="G12" s="19">
        <v>1</v>
      </c>
      <c r="H12" s="12">
        <v>20240807</v>
      </c>
    </row>
    <row r="13" ht="15" spans="1:8">
      <c r="A13" s="18">
        <v>985.1655</v>
      </c>
      <c r="B13" s="12">
        <v>10</v>
      </c>
      <c r="C13" s="12" t="s">
        <v>129</v>
      </c>
      <c r="D13" s="19" t="s">
        <v>228</v>
      </c>
      <c r="E13" s="20" t="s">
        <v>33</v>
      </c>
      <c r="F13" s="21" t="s">
        <v>1193</v>
      </c>
      <c r="G13" s="19">
        <v>1</v>
      </c>
      <c r="H13" s="12">
        <v>20240807</v>
      </c>
    </row>
    <row r="14" ht="15" spans="1:8">
      <c r="A14" s="18">
        <v>985.17</v>
      </c>
      <c r="B14" s="12">
        <v>10</v>
      </c>
      <c r="C14" s="12" t="s">
        <v>129</v>
      </c>
      <c r="D14" s="19" t="s">
        <v>228</v>
      </c>
      <c r="E14" s="20" t="s">
        <v>15</v>
      </c>
      <c r="F14" s="109" t="s">
        <v>1194</v>
      </c>
      <c r="G14" s="19">
        <v>0</v>
      </c>
      <c r="H14" s="12">
        <v>20240807</v>
      </c>
    </row>
    <row r="15" ht="15" spans="1:8">
      <c r="A15" s="18">
        <v>985.1219</v>
      </c>
      <c r="B15" s="19">
        <v>15</v>
      </c>
      <c r="C15" s="26" t="s">
        <v>1029</v>
      </c>
      <c r="D15" s="19" t="s">
        <v>235</v>
      </c>
      <c r="E15" s="17" t="s">
        <v>1030</v>
      </c>
      <c r="F15" s="21" t="s">
        <v>1195</v>
      </c>
      <c r="G15" s="19">
        <v>1</v>
      </c>
      <c r="H15" s="12">
        <v>20240807</v>
      </c>
    </row>
    <row r="16" ht="15" spans="1:8">
      <c r="A16" s="18">
        <v>985.108</v>
      </c>
      <c r="B16" s="12">
        <v>17</v>
      </c>
      <c r="C16" s="12" t="s">
        <v>129</v>
      </c>
      <c r="D16" s="19" t="s">
        <v>231</v>
      </c>
      <c r="E16" s="20" t="s">
        <v>15</v>
      </c>
      <c r="F16" s="21" t="s">
        <v>1196</v>
      </c>
      <c r="G16" s="19">
        <v>1</v>
      </c>
      <c r="H16" s="12">
        <v>20240807</v>
      </c>
    </row>
    <row r="17" ht="15" spans="1:8">
      <c r="A17" s="18">
        <v>985.1048</v>
      </c>
      <c r="B17" s="12">
        <v>17</v>
      </c>
      <c r="C17" s="12" t="s">
        <v>129</v>
      </c>
      <c r="D17" s="20" t="s">
        <v>26</v>
      </c>
      <c r="E17" s="20" t="s">
        <v>15</v>
      </c>
      <c r="F17" s="21" t="s">
        <v>1197</v>
      </c>
      <c r="G17" s="19">
        <v>1</v>
      </c>
      <c r="H17" s="12">
        <v>20240807</v>
      </c>
    </row>
    <row r="18" ht="15" spans="1:8">
      <c r="A18" s="18">
        <v>985.1045</v>
      </c>
      <c r="B18" s="19">
        <v>17</v>
      </c>
      <c r="C18" s="26" t="s">
        <v>1029</v>
      </c>
      <c r="D18" s="19" t="s">
        <v>228</v>
      </c>
      <c r="E18" s="19" t="s">
        <v>1030</v>
      </c>
      <c r="F18" s="21" t="s">
        <v>1198</v>
      </c>
      <c r="G18" s="19">
        <v>1</v>
      </c>
      <c r="H18" s="12">
        <v>20240807</v>
      </c>
    </row>
    <row r="19" ht="15" spans="1:8">
      <c r="A19" s="18">
        <v>985.0989</v>
      </c>
      <c r="B19" s="12">
        <v>18</v>
      </c>
      <c r="C19" s="12" t="s">
        <v>129</v>
      </c>
      <c r="D19" s="19" t="s">
        <v>290</v>
      </c>
      <c r="E19" s="20" t="s">
        <v>33</v>
      </c>
      <c r="F19" s="21" t="s">
        <v>1199</v>
      </c>
      <c r="G19" s="19">
        <v>0</v>
      </c>
      <c r="H19" s="12">
        <v>20240807</v>
      </c>
    </row>
    <row r="20" ht="15" spans="1:8">
      <c r="A20" s="18">
        <v>985.0699</v>
      </c>
      <c r="B20" s="12">
        <v>21</v>
      </c>
      <c r="C20" s="12" t="s">
        <v>129</v>
      </c>
      <c r="D20" s="19" t="s">
        <v>235</v>
      </c>
      <c r="E20" s="20" t="s">
        <v>33</v>
      </c>
      <c r="F20" s="21" t="s">
        <v>1200</v>
      </c>
      <c r="G20" s="19">
        <v>0</v>
      </c>
      <c r="H20" s="12">
        <v>20240807</v>
      </c>
    </row>
    <row r="21" ht="15" spans="1:8">
      <c r="A21" s="18">
        <v>985.0739</v>
      </c>
      <c r="B21" s="12">
        <v>21</v>
      </c>
      <c r="C21" s="12" t="s">
        <v>129</v>
      </c>
      <c r="D21" s="19" t="s">
        <v>290</v>
      </c>
      <c r="E21" s="20" t="s">
        <v>15</v>
      </c>
      <c r="F21" s="21" t="s">
        <v>1201</v>
      </c>
      <c r="G21" s="19">
        <v>0</v>
      </c>
      <c r="H21" s="12">
        <v>20240807</v>
      </c>
    </row>
    <row r="22" ht="15" spans="1:8">
      <c r="A22" s="18">
        <v>985.0613</v>
      </c>
      <c r="B22" s="12">
        <v>22</v>
      </c>
      <c r="C22" s="12" t="s">
        <v>129</v>
      </c>
      <c r="D22" s="19" t="s">
        <v>228</v>
      </c>
      <c r="E22" s="20" t="s">
        <v>33</v>
      </c>
      <c r="F22" s="21" t="s">
        <v>1202</v>
      </c>
      <c r="G22" s="19">
        <v>1</v>
      </c>
      <c r="H22" s="12">
        <v>20240807</v>
      </c>
    </row>
    <row r="23" ht="15" spans="1:8">
      <c r="A23" s="18">
        <v>985.0673</v>
      </c>
      <c r="B23" s="12">
        <v>22</v>
      </c>
      <c r="C23" s="12" t="s">
        <v>129</v>
      </c>
      <c r="D23" s="19" t="s">
        <v>290</v>
      </c>
      <c r="E23" s="20" t="s">
        <v>15</v>
      </c>
      <c r="F23" s="21" t="s">
        <v>1203</v>
      </c>
      <c r="G23" s="19">
        <v>1</v>
      </c>
      <c r="H23" s="12">
        <v>20240807</v>
      </c>
    </row>
    <row r="24" ht="15" spans="1:8">
      <c r="A24" s="18">
        <v>985.0612</v>
      </c>
      <c r="B24" s="12">
        <v>23</v>
      </c>
      <c r="C24" s="28" t="s">
        <v>17</v>
      </c>
      <c r="D24" s="20" t="s">
        <v>18</v>
      </c>
      <c r="E24" s="20" t="s">
        <v>19</v>
      </c>
      <c r="F24" s="21" t="s">
        <v>1204</v>
      </c>
      <c r="G24" s="19">
        <v>1</v>
      </c>
      <c r="H24" s="12">
        <v>20240807</v>
      </c>
    </row>
    <row r="25" ht="15" spans="1:8">
      <c r="A25" s="18">
        <v>985.0459</v>
      </c>
      <c r="B25" s="12">
        <v>24</v>
      </c>
      <c r="C25" s="28" t="s">
        <v>17</v>
      </c>
      <c r="D25" s="20" t="s">
        <v>18</v>
      </c>
      <c r="E25" s="20" t="s">
        <v>1205</v>
      </c>
      <c r="F25" s="21" t="s">
        <v>1206</v>
      </c>
      <c r="G25" s="19">
        <v>1</v>
      </c>
      <c r="H25" s="12">
        <v>20240807</v>
      </c>
    </row>
    <row r="26" ht="15" spans="1:8">
      <c r="A26" s="18">
        <v>985.0439</v>
      </c>
      <c r="B26" s="12">
        <v>24</v>
      </c>
      <c r="C26" s="12" t="s">
        <v>129</v>
      </c>
      <c r="D26" s="19" t="s">
        <v>290</v>
      </c>
      <c r="E26" s="20" t="s">
        <v>33</v>
      </c>
      <c r="F26" s="21" t="s">
        <v>1207</v>
      </c>
      <c r="G26" s="19">
        <v>1</v>
      </c>
      <c r="H26" s="12">
        <v>20240807</v>
      </c>
    </row>
    <row r="27" ht="15" spans="1:8">
      <c r="A27" s="18">
        <v>985.0439</v>
      </c>
      <c r="B27" s="19">
        <v>24</v>
      </c>
      <c r="C27" s="26" t="s">
        <v>1029</v>
      </c>
      <c r="D27" s="19" t="s">
        <v>228</v>
      </c>
      <c r="E27" s="19" t="s">
        <v>1030</v>
      </c>
      <c r="F27" s="21" t="s">
        <v>1208</v>
      </c>
      <c r="G27" s="19">
        <v>1</v>
      </c>
      <c r="H27" s="12">
        <v>20240807</v>
      </c>
    </row>
    <row r="28" ht="15" spans="1:8">
      <c r="A28" s="18">
        <v>985.0178</v>
      </c>
      <c r="B28" s="19">
        <v>27</v>
      </c>
      <c r="C28" s="26" t="s">
        <v>1029</v>
      </c>
      <c r="D28" s="19" t="s">
        <v>228</v>
      </c>
      <c r="E28" s="19" t="s">
        <v>1030</v>
      </c>
      <c r="F28" s="21" t="s">
        <v>1209</v>
      </c>
      <c r="G28" s="19">
        <v>1</v>
      </c>
      <c r="H28" s="12">
        <v>20240807</v>
      </c>
    </row>
    <row r="29" ht="15" spans="1:8">
      <c r="A29" s="18">
        <v>985.0203</v>
      </c>
      <c r="B29" s="110">
        <v>27</v>
      </c>
      <c r="C29" s="25" t="s">
        <v>268</v>
      </c>
      <c r="D29" s="25" t="s">
        <v>269</v>
      </c>
      <c r="E29" s="20" t="s">
        <v>1205</v>
      </c>
      <c r="F29" s="118" t="s">
        <v>1210</v>
      </c>
      <c r="G29" s="122">
        <v>1</v>
      </c>
      <c r="H29" s="12">
        <v>20240807</v>
      </c>
    </row>
    <row r="30" ht="15" spans="1:8">
      <c r="A30" s="18">
        <v>985.009</v>
      </c>
      <c r="B30" s="12">
        <v>28</v>
      </c>
      <c r="C30" s="12" t="s">
        <v>129</v>
      </c>
      <c r="D30" s="19" t="s">
        <v>290</v>
      </c>
      <c r="E30" s="20" t="s">
        <v>33</v>
      </c>
      <c r="F30" s="21" t="s">
        <v>1211</v>
      </c>
      <c r="G30" s="19">
        <v>0</v>
      </c>
      <c r="H30" s="12">
        <v>20240807</v>
      </c>
    </row>
    <row r="31" ht="15" spans="1:8">
      <c r="A31" s="18">
        <v>985.009</v>
      </c>
      <c r="B31" s="19">
        <v>28</v>
      </c>
      <c r="C31" s="26" t="s">
        <v>1029</v>
      </c>
      <c r="D31" s="19" t="s">
        <v>235</v>
      </c>
      <c r="E31" s="17" t="s">
        <v>1030</v>
      </c>
      <c r="F31" s="21" t="s">
        <v>1212</v>
      </c>
      <c r="G31" s="19">
        <v>1</v>
      </c>
      <c r="H31" s="12">
        <v>20240807</v>
      </c>
    </row>
    <row r="32" ht="15" spans="1:8">
      <c r="A32" s="18">
        <v>985.0074</v>
      </c>
      <c r="B32" s="110">
        <v>29</v>
      </c>
      <c r="C32" s="25" t="s">
        <v>268</v>
      </c>
      <c r="D32" s="25" t="s">
        <v>269</v>
      </c>
      <c r="E32" s="20" t="s">
        <v>1205</v>
      </c>
      <c r="F32" s="118" t="s">
        <v>1213</v>
      </c>
      <c r="G32" s="122">
        <v>1</v>
      </c>
      <c r="H32" s="12">
        <v>20240807</v>
      </c>
    </row>
    <row r="33" ht="25.5" spans="1:8">
      <c r="A33" s="18">
        <v>984.983</v>
      </c>
      <c r="B33" s="12">
        <v>31</v>
      </c>
      <c r="C33" s="12" t="s">
        <v>129</v>
      </c>
      <c r="D33" s="19" t="s">
        <v>290</v>
      </c>
      <c r="E33" s="20" t="s">
        <v>1102</v>
      </c>
      <c r="F33" s="21" t="s">
        <v>1214</v>
      </c>
      <c r="G33" s="19">
        <v>1</v>
      </c>
      <c r="H33" s="12">
        <v>20240807</v>
      </c>
    </row>
    <row r="34" ht="15" spans="1:8">
      <c r="A34" s="18">
        <v>984.9675</v>
      </c>
      <c r="B34" s="12">
        <v>33</v>
      </c>
      <c r="C34" s="12" t="s">
        <v>129</v>
      </c>
      <c r="D34" s="19" t="s">
        <v>290</v>
      </c>
      <c r="E34" s="20" t="s">
        <v>33</v>
      </c>
      <c r="F34" s="21" t="s">
        <v>1215</v>
      </c>
      <c r="G34" s="19">
        <v>0</v>
      </c>
      <c r="H34" s="12">
        <v>20240807</v>
      </c>
    </row>
    <row r="35" ht="15" spans="1:8">
      <c r="A35" s="18">
        <v>984.9637</v>
      </c>
      <c r="B35" s="22">
        <v>34</v>
      </c>
      <c r="C35" s="23" t="s">
        <v>17</v>
      </c>
      <c r="D35" s="23" t="s">
        <v>18</v>
      </c>
      <c r="E35" s="23" t="s">
        <v>292</v>
      </c>
      <c r="F35" s="24" t="s">
        <v>1216</v>
      </c>
      <c r="G35" s="22">
        <v>1</v>
      </c>
      <c r="H35" s="12">
        <v>20240807</v>
      </c>
    </row>
    <row r="36" ht="15" spans="1:8">
      <c r="A36" s="18">
        <v>984.9136</v>
      </c>
      <c r="B36" s="12">
        <v>39</v>
      </c>
      <c r="C36" s="12" t="s">
        <v>129</v>
      </c>
      <c r="D36" s="19" t="s">
        <v>290</v>
      </c>
      <c r="E36" s="20" t="s">
        <v>33</v>
      </c>
      <c r="F36" s="21" t="s">
        <v>1217</v>
      </c>
      <c r="G36" s="19">
        <v>0</v>
      </c>
      <c r="H36" s="12">
        <v>20240807</v>
      </c>
    </row>
    <row r="37" ht="40.5" spans="1:8">
      <c r="A37" s="18">
        <v>984.9037</v>
      </c>
      <c r="B37" s="70">
        <v>40</v>
      </c>
      <c r="C37" s="29" t="s">
        <v>820</v>
      </c>
      <c r="D37" s="64" t="s">
        <v>177</v>
      </c>
      <c r="E37" s="64" t="s">
        <v>29</v>
      </c>
      <c r="F37" s="118" t="s">
        <v>914</v>
      </c>
      <c r="G37" s="122">
        <v>1</v>
      </c>
      <c r="H37" s="12">
        <v>20240807</v>
      </c>
    </row>
    <row r="38" ht="15" spans="1:8">
      <c r="A38" s="18">
        <v>984.9087</v>
      </c>
      <c r="B38" s="111">
        <v>40</v>
      </c>
      <c r="C38" s="25" t="s">
        <v>247</v>
      </c>
      <c r="D38" s="25" t="s">
        <v>242</v>
      </c>
      <c r="E38" s="25" t="s">
        <v>248</v>
      </c>
      <c r="F38" s="118" t="s">
        <v>1218</v>
      </c>
      <c r="G38" s="122">
        <v>1</v>
      </c>
      <c r="H38" s="12">
        <v>20240807</v>
      </c>
    </row>
    <row r="39" ht="40.5" spans="1:8">
      <c r="A39" s="18">
        <v>984.8951</v>
      </c>
      <c r="B39" s="70">
        <v>41</v>
      </c>
      <c r="C39" s="29" t="s">
        <v>820</v>
      </c>
      <c r="D39" s="64" t="s">
        <v>177</v>
      </c>
      <c r="E39" s="64" t="s">
        <v>29</v>
      </c>
      <c r="F39" s="118" t="s">
        <v>914</v>
      </c>
      <c r="G39" s="122">
        <v>1</v>
      </c>
      <c r="H39" s="12">
        <v>20240807</v>
      </c>
    </row>
    <row r="40" ht="15" spans="1:8">
      <c r="A40" s="18">
        <v>984.8846</v>
      </c>
      <c r="B40" s="12">
        <v>43</v>
      </c>
      <c r="C40" s="12" t="s">
        <v>129</v>
      </c>
      <c r="D40" s="19" t="s">
        <v>290</v>
      </c>
      <c r="E40" s="20" t="s">
        <v>33</v>
      </c>
      <c r="F40" s="21" t="s">
        <v>1219</v>
      </c>
      <c r="G40" s="19">
        <v>0</v>
      </c>
      <c r="H40" s="12">
        <v>20240807</v>
      </c>
    </row>
    <row r="41" ht="15" spans="1:8">
      <c r="A41" s="18">
        <v>984.8776</v>
      </c>
      <c r="B41" s="110">
        <v>43</v>
      </c>
      <c r="C41" s="25" t="s">
        <v>268</v>
      </c>
      <c r="D41" s="25" t="s">
        <v>269</v>
      </c>
      <c r="E41" s="20" t="s">
        <v>1205</v>
      </c>
      <c r="F41" s="118" t="s">
        <v>1220</v>
      </c>
      <c r="G41" s="122">
        <v>1</v>
      </c>
      <c r="H41" s="12">
        <v>20240807</v>
      </c>
    </row>
    <row r="42" ht="15" spans="1:8">
      <c r="A42" s="18">
        <v>984.8512</v>
      </c>
      <c r="B42" s="34">
        <v>46</v>
      </c>
      <c r="C42" s="19" t="s">
        <v>996</v>
      </c>
      <c r="D42" s="32" t="s">
        <v>49</v>
      </c>
      <c r="E42" s="32" t="s">
        <v>41</v>
      </c>
      <c r="F42" s="33" t="s">
        <v>1221</v>
      </c>
      <c r="G42" s="34">
        <v>1</v>
      </c>
      <c r="H42" s="12">
        <v>20240807</v>
      </c>
    </row>
    <row r="43" ht="15" spans="1:8">
      <c r="A43" s="18">
        <v>984.8466</v>
      </c>
      <c r="B43" s="4">
        <v>47</v>
      </c>
      <c r="C43" s="28" t="s">
        <v>17</v>
      </c>
      <c r="D43" s="20" t="s">
        <v>18</v>
      </c>
      <c r="E43" s="20" t="s">
        <v>1205</v>
      </c>
      <c r="F43" s="21" t="s">
        <v>1222</v>
      </c>
      <c r="G43" s="19">
        <v>1</v>
      </c>
      <c r="H43" s="12">
        <v>20240807</v>
      </c>
    </row>
    <row r="44" ht="40.5" spans="1:8">
      <c r="A44" s="18">
        <v>984.8506</v>
      </c>
      <c r="B44" s="70">
        <v>47</v>
      </c>
      <c r="C44" s="29" t="s">
        <v>820</v>
      </c>
      <c r="D44" s="64" t="s">
        <v>177</v>
      </c>
      <c r="E44" s="64" t="s">
        <v>29</v>
      </c>
      <c r="F44" s="118" t="s">
        <v>1223</v>
      </c>
      <c r="G44" s="122">
        <v>1</v>
      </c>
      <c r="H44" s="12">
        <v>20240807</v>
      </c>
    </row>
    <row r="45" ht="40.5" spans="1:8">
      <c r="A45" s="18">
        <v>984.8426</v>
      </c>
      <c r="B45" s="70">
        <v>47</v>
      </c>
      <c r="C45" s="29" t="s">
        <v>820</v>
      </c>
      <c r="D45" s="64" t="s">
        <v>177</v>
      </c>
      <c r="E45" s="64" t="s">
        <v>29</v>
      </c>
      <c r="F45" s="118" t="s">
        <v>914</v>
      </c>
      <c r="G45" s="122">
        <v>1</v>
      </c>
      <c r="H45" s="12">
        <v>20240807</v>
      </c>
    </row>
    <row r="46" ht="15" spans="1:8">
      <c r="A46" s="18">
        <v>984.8286</v>
      </c>
      <c r="B46" s="19">
        <v>49</v>
      </c>
      <c r="C46" s="26" t="s">
        <v>1029</v>
      </c>
      <c r="D46" s="25" t="s">
        <v>1224</v>
      </c>
      <c r="E46" s="19" t="s">
        <v>1030</v>
      </c>
      <c r="F46" s="21" t="s">
        <v>1225</v>
      </c>
      <c r="G46" s="19">
        <v>1</v>
      </c>
      <c r="H46" s="12">
        <v>20240807</v>
      </c>
    </row>
    <row r="47" ht="40.5" spans="1:8">
      <c r="A47" s="18">
        <v>984.823</v>
      </c>
      <c r="B47" s="70">
        <v>50</v>
      </c>
      <c r="C47" s="29" t="s">
        <v>820</v>
      </c>
      <c r="D47" s="64" t="s">
        <v>177</v>
      </c>
      <c r="E47" s="64" t="s">
        <v>29</v>
      </c>
      <c r="F47" s="118" t="s">
        <v>963</v>
      </c>
      <c r="G47" s="122">
        <v>1</v>
      </c>
      <c r="H47" s="12">
        <v>20240807</v>
      </c>
    </row>
    <row r="48" ht="15" spans="1:8">
      <c r="A48" s="18">
        <v>984.8157</v>
      </c>
      <c r="B48" s="19">
        <v>51</v>
      </c>
      <c r="C48" s="26" t="s">
        <v>1029</v>
      </c>
      <c r="D48" s="19" t="s">
        <v>235</v>
      </c>
      <c r="E48" s="17" t="s">
        <v>1030</v>
      </c>
      <c r="F48" s="21" t="s">
        <v>1226</v>
      </c>
      <c r="G48" s="19">
        <v>1</v>
      </c>
      <c r="H48" s="12">
        <v>20240807</v>
      </c>
    </row>
    <row r="49" ht="15" spans="1:8">
      <c r="A49" s="18">
        <v>984.8147</v>
      </c>
      <c r="B49" s="19">
        <v>51</v>
      </c>
      <c r="C49" s="26" t="s">
        <v>1029</v>
      </c>
      <c r="D49" s="19" t="s">
        <v>228</v>
      </c>
      <c r="E49" s="19" t="s">
        <v>1030</v>
      </c>
      <c r="F49" s="21" t="s">
        <v>1227</v>
      </c>
      <c r="G49" s="19">
        <v>1</v>
      </c>
      <c r="H49" s="12">
        <v>20240807</v>
      </c>
    </row>
    <row r="50" ht="27" spans="1:8">
      <c r="A50" s="18">
        <v>985.239</v>
      </c>
      <c r="B50" s="15" t="s">
        <v>94</v>
      </c>
      <c r="C50" s="22" t="s">
        <v>170</v>
      </c>
      <c r="D50" s="22" t="s">
        <v>170</v>
      </c>
      <c r="E50" s="22" t="s">
        <v>172</v>
      </c>
      <c r="F50" s="31" t="s">
        <v>222</v>
      </c>
      <c r="G50" s="22">
        <v>1</v>
      </c>
      <c r="H50" s="12">
        <v>20240807</v>
      </c>
    </row>
    <row r="51" ht="27" spans="1:8">
      <c r="A51" s="18">
        <v>985.157</v>
      </c>
      <c r="B51" s="15" t="s">
        <v>99</v>
      </c>
      <c r="C51" s="22" t="s">
        <v>170</v>
      </c>
      <c r="D51" s="22" t="s">
        <v>170</v>
      </c>
      <c r="E51" s="22" t="s">
        <v>172</v>
      </c>
      <c r="F51" s="31" t="s">
        <v>222</v>
      </c>
      <c r="G51" s="22">
        <v>1</v>
      </c>
      <c r="H51" s="12">
        <v>20240807</v>
      </c>
    </row>
    <row r="52" ht="27" spans="1:8">
      <c r="A52" s="18">
        <v>985.07</v>
      </c>
      <c r="B52" s="15" t="s">
        <v>100</v>
      </c>
      <c r="C52" s="22" t="s">
        <v>170</v>
      </c>
      <c r="D52" s="22" t="s">
        <v>170</v>
      </c>
      <c r="E52" s="22" t="s">
        <v>172</v>
      </c>
      <c r="F52" s="31" t="s">
        <v>222</v>
      </c>
      <c r="G52" s="22">
        <v>1</v>
      </c>
      <c r="H52" s="12">
        <v>20240807</v>
      </c>
    </row>
    <row r="53" ht="27" spans="1:8">
      <c r="A53" s="18">
        <v>984.983</v>
      </c>
      <c r="B53" s="15" t="s">
        <v>101</v>
      </c>
      <c r="C53" s="22" t="s">
        <v>170</v>
      </c>
      <c r="D53" s="22" t="s">
        <v>170</v>
      </c>
      <c r="E53" s="22" t="s">
        <v>172</v>
      </c>
      <c r="F53" s="31" t="s">
        <v>222</v>
      </c>
      <c r="G53" s="22">
        <v>1</v>
      </c>
      <c r="H53" s="12">
        <v>20240807</v>
      </c>
    </row>
    <row r="54" ht="27" spans="1:8">
      <c r="A54" s="18">
        <v>984.895</v>
      </c>
      <c r="B54" s="15" t="s">
        <v>1228</v>
      </c>
      <c r="C54" s="22" t="s">
        <v>170</v>
      </c>
      <c r="D54" s="22" t="s">
        <v>170</v>
      </c>
      <c r="E54" s="22" t="s">
        <v>172</v>
      </c>
      <c r="F54" s="31" t="s">
        <v>222</v>
      </c>
      <c r="G54" s="22">
        <v>1</v>
      </c>
      <c r="H54" s="12">
        <v>20240807</v>
      </c>
    </row>
    <row r="55" ht="15" spans="1:8">
      <c r="B55" s="23" t="s">
        <v>92</v>
      </c>
      <c r="C55" s="23" t="s">
        <v>219</v>
      </c>
      <c r="D55" s="23" t="s">
        <v>219</v>
      </c>
      <c r="E55" s="23" t="s">
        <v>91</v>
      </c>
      <c r="F55" s="24" t="s">
        <v>1229</v>
      </c>
      <c r="G55" s="22">
        <v>0</v>
      </c>
      <c r="H55" s="12">
        <v>20240807</v>
      </c>
    </row>
  </sheetData>
  <autoFilter xmlns:etc="http://www.wps.cn/officeDocument/2017/etCustomData" ref="A1:H55" etc:filterBottomFollowUsedRange="0">
    <extLst/>
  </autoFilter>
  <sortState ref="A2:H60">
    <sortCondition ref="B2:B60"/>
  </sortState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92"/>
  <sheetViews>
    <sheetView workbookViewId="0">
      <selection activeCell="J16" sqref="J16"/>
    </sheetView>
  </sheetViews>
  <sheetFormatPr defaultColWidth="9" defaultRowHeight="14.25" outlineLevelCol="7"/>
  <cols>
    <col min="2" max="5" width="9" style="4"/>
    <col min="6" max="6" width="76" style="74" customWidth="1"/>
    <col min="7" max="7" width="9" style="4"/>
    <col min="8" max="8" width="9.5" customWidth="1"/>
  </cols>
  <sheetData>
    <row r="1" ht="27" spans="1:8">
      <c r="A1" s="14" t="s">
        <v>112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ht="15" spans="1:8">
      <c r="A2" s="40">
        <v>985.43</v>
      </c>
      <c r="B2" s="41">
        <v>0</v>
      </c>
      <c r="C2" s="41" t="s">
        <v>1230</v>
      </c>
      <c r="D2" s="41" t="s">
        <v>1231</v>
      </c>
      <c r="E2" s="47" t="s">
        <v>1232</v>
      </c>
      <c r="F2" s="75" t="s">
        <v>1233</v>
      </c>
      <c r="G2" s="47">
        <v>1</v>
      </c>
      <c r="H2" s="12">
        <v>20250731</v>
      </c>
    </row>
    <row r="3" ht="15" spans="1:8">
      <c r="A3" s="40">
        <v>985.43</v>
      </c>
      <c r="B3" s="41">
        <v>0</v>
      </c>
      <c r="C3" s="41" t="s">
        <v>1234</v>
      </c>
      <c r="D3" s="41" t="s">
        <v>1235</v>
      </c>
      <c r="E3" s="47" t="s">
        <v>1236</v>
      </c>
      <c r="F3" s="75" t="s">
        <v>1237</v>
      </c>
      <c r="G3" s="47">
        <v>1</v>
      </c>
      <c r="H3" s="12">
        <v>20250731</v>
      </c>
    </row>
    <row r="4" ht="15" spans="1:8">
      <c r="A4" s="40">
        <v>985.946</v>
      </c>
      <c r="B4" s="41">
        <v>0</v>
      </c>
      <c r="C4" s="41" t="s">
        <v>1234</v>
      </c>
      <c r="D4" s="41" t="s">
        <v>1238</v>
      </c>
      <c r="E4" s="47" t="s">
        <v>1239</v>
      </c>
      <c r="F4" s="75" t="s">
        <v>1240</v>
      </c>
      <c r="G4" s="47">
        <v>1</v>
      </c>
      <c r="H4" s="12">
        <v>20250731</v>
      </c>
    </row>
    <row r="5" ht="15" spans="1:8">
      <c r="A5" s="40">
        <v>985.43</v>
      </c>
      <c r="B5" s="80">
        <v>0</v>
      </c>
      <c r="C5" s="153" t="s">
        <v>321</v>
      </c>
      <c r="D5" s="80" t="s">
        <v>322</v>
      </c>
      <c r="E5" s="80" t="s">
        <v>875</v>
      </c>
      <c r="F5" s="81" t="s">
        <v>1241</v>
      </c>
      <c r="G5" s="80">
        <v>1</v>
      </c>
      <c r="H5" s="12">
        <v>20250731</v>
      </c>
    </row>
    <row r="6" ht="15" spans="1:8">
      <c r="A6" s="40">
        <v>985.43</v>
      </c>
      <c r="B6" s="41">
        <v>1</v>
      </c>
      <c r="C6" s="41" t="s">
        <v>1242</v>
      </c>
      <c r="D6" s="47" t="s">
        <v>1243</v>
      </c>
      <c r="E6" s="47" t="s">
        <v>1244</v>
      </c>
      <c r="F6" s="75" t="s">
        <v>1245</v>
      </c>
      <c r="G6" s="47">
        <v>0</v>
      </c>
      <c r="H6" s="12">
        <v>20250731</v>
      </c>
    </row>
    <row r="7" ht="15" spans="1:8">
      <c r="A7" s="40">
        <v>985.434</v>
      </c>
      <c r="B7" s="41">
        <v>1</v>
      </c>
      <c r="C7" s="41" t="s">
        <v>1242</v>
      </c>
      <c r="D7" s="47" t="s">
        <v>1246</v>
      </c>
      <c r="E7" s="47" t="s">
        <v>1247</v>
      </c>
      <c r="F7" s="75" t="s">
        <v>1248</v>
      </c>
      <c r="G7" s="47">
        <v>1</v>
      </c>
      <c r="H7" s="12">
        <v>20250731</v>
      </c>
    </row>
    <row r="8" ht="15" spans="1:8">
      <c r="A8" s="40">
        <v>985.436</v>
      </c>
      <c r="B8" s="41">
        <v>1</v>
      </c>
      <c r="C8" s="41" t="s">
        <v>1242</v>
      </c>
      <c r="D8" s="47" t="s">
        <v>1246</v>
      </c>
      <c r="E8" s="47" t="s">
        <v>1247</v>
      </c>
      <c r="F8" s="75" t="s">
        <v>1249</v>
      </c>
      <c r="G8" s="47">
        <v>1</v>
      </c>
      <c r="H8" s="12">
        <v>20250731</v>
      </c>
    </row>
    <row r="9" ht="15" spans="1:8">
      <c r="A9" s="40">
        <v>985.432</v>
      </c>
      <c r="B9" s="47">
        <v>1</v>
      </c>
      <c r="C9" s="47" t="s">
        <v>1250</v>
      </c>
      <c r="D9" s="47" t="s">
        <v>1243</v>
      </c>
      <c r="E9" s="47" t="s">
        <v>1239</v>
      </c>
      <c r="F9" s="75" t="s">
        <v>1251</v>
      </c>
      <c r="G9" s="47">
        <v>1</v>
      </c>
      <c r="H9" s="12">
        <v>20250731</v>
      </c>
    </row>
    <row r="10" ht="15" spans="1:8">
      <c r="A10" s="40">
        <v>985.435</v>
      </c>
      <c r="B10" s="80">
        <v>1</v>
      </c>
      <c r="C10" s="80" t="s">
        <v>247</v>
      </c>
      <c r="D10" s="80" t="s">
        <v>242</v>
      </c>
      <c r="E10" s="80" t="s">
        <v>248</v>
      </c>
      <c r="F10" s="154" t="s">
        <v>1252</v>
      </c>
      <c r="G10" s="41">
        <v>1</v>
      </c>
      <c r="H10" s="12">
        <v>20250731</v>
      </c>
    </row>
    <row r="11" ht="15" spans="1:8">
      <c r="A11" s="40">
        <v>985.43</v>
      </c>
      <c r="B11" s="44">
        <v>1</v>
      </c>
      <c r="C11" s="44" t="s">
        <v>1253</v>
      </c>
      <c r="D11" s="44" t="s">
        <v>1253</v>
      </c>
      <c r="E11" s="44" t="s">
        <v>1254</v>
      </c>
      <c r="F11" s="62" t="s">
        <v>1255</v>
      </c>
      <c r="G11" s="44">
        <v>1</v>
      </c>
      <c r="H11" s="12">
        <v>20250731</v>
      </c>
    </row>
    <row r="12" ht="15" spans="1:8">
      <c r="A12" s="40">
        <v>985.436</v>
      </c>
      <c r="B12" s="44">
        <v>1</v>
      </c>
      <c r="C12" s="44" t="s">
        <v>1253</v>
      </c>
      <c r="D12" s="44" t="s">
        <v>1253</v>
      </c>
      <c r="E12" s="44" t="s">
        <v>1256</v>
      </c>
      <c r="F12" s="62" t="s">
        <v>1257</v>
      </c>
      <c r="G12" s="44">
        <v>1</v>
      </c>
      <c r="H12" s="12">
        <v>20250731</v>
      </c>
    </row>
    <row r="13" ht="15" spans="1:8">
      <c r="A13" s="40">
        <v>985.43</v>
      </c>
      <c r="B13" s="44">
        <v>1</v>
      </c>
      <c r="C13" s="44" t="s">
        <v>1258</v>
      </c>
      <c r="D13" s="44" t="s">
        <v>1259</v>
      </c>
      <c r="E13" s="54" t="s">
        <v>1260</v>
      </c>
      <c r="F13" s="62" t="s">
        <v>1261</v>
      </c>
      <c r="G13" s="44">
        <v>1</v>
      </c>
      <c r="H13" s="12">
        <v>20250731</v>
      </c>
    </row>
    <row r="14" ht="15" spans="1:8">
      <c r="A14" s="40">
        <v>985.432</v>
      </c>
      <c r="B14" s="55">
        <v>1</v>
      </c>
      <c r="C14" s="55" t="s">
        <v>1262</v>
      </c>
      <c r="D14" s="55" t="s">
        <v>1263</v>
      </c>
      <c r="E14" s="55" t="s">
        <v>1264</v>
      </c>
      <c r="F14" s="155" t="s">
        <v>1265</v>
      </c>
      <c r="G14" s="41">
        <v>1</v>
      </c>
      <c r="H14" s="12">
        <v>20250731</v>
      </c>
    </row>
    <row r="15" ht="15" spans="1:8">
      <c r="A15" s="40">
        <v>985.4383</v>
      </c>
      <c r="B15" s="44">
        <v>2</v>
      </c>
      <c r="C15" s="44" t="s">
        <v>1253</v>
      </c>
      <c r="D15" s="44" t="s">
        <v>1253</v>
      </c>
      <c r="E15" s="44" t="s">
        <v>1256</v>
      </c>
      <c r="F15" s="62" t="s">
        <v>1266</v>
      </c>
      <c r="G15" s="44">
        <v>1</v>
      </c>
      <c r="H15" s="12">
        <v>20250731</v>
      </c>
    </row>
    <row r="16" ht="15" spans="1:8">
      <c r="A16" s="40">
        <v>985.4434</v>
      </c>
      <c r="B16" s="44">
        <v>3</v>
      </c>
      <c r="C16" s="44" t="s">
        <v>1253</v>
      </c>
      <c r="D16" s="44" t="s">
        <v>1253</v>
      </c>
      <c r="E16" s="44" t="s">
        <v>1256</v>
      </c>
      <c r="F16" s="62" t="s">
        <v>1267</v>
      </c>
      <c r="G16" s="44">
        <v>1</v>
      </c>
      <c r="H16" s="12">
        <v>20250731</v>
      </c>
    </row>
    <row r="17" ht="15" customHeight="1" spans="1:8">
      <c r="A17" s="40">
        <v>985.4434</v>
      </c>
      <c r="B17" s="44">
        <v>3</v>
      </c>
      <c r="C17" s="44" t="s">
        <v>1253</v>
      </c>
      <c r="D17" s="44" t="s">
        <v>1253</v>
      </c>
      <c r="E17" s="44" t="s">
        <v>1268</v>
      </c>
      <c r="F17" s="62" t="s">
        <v>1269</v>
      </c>
      <c r="G17" s="44">
        <v>1</v>
      </c>
      <c r="H17" s="12">
        <v>20250731</v>
      </c>
    </row>
    <row r="18" ht="15" spans="1:8">
      <c r="A18" s="40">
        <v>985.4496</v>
      </c>
      <c r="B18" s="41">
        <v>4</v>
      </c>
      <c r="C18" s="41" t="s">
        <v>1242</v>
      </c>
      <c r="D18" s="47" t="s">
        <v>1270</v>
      </c>
      <c r="E18" s="47" t="s">
        <v>1271</v>
      </c>
      <c r="F18" s="75" t="s">
        <v>1272</v>
      </c>
      <c r="G18" s="47">
        <v>0</v>
      </c>
      <c r="H18" s="12">
        <v>20250731</v>
      </c>
    </row>
    <row r="19" ht="15" spans="1:8">
      <c r="A19" s="40">
        <v>985.4556</v>
      </c>
      <c r="B19" s="41">
        <v>4</v>
      </c>
      <c r="C19" s="41" t="s">
        <v>1273</v>
      </c>
      <c r="D19" s="47" t="s">
        <v>1274</v>
      </c>
      <c r="E19" s="47" t="s">
        <v>1275</v>
      </c>
      <c r="F19" s="75" t="s">
        <v>1276</v>
      </c>
      <c r="G19" s="47">
        <v>1</v>
      </c>
      <c r="H19" s="12">
        <v>20250731</v>
      </c>
    </row>
    <row r="20" ht="15" spans="1:8">
      <c r="A20" s="40">
        <v>985.4606</v>
      </c>
      <c r="B20" s="41">
        <v>5</v>
      </c>
      <c r="C20" s="41" t="s">
        <v>1273</v>
      </c>
      <c r="D20" s="47" t="s">
        <v>1274</v>
      </c>
      <c r="E20" s="47" t="s">
        <v>1275</v>
      </c>
      <c r="F20" s="75" t="s">
        <v>1277</v>
      </c>
      <c r="G20" s="47">
        <v>1</v>
      </c>
      <c r="H20" s="12">
        <v>20250731</v>
      </c>
    </row>
    <row r="21" ht="15" spans="1:8">
      <c r="A21" s="40">
        <v>985.4576</v>
      </c>
      <c r="B21" s="47">
        <v>5</v>
      </c>
      <c r="C21" s="78" t="s">
        <v>1029</v>
      </c>
      <c r="D21" s="47" t="s">
        <v>1243</v>
      </c>
      <c r="E21" s="47" t="s">
        <v>1278</v>
      </c>
      <c r="F21" s="75" t="s">
        <v>1279</v>
      </c>
      <c r="G21" s="47">
        <v>1</v>
      </c>
      <c r="H21" s="12">
        <v>20250731</v>
      </c>
    </row>
    <row r="22" ht="15" spans="1:8">
      <c r="A22" s="40">
        <v>985.4664</v>
      </c>
      <c r="B22" s="41">
        <v>6</v>
      </c>
      <c r="C22" s="41" t="s">
        <v>1242</v>
      </c>
      <c r="D22" s="47" t="s">
        <v>1270</v>
      </c>
      <c r="E22" s="47" t="s">
        <v>1280</v>
      </c>
      <c r="F22" s="75" t="s">
        <v>1281</v>
      </c>
      <c r="G22" s="47">
        <v>0</v>
      </c>
      <c r="H22" s="12">
        <v>20250731</v>
      </c>
    </row>
    <row r="23" ht="15" spans="1:8">
      <c r="A23" s="40">
        <v>985.4664</v>
      </c>
      <c r="B23" s="47">
        <v>6</v>
      </c>
      <c r="C23" s="78" t="s">
        <v>1029</v>
      </c>
      <c r="D23" s="47" t="s">
        <v>1243</v>
      </c>
      <c r="E23" s="47" t="s">
        <v>1278</v>
      </c>
      <c r="F23" s="75" t="s">
        <v>1282</v>
      </c>
      <c r="G23" s="47">
        <v>1</v>
      </c>
      <c r="H23" s="12">
        <v>20250731</v>
      </c>
    </row>
    <row r="24" ht="15" spans="1:8">
      <c r="A24" s="40">
        <v>985.4753</v>
      </c>
      <c r="B24" s="41">
        <v>7</v>
      </c>
      <c r="C24" s="41" t="s">
        <v>1242</v>
      </c>
      <c r="D24" s="47" t="s">
        <v>1270</v>
      </c>
      <c r="E24" s="47" t="s">
        <v>1271</v>
      </c>
      <c r="F24" s="75" t="s">
        <v>1283</v>
      </c>
      <c r="G24" s="47">
        <v>0</v>
      </c>
      <c r="H24" s="12">
        <v>20250731</v>
      </c>
    </row>
    <row r="25" ht="15" spans="1:8">
      <c r="A25" s="40">
        <v>985.4793</v>
      </c>
      <c r="B25" s="44">
        <v>7</v>
      </c>
      <c r="C25" s="44" t="s">
        <v>1258</v>
      </c>
      <c r="D25" s="44" t="s">
        <v>1259</v>
      </c>
      <c r="E25" s="44" t="s">
        <v>1284</v>
      </c>
      <c r="F25" s="62" t="s">
        <v>1285</v>
      </c>
      <c r="G25" s="44">
        <v>1</v>
      </c>
      <c r="H25" s="12">
        <v>20250731</v>
      </c>
    </row>
    <row r="26" ht="15" spans="1:8">
      <c r="A26" s="40">
        <v>985.4842</v>
      </c>
      <c r="B26" s="47">
        <v>8</v>
      </c>
      <c r="C26" s="78" t="s">
        <v>1029</v>
      </c>
      <c r="D26" s="47" t="s">
        <v>1286</v>
      </c>
      <c r="E26" s="54" t="s">
        <v>1278</v>
      </c>
      <c r="F26" s="75" t="s">
        <v>1287</v>
      </c>
      <c r="G26" s="47">
        <v>1</v>
      </c>
      <c r="H26" s="12">
        <v>20250731</v>
      </c>
    </row>
    <row r="27" ht="15" spans="1:8">
      <c r="A27" s="40">
        <v>985.5107</v>
      </c>
      <c r="B27" s="41">
        <v>10</v>
      </c>
      <c r="C27" s="41" t="s">
        <v>1242</v>
      </c>
      <c r="D27" s="47" t="s">
        <v>1286</v>
      </c>
      <c r="E27" s="47" t="s">
        <v>1247</v>
      </c>
      <c r="F27" s="75" t="s">
        <v>1288</v>
      </c>
      <c r="G27" s="47">
        <v>0</v>
      </c>
      <c r="H27" s="12">
        <v>20250731</v>
      </c>
    </row>
    <row r="28" ht="15" spans="1:8">
      <c r="A28" s="40">
        <v>985.5017</v>
      </c>
      <c r="B28" s="47">
        <v>10</v>
      </c>
      <c r="C28" s="78" t="s">
        <v>1029</v>
      </c>
      <c r="D28" s="47" t="s">
        <v>1286</v>
      </c>
      <c r="E28" s="54" t="s">
        <v>1278</v>
      </c>
      <c r="F28" s="75" t="s">
        <v>1289</v>
      </c>
      <c r="G28" s="47">
        <v>1</v>
      </c>
      <c r="H28" s="12">
        <v>20250731</v>
      </c>
    </row>
    <row r="29" ht="15" spans="1:8">
      <c r="A29" s="40">
        <v>985.5097</v>
      </c>
      <c r="B29" s="55">
        <v>10</v>
      </c>
      <c r="C29" s="156" t="s">
        <v>1290</v>
      </c>
      <c r="D29" s="55" t="s">
        <v>1291</v>
      </c>
      <c r="E29" s="55" t="s">
        <v>1292</v>
      </c>
      <c r="F29" s="157" t="s">
        <v>1293</v>
      </c>
      <c r="G29" s="41">
        <v>1</v>
      </c>
      <c r="H29" s="12">
        <v>20250731</v>
      </c>
    </row>
    <row r="30" ht="15" spans="1:8">
      <c r="A30" s="40">
        <v>985.5193</v>
      </c>
      <c r="B30" s="47">
        <v>12</v>
      </c>
      <c r="C30" s="78" t="s">
        <v>1029</v>
      </c>
      <c r="D30" s="47" t="s">
        <v>1286</v>
      </c>
      <c r="E30" s="54" t="s">
        <v>1278</v>
      </c>
      <c r="F30" s="75" t="s">
        <v>1294</v>
      </c>
      <c r="G30" s="47">
        <v>1</v>
      </c>
      <c r="H30" s="12">
        <v>20250731</v>
      </c>
    </row>
    <row r="31" ht="15" spans="1:8">
      <c r="A31" s="40">
        <v>985.5291</v>
      </c>
      <c r="B31" s="44">
        <v>13</v>
      </c>
      <c r="C31" s="44" t="s">
        <v>1253</v>
      </c>
      <c r="D31" s="44" t="s">
        <v>1253</v>
      </c>
      <c r="E31" s="44" t="s">
        <v>1295</v>
      </c>
      <c r="F31" s="62" t="s">
        <v>1296</v>
      </c>
      <c r="G31" s="44">
        <v>1</v>
      </c>
      <c r="H31" s="12">
        <v>20250731</v>
      </c>
    </row>
    <row r="32" ht="15" spans="1:8">
      <c r="A32" s="40">
        <v>985.5457</v>
      </c>
      <c r="B32" s="41">
        <v>15</v>
      </c>
      <c r="C32" s="41" t="s">
        <v>1242</v>
      </c>
      <c r="D32" s="47" t="s">
        <v>1270</v>
      </c>
      <c r="E32" s="47" t="s">
        <v>1247</v>
      </c>
      <c r="F32" s="75" t="s">
        <v>1297</v>
      </c>
      <c r="G32" s="47">
        <v>0</v>
      </c>
      <c r="H32" s="12">
        <v>20250731</v>
      </c>
    </row>
    <row r="33" ht="15" spans="1:8">
      <c r="A33" s="40">
        <v>985.5457</v>
      </c>
      <c r="B33" s="47">
        <v>15</v>
      </c>
      <c r="C33" s="78" t="s">
        <v>1029</v>
      </c>
      <c r="D33" s="47" t="s">
        <v>1243</v>
      </c>
      <c r="E33" s="47" t="s">
        <v>1278</v>
      </c>
      <c r="F33" s="75" t="s">
        <v>1298</v>
      </c>
      <c r="G33" s="47">
        <v>1</v>
      </c>
      <c r="H33" s="12">
        <v>20250731</v>
      </c>
    </row>
    <row r="34" ht="15" spans="1:8">
      <c r="A34" s="40">
        <v>985.5457</v>
      </c>
      <c r="B34" s="47">
        <v>15</v>
      </c>
      <c r="C34" s="78" t="s">
        <v>1029</v>
      </c>
      <c r="D34" s="47" t="s">
        <v>1286</v>
      </c>
      <c r="E34" s="54" t="s">
        <v>1278</v>
      </c>
      <c r="F34" s="75" t="s">
        <v>1299</v>
      </c>
      <c r="G34" s="47">
        <v>1</v>
      </c>
      <c r="H34" s="12">
        <v>20250731</v>
      </c>
    </row>
    <row r="35" ht="15" spans="1:8">
      <c r="A35" s="40">
        <v>985.5545</v>
      </c>
      <c r="B35" s="41">
        <v>16</v>
      </c>
      <c r="C35" s="41" t="s">
        <v>1242</v>
      </c>
      <c r="D35" s="47" t="s">
        <v>1270</v>
      </c>
      <c r="E35" s="47" t="s">
        <v>1247</v>
      </c>
      <c r="F35" s="75" t="s">
        <v>1300</v>
      </c>
      <c r="G35" s="47">
        <v>1</v>
      </c>
      <c r="H35" s="12">
        <v>20250731</v>
      </c>
    </row>
    <row r="36" ht="15" spans="1:8">
      <c r="A36" s="40">
        <v>985.572</v>
      </c>
      <c r="B36" s="47">
        <v>18</v>
      </c>
      <c r="C36" s="78" t="s">
        <v>1029</v>
      </c>
      <c r="D36" s="47" t="s">
        <v>1286</v>
      </c>
      <c r="E36" s="54" t="s">
        <v>1278</v>
      </c>
      <c r="F36" s="75" t="s">
        <v>1301</v>
      </c>
      <c r="G36" s="47">
        <v>1</v>
      </c>
      <c r="H36" s="12">
        <v>20250731</v>
      </c>
    </row>
    <row r="37" ht="15" spans="1:8">
      <c r="A37" s="40">
        <v>985.581</v>
      </c>
      <c r="B37" s="80">
        <v>19</v>
      </c>
      <c r="C37" s="80" t="s">
        <v>268</v>
      </c>
      <c r="D37" s="80" t="s">
        <v>269</v>
      </c>
      <c r="E37" s="80" t="s">
        <v>365</v>
      </c>
      <c r="F37" s="154" t="s">
        <v>1302</v>
      </c>
      <c r="G37" s="41">
        <v>1</v>
      </c>
      <c r="H37" s="12">
        <v>20250731</v>
      </c>
    </row>
    <row r="38" ht="15" spans="1:8">
      <c r="A38" s="40">
        <v>985.5833</v>
      </c>
      <c r="B38" s="80">
        <v>19</v>
      </c>
      <c r="C38" s="80" t="s">
        <v>268</v>
      </c>
      <c r="D38" s="80" t="s">
        <v>269</v>
      </c>
      <c r="E38" s="80" t="s">
        <v>1303</v>
      </c>
      <c r="F38" s="154" t="s">
        <v>1210</v>
      </c>
      <c r="G38" s="41">
        <v>1</v>
      </c>
      <c r="H38" s="12">
        <v>20250731</v>
      </c>
    </row>
    <row r="39" ht="15" spans="1:8">
      <c r="A39" s="40">
        <v>985.5998</v>
      </c>
      <c r="B39" s="44">
        <v>21</v>
      </c>
      <c r="C39" s="44" t="s">
        <v>1253</v>
      </c>
      <c r="D39" s="44" t="s">
        <v>1253</v>
      </c>
      <c r="E39" s="44" t="s">
        <v>1295</v>
      </c>
      <c r="F39" s="62" t="s">
        <v>1304</v>
      </c>
      <c r="G39" s="44">
        <v>1</v>
      </c>
      <c r="H39" s="12">
        <v>20250731</v>
      </c>
    </row>
    <row r="40" ht="15" spans="1:8">
      <c r="A40" s="40">
        <v>985.6117</v>
      </c>
      <c r="B40" s="41">
        <v>22</v>
      </c>
      <c r="C40" s="41" t="s">
        <v>1242</v>
      </c>
      <c r="D40" s="47" t="s">
        <v>1286</v>
      </c>
      <c r="E40" s="47" t="s">
        <v>1271</v>
      </c>
      <c r="F40" s="75" t="s">
        <v>1305</v>
      </c>
      <c r="G40" s="47">
        <v>0</v>
      </c>
      <c r="H40" s="12">
        <v>20250731</v>
      </c>
    </row>
    <row r="41" ht="15" spans="1:8">
      <c r="A41" s="40">
        <v>985.6067</v>
      </c>
      <c r="B41" s="47">
        <v>22</v>
      </c>
      <c r="C41" s="78" t="s">
        <v>1029</v>
      </c>
      <c r="D41" s="47" t="s">
        <v>1243</v>
      </c>
      <c r="E41" s="47" t="s">
        <v>1278</v>
      </c>
      <c r="F41" s="75" t="s">
        <v>1282</v>
      </c>
      <c r="G41" s="47">
        <v>1</v>
      </c>
      <c r="H41" s="12">
        <v>20250731</v>
      </c>
    </row>
    <row r="42" ht="15" spans="1:8">
      <c r="A42" s="40">
        <v>985.6156</v>
      </c>
      <c r="B42" s="47">
        <v>23</v>
      </c>
      <c r="C42" s="78" t="s">
        <v>1029</v>
      </c>
      <c r="D42" s="47" t="s">
        <v>1243</v>
      </c>
      <c r="E42" s="47" t="s">
        <v>1278</v>
      </c>
      <c r="F42" s="75" t="s">
        <v>1282</v>
      </c>
      <c r="G42" s="47">
        <v>1</v>
      </c>
      <c r="H42" s="12">
        <v>20250731</v>
      </c>
    </row>
    <row r="43" ht="15" spans="1:8">
      <c r="A43" s="40">
        <v>985.6156</v>
      </c>
      <c r="B43" s="44">
        <v>23</v>
      </c>
      <c r="C43" s="44" t="s">
        <v>1253</v>
      </c>
      <c r="D43" s="44" t="s">
        <v>1253</v>
      </c>
      <c r="E43" s="44" t="s">
        <v>1295</v>
      </c>
      <c r="F43" s="62" t="s">
        <v>1306</v>
      </c>
      <c r="G43" s="44">
        <v>1</v>
      </c>
      <c r="H43" s="12">
        <v>20250731</v>
      </c>
    </row>
    <row r="44" ht="15" spans="1:8">
      <c r="A44" s="40">
        <v>985.6196</v>
      </c>
      <c r="B44" s="44">
        <v>23</v>
      </c>
      <c r="C44" s="44" t="s">
        <v>1253</v>
      </c>
      <c r="D44" s="44" t="s">
        <v>1253</v>
      </c>
      <c r="E44" s="44" t="s">
        <v>1295</v>
      </c>
      <c r="F44" s="62" t="s">
        <v>1307</v>
      </c>
      <c r="G44" s="44">
        <v>1</v>
      </c>
      <c r="H44" s="12">
        <v>20250731</v>
      </c>
    </row>
    <row r="45" ht="15" spans="1:8">
      <c r="A45" s="40">
        <v>985.6332</v>
      </c>
      <c r="B45" s="41">
        <v>25</v>
      </c>
      <c r="C45" s="41" t="s">
        <v>1242</v>
      </c>
      <c r="D45" s="47" t="s">
        <v>1270</v>
      </c>
      <c r="E45" s="47" t="s">
        <v>1271</v>
      </c>
      <c r="F45" s="75" t="s">
        <v>1308</v>
      </c>
      <c r="G45" s="47">
        <v>0</v>
      </c>
      <c r="H45" s="12">
        <v>20250731</v>
      </c>
    </row>
    <row r="46" ht="15" spans="1:8">
      <c r="A46" s="40">
        <v>985.6402</v>
      </c>
      <c r="B46" s="44">
        <v>25</v>
      </c>
      <c r="C46" s="44" t="s">
        <v>1253</v>
      </c>
      <c r="D46" s="44" t="s">
        <v>1253</v>
      </c>
      <c r="E46" s="44" t="s">
        <v>1295</v>
      </c>
      <c r="F46" s="62" t="s">
        <v>1309</v>
      </c>
      <c r="G46" s="44">
        <v>1</v>
      </c>
      <c r="H46" s="12">
        <v>20250731</v>
      </c>
    </row>
    <row r="47" ht="15" spans="1:8">
      <c r="A47" s="40">
        <v>985.6421</v>
      </c>
      <c r="B47" s="47">
        <v>26</v>
      </c>
      <c r="C47" s="78" t="s">
        <v>1029</v>
      </c>
      <c r="D47" s="47" t="s">
        <v>1243</v>
      </c>
      <c r="E47" s="47" t="s">
        <v>1278</v>
      </c>
      <c r="F47" s="75" t="s">
        <v>1310</v>
      </c>
      <c r="G47" s="47">
        <v>1</v>
      </c>
      <c r="H47" s="12">
        <v>20250731</v>
      </c>
    </row>
    <row r="48" ht="15" spans="1:8">
      <c r="A48" s="40">
        <v>985.6648</v>
      </c>
      <c r="B48" s="41">
        <v>28</v>
      </c>
      <c r="C48" s="41" t="s">
        <v>1242</v>
      </c>
      <c r="D48" s="47" t="s">
        <v>1243</v>
      </c>
      <c r="E48" s="47" t="s">
        <v>1247</v>
      </c>
      <c r="F48" s="75" t="s">
        <v>1311</v>
      </c>
      <c r="G48" s="47">
        <v>0</v>
      </c>
      <c r="H48" s="12">
        <v>20250731</v>
      </c>
    </row>
    <row r="49" ht="15" spans="1:8">
      <c r="A49" s="40">
        <v>985.6598</v>
      </c>
      <c r="B49" s="41">
        <v>28</v>
      </c>
      <c r="C49" s="41" t="s">
        <v>1242</v>
      </c>
      <c r="D49" s="47" t="s">
        <v>1270</v>
      </c>
      <c r="E49" s="47" t="s">
        <v>1271</v>
      </c>
      <c r="F49" s="75" t="s">
        <v>1312</v>
      </c>
      <c r="G49" s="47">
        <v>1</v>
      </c>
      <c r="H49" s="12">
        <v>20250731</v>
      </c>
    </row>
    <row r="50" ht="15" spans="1:8">
      <c r="A50" s="40">
        <v>985.6911</v>
      </c>
      <c r="B50" s="44">
        <v>31</v>
      </c>
      <c r="C50" s="44" t="s">
        <v>1253</v>
      </c>
      <c r="D50" s="44" t="s">
        <v>1253</v>
      </c>
      <c r="E50" s="44" t="s">
        <v>1295</v>
      </c>
      <c r="F50" s="62" t="s">
        <v>1309</v>
      </c>
      <c r="G50" s="44">
        <v>1</v>
      </c>
      <c r="H50" s="12">
        <v>20250731</v>
      </c>
    </row>
    <row r="51" ht="15" spans="1:8">
      <c r="A51" s="40">
        <v>985.6927</v>
      </c>
      <c r="B51" s="41">
        <v>32</v>
      </c>
      <c r="C51" s="41" t="s">
        <v>1242</v>
      </c>
      <c r="D51" s="47" t="s">
        <v>1270</v>
      </c>
      <c r="E51" s="47" t="s">
        <v>1271</v>
      </c>
      <c r="F51" s="75" t="s">
        <v>1313</v>
      </c>
      <c r="G51" s="47">
        <v>1</v>
      </c>
      <c r="H51" s="12">
        <v>20250731</v>
      </c>
    </row>
    <row r="52" ht="15" spans="1:8">
      <c r="A52" s="40">
        <v>985.6927</v>
      </c>
      <c r="B52" s="47">
        <v>32</v>
      </c>
      <c r="C52" s="78" t="s">
        <v>1029</v>
      </c>
      <c r="D52" s="47" t="s">
        <v>1270</v>
      </c>
      <c r="E52" s="47" t="s">
        <v>1278</v>
      </c>
      <c r="F52" s="75" t="s">
        <v>1314</v>
      </c>
      <c r="G52" s="47">
        <v>1</v>
      </c>
      <c r="H52" s="12">
        <v>20250731</v>
      </c>
    </row>
    <row r="53" ht="15" spans="1:8">
      <c r="A53" s="40">
        <v>985.7016</v>
      </c>
      <c r="B53" s="41">
        <v>33</v>
      </c>
      <c r="C53" s="41" t="s">
        <v>1242</v>
      </c>
      <c r="D53" s="47" t="s">
        <v>1270</v>
      </c>
      <c r="E53" s="47" t="s">
        <v>1280</v>
      </c>
      <c r="F53" s="75" t="s">
        <v>1315</v>
      </c>
      <c r="G53" s="47">
        <v>0</v>
      </c>
      <c r="H53" s="12">
        <v>20250731</v>
      </c>
    </row>
    <row r="54" ht="15" spans="1:8">
      <c r="A54" s="40">
        <v>985.7016</v>
      </c>
      <c r="B54" s="47">
        <v>33</v>
      </c>
      <c r="C54" s="78" t="s">
        <v>1029</v>
      </c>
      <c r="D54" s="47" t="s">
        <v>1243</v>
      </c>
      <c r="E54" s="47" t="s">
        <v>1278</v>
      </c>
      <c r="F54" s="75" t="s">
        <v>1316</v>
      </c>
      <c r="G54" s="47">
        <v>1</v>
      </c>
      <c r="H54" s="12">
        <v>20250731</v>
      </c>
    </row>
    <row r="55" ht="15" spans="1:8">
      <c r="A55" s="40">
        <v>985.7113</v>
      </c>
      <c r="B55" s="44">
        <v>34</v>
      </c>
      <c r="C55" s="44" t="s">
        <v>1253</v>
      </c>
      <c r="D55" s="44" t="s">
        <v>1253</v>
      </c>
      <c r="E55" s="44" t="s">
        <v>1295</v>
      </c>
      <c r="F55" s="62" t="s">
        <v>1317</v>
      </c>
      <c r="G55" s="44">
        <v>1</v>
      </c>
      <c r="H55" s="12">
        <v>20250731</v>
      </c>
    </row>
    <row r="56" ht="15" spans="1:8">
      <c r="A56" s="40">
        <v>985.7193</v>
      </c>
      <c r="B56" s="41">
        <v>35</v>
      </c>
      <c r="C56" s="41" t="s">
        <v>1242</v>
      </c>
      <c r="D56" s="47" t="s">
        <v>1270</v>
      </c>
      <c r="E56" s="47" t="s">
        <v>1271</v>
      </c>
      <c r="F56" s="75" t="s">
        <v>1318</v>
      </c>
      <c r="G56" s="47">
        <v>0</v>
      </c>
      <c r="H56" s="12">
        <v>20250731</v>
      </c>
    </row>
    <row r="57" ht="15" spans="1:8">
      <c r="A57" s="40">
        <v>985.7193</v>
      </c>
      <c r="B57" s="47">
        <v>35</v>
      </c>
      <c r="C57" s="78" t="s">
        <v>1029</v>
      </c>
      <c r="D57" s="47" t="s">
        <v>1243</v>
      </c>
      <c r="E57" s="47" t="s">
        <v>1278</v>
      </c>
      <c r="F57" s="75" t="s">
        <v>1319</v>
      </c>
      <c r="G57" s="47">
        <v>1</v>
      </c>
      <c r="H57" s="12">
        <v>20250731</v>
      </c>
    </row>
    <row r="58" ht="15" spans="1:8">
      <c r="A58" s="40">
        <v>985.7281</v>
      </c>
      <c r="B58" s="47">
        <v>36</v>
      </c>
      <c r="C58" s="78" t="s">
        <v>1029</v>
      </c>
      <c r="D58" s="47" t="s">
        <v>1243</v>
      </c>
      <c r="E58" s="47" t="s">
        <v>1278</v>
      </c>
      <c r="F58" s="158" t="s">
        <v>1320</v>
      </c>
      <c r="G58" s="47">
        <v>1</v>
      </c>
      <c r="H58" s="12">
        <v>20250731</v>
      </c>
    </row>
    <row r="59" ht="15" spans="1:8">
      <c r="A59" s="40">
        <v>985.7565</v>
      </c>
      <c r="B59" s="44">
        <v>39</v>
      </c>
      <c r="C59" s="44" t="s">
        <v>1253</v>
      </c>
      <c r="D59" s="44" t="s">
        <v>1253</v>
      </c>
      <c r="E59" s="44" t="s">
        <v>1295</v>
      </c>
      <c r="F59" s="62" t="s">
        <v>1321</v>
      </c>
      <c r="G59" s="44">
        <v>1</v>
      </c>
      <c r="H59" s="12">
        <v>20250731</v>
      </c>
    </row>
    <row r="60" ht="15" spans="1:8">
      <c r="A60" s="40">
        <v>985.7634</v>
      </c>
      <c r="B60" s="41">
        <v>40</v>
      </c>
      <c r="C60" s="41" t="s">
        <v>1242</v>
      </c>
      <c r="D60" s="47" t="s">
        <v>1286</v>
      </c>
      <c r="E60" s="47" t="s">
        <v>1271</v>
      </c>
      <c r="F60" s="75" t="s">
        <v>1322</v>
      </c>
      <c r="G60" s="47">
        <v>0</v>
      </c>
      <c r="H60" s="12">
        <v>20250731</v>
      </c>
    </row>
    <row r="61" ht="15" spans="1:8">
      <c r="A61" s="40">
        <v>985.7694</v>
      </c>
      <c r="B61" s="51">
        <v>40</v>
      </c>
      <c r="C61" s="80" t="s">
        <v>238</v>
      </c>
      <c r="D61" s="80" t="s">
        <v>242</v>
      </c>
      <c r="E61" s="80" t="s">
        <v>445</v>
      </c>
      <c r="F61" s="81" t="s">
        <v>1323</v>
      </c>
      <c r="G61" s="80">
        <v>1</v>
      </c>
      <c r="H61" s="12">
        <v>20250731</v>
      </c>
    </row>
    <row r="62" ht="15" spans="1:8">
      <c r="A62" s="40">
        <v>985.772</v>
      </c>
      <c r="B62" s="41">
        <v>41</v>
      </c>
      <c r="C62" s="41" t="s">
        <v>1242</v>
      </c>
      <c r="D62" s="47" t="s">
        <v>1270</v>
      </c>
      <c r="E62" s="47" t="s">
        <v>1271</v>
      </c>
      <c r="F62" s="75" t="s">
        <v>1324</v>
      </c>
      <c r="G62" s="47">
        <v>0</v>
      </c>
      <c r="H62" s="12">
        <v>20250731</v>
      </c>
    </row>
    <row r="63" ht="15" spans="1:8">
      <c r="A63" s="40">
        <v>985.772</v>
      </c>
      <c r="B63" s="47">
        <v>41</v>
      </c>
      <c r="C63" s="78" t="s">
        <v>1029</v>
      </c>
      <c r="D63" s="47" t="s">
        <v>1243</v>
      </c>
      <c r="E63" s="47" t="s">
        <v>1278</v>
      </c>
      <c r="F63" s="75" t="s">
        <v>1325</v>
      </c>
      <c r="G63" s="47">
        <v>1</v>
      </c>
      <c r="H63" s="12">
        <v>20250731</v>
      </c>
    </row>
    <row r="64" ht="15" spans="1:8">
      <c r="A64" s="40">
        <v>985.7808</v>
      </c>
      <c r="B64" s="41">
        <v>42</v>
      </c>
      <c r="C64" s="41" t="s">
        <v>1242</v>
      </c>
      <c r="D64" s="47" t="s">
        <v>1286</v>
      </c>
      <c r="E64" s="47" t="s">
        <v>1271</v>
      </c>
      <c r="F64" s="75" t="s">
        <v>1326</v>
      </c>
      <c r="G64" s="47">
        <v>0</v>
      </c>
      <c r="H64" s="12">
        <v>20250731</v>
      </c>
    </row>
    <row r="65" ht="15" spans="1:8">
      <c r="A65" s="40">
        <v>985.7957</v>
      </c>
      <c r="B65" s="44">
        <v>43</v>
      </c>
      <c r="C65" s="44" t="s">
        <v>1253</v>
      </c>
      <c r="D65" s="44" t="s">
        <v>1253</v>
      </c>
      <c r="E65" s="44" t="s">
        <v>1295</v>
      </c>
      <c r="F65" s="62" t="s">
        <v>1327</v>
      </c>
      <c r="G65" s="44">
        <v>1</v>
      </c>
      <c r="H65" s="12">
        <v>20250731</v>
      </c>
    </row>
    <row r="66" ht="15" spans="1:8">
      <c r="A66" s="40">
        <v>985.7985</v>
      </c>
      <c r="B66" s="41">
        <v>44</v>
      </c>
      <c r="C66" s="41" t="s">
        <v>1242</v>
      </c>
      <c r="D66" s="47" t="s">
        <v>1286</v>
      </c>
      <c r="E66" s="47" t="s">
        <v>1239</v>
      </c>
      <c r="F66" s="75" t="s">
        <v>1328</v>
      </c>
      <c r="G66" s="47">
        <v>1</v>
      </c>
      <c r="H66" s="12">
        <v>20250731</v>
      </c>
    </row>
    <row r="67" ht="15" spans="1:8">
      <c r="A67" s="40">
        <v>985.8073</v>
      </c>
      <c r="B67" s="41">
        <v>45</v>
      </c>
      <c r="C67" s="41" t="s">
        <v>1242</v>
      </c>
      <c r="D67" s="47" t="s">
        <v>1270</v>
      </c>
      <c r="E67" s="47" t="s">
        <v>1271</v>
      </c>
      <c r="F67" s="75" t="s">
        <v>1329</v>
      </c>
      <c r="G67" s="47">
        <v>0</v>
      </c>
      <c r="H67" s="12">
        <v>20250731</v>
      </c>
    </row>
    <row r="68" ht="15" spans="1:8">
      <c r="A68" s="40">
        <v>985.8162</v>
      </c>
      <c r="B68" s="41">
        <v>46</v>
      </c>
      <c r="C68" s="41" t="s">
        <v>1242</v>
      </c>
      <c r="D68" s="47" t="s">
        <v>1286</v>
      </c>
      <c r="E68" s="47" t="s">
        <v>1239</v>
      </c>
      <c r="F68" s="159" t="s">
        <v>1330</v>
      </c>
      <c r="G68" s="47">
        <v>1</v>
      </c>
      <c r="H68" s="12">
        <v>20250731</v>
      </c>
    </row>
    <row r="69" ht="15" spans="1:8">
      <c r="A69" s="40">
        <v>985.8162</v>
      </c>
      <c r="B69" s="41">
        <v>46</v>
      </c>
      <c r="C69" s="41" t="s">
        <v>1242</v>
      </c>
      <c r="D69" s="47" t="s">
        <v>1270</v>
      </c>
      <c r="E69" s="156" t="s">
        <v>1331</v>
      </c>
      <c r="F69" s="75" t="s">
        <v>1332</v>
      </c>
      <c r="G69" s="47">
        <v>0</v>
      </c>
      <c r="H69" s="12">
        <v>20250731</v>
      </c>
    </row>
    <row r="70" ht="15" spans="1:8">
      <c r="A70" s="40">
        <v>985.8301</v>
      </c>
      <c r="B70" s="80">
        <v>47</v>
      </c>
      <c r="C70" s="80" t="s">
        <v>268</v>
      </c>
      <c r="D70" s="80" t="s">
        <v>269</v>
      </c>
      <c r="E70" s="80" t="s">
        <v>1303</v>
      </c>
      <c r="F70" s="154" t="s">
        <v>1333</v>
      </c>
      <c r="G70" s="41">
        <v>1</v>
      </c>
      <c r="H70" s="12">
        <v>20250731</v>
      </c>
    </row>
    <row r="71" ht="15" spans="1:8">
      <c r="A71" s="40">
        <v>985.8352</v>
      </c>
      <c r="B71" s="44">
        <v>48</v>
      </c>
      <c r="C71" s="44" t="s">
        <v>1253</v>
      </c>
      <c r="D71" s="44" t="s">
        <v>1253</v>
      </c>
      <c r="E71" s="44" t="s">
        <v>1295</v>
      </c>
      <c r="F71" s="62" t="s">
        <v>1334</v>
      </c>
      <c r="G71" s="44">
        <v>1</v>
      </c>
      <c r="H71" s="12">
        <v>20250731</v>
      </c>
    </row>
    <row r="72" ht="15" spans="1:8">
      <c r="A72" s="40">
        <v>985.8426</v>
      </c>
      <c r="B72" s="41">
        <v>49</v>
      </c>
      <c r="C72" s="41" t="s">
        <v>1242</v>
      </c>
      <c r="D72" s="47" t="s">
        <v>1270</v>
      </c>
      <c r="E72" s="47" t="s">
        <v>1271</v>
      </c>
      <c r="F72" s="75" t="s">
        <v>1335</v>
      </c>
      <c r="G72" s="47">
        <v>0</v>
      </c>
      <c r="H72" s="12">
        <v>20250731</v>
      </c>
    </row>
    <row r="73" ht="15" spans="1:8">
      <c r="A73" s="40">
        <v>985.8426</v>
      </c>
      <c r="B73" s="47">
        <v>49</v>
      </c>
      <c r="C73" s="78" t="s">
        <v>1029</v>
      </c>
      <c r="D73" s="47" t="s">
        <v>1243</v>
      </c>
      <c r="E73" s="47" t="s">
        <v>1278</v>
      </c>
      <c r="F73" s="75" t="s">
        <v>1319</v>
      </c>
      <c r="G73" s="47">
        <v>1</v>
      </c>
      <c r="H73" s="12">
        <v>20250731</v>
      </c>
    </row>
    <row r="74" ht="40.5" spans="1:8">
      <c r="A74" s="40">
        <v>985.8515</v>
      </c>
      <c r="B74" s="41">
        <v>50</v>
      </c>
      <c r="C74" s="44" t="s">
        <v>1336</v>
      </c>
      <c r="D74" s="41" t="s">
        <v>1259</v>
      </c>
      <c r="E74" s="47" t="s">
        <v>1337</v>
      </c>
      <c r="F74" s="75" t="s">
        <v>1338</v>
      </c>
      <c r="G74" s="47">
        <v>1</v>
      </c>
      <c r="H74" s="12">
        <v>20250731</v>
      </c>
    </row>
    <row r="75" ht="15" spans="1:8">
      <c r="A75" s="40">
        <v>985.8555</v>
      </c>
      <c r="B75" s="44">
        <v>50</v>
      </c>
      <c r="C75" s="44" t="s">
        <v>1253</v>
      </c>
      <c r="D75" s="44" t="s">
        <v>1253</v>
      </c>
      <c r="E75" s="44" t="s">
        <v>1295</v>
      </c>
      <c r="F75" s="62" t="s">
        <v>1339</v>
      </c>
      <c r="G75" s="44">
        <v>1</v>
      </c>
      <c r="H75" s="12">
        <v>20250731</v>
      </c>
    </row>
    <row r="76" ht="15" spans="1:8">
      <c r="A76" s="40">
        <v>985.8603</v>
      </c>
      <c r="B76" s="41">
        <v>51</v>
      </c>
      <c r="C76" s="41" t="s">
        <v>1242</v>
      </c>
      <c r="D76" s="47" t="s">
        <v>1270</v>
      </c>
      <c r="E76" s="47" t="s">
        <v>1271</v>
      </c>
      <c r="F76" s="75" t="s">
        <v>1340</v>
      </c>
      <c r="G76" s="47">
        <v>0</v>
      </c>
      <c r="H76" s="12">
        <v>20250731</v>
      </c>
    </row>
    <row r="77" ht="15" spans="1:8">
      <c r="A77" s="40">
        <v>985.8603</v>
      </c>
      <c r="B77" s="41">
        <v>51</v>
      </c>
      <c r="C77" s="41" t="s">
        <v>1242</v>
      </c>
      <c r="D77" s="47" t="s">
        <v>1243</v>
      </c>
      <c r="E77" s="47" t="s">
        <v>1239</v>
      </c>
      <c r="F77" s="75" t="s">
        <v>1341</v>
      </c>
      <c r="G77" s="47">
        <v>1</v>
      </c>
      <c r="H77" s="12">
        <v>20250731</v>
      </c>
    </row>
    <row r="78" ht="15" spans="1:8">
      <c r="A78" s="40">
        <v>985.8799</v>
      </c>
      <c r="B78" s="44">
        <v>53</v>
      </c>
      <c r="C78" s="44" t="s">
        <v>1253</v>
      </c>
      <c r="D78" s="44" t="s">
        <v>1253</v>
      </c>
      <c r="E78" s="44" t="s">
        <v>1295</v>
      </c>
      <c r="F78" s="160" t="s">
        <v>1342</v>
      </c>
      <c r="G78" s="44">
        <v>1</v>
      </c>
      <c r="H78" s="12">
        <v>20250731</v>
      </c>
    </row>
    <row r="79" ht="15" spans="1:8">
      <c r="A79" s="40">
        <v>985.8868</v>
      </c>
      <c r="B79" s="41">
        <v>54</v>
      </c>
      <c r="C79" s="41" t="s">
        <v>1242</v>
      </c>
      <c r="D79" s="47" t="s">
        <v>1270</v>
      </c>
      <c r="E79" s="47" t="s">
        <v>1271</v>
      </c>
      <c r="F79" s="75" t="s">
        <v>1343</v>
      </c>
      <c r="G79" s="47">
        <v>0</v>
      </c>
      <c r="H79" s="12">
        <v>20250731</v>
      </c>
    </row>
    <row r="80" ht="15" spans="1:8">
      <c r="A80" s="40">
        <v>985.8898</v>
      </c>
      <c r="B80" s="44">
        <v>54</v>
      </c>
      <c r="C80" s="44" t="s">
        <v>1253</v>
      </c>
      <c r="D80" s="44" t="s">
        <v>1253</v>
      </c>
      <c r="E80" s="44" t="s">
        <v>1295</v>
      </c>
      <c r="F80" s="62" t="s">
        <v>1344</v>
      </c>
      <c r="G80" s="44">
        <v>1</v>
      </c>
      <c r="H80" s="12">
        <v>20250731</v>
      </c>
    </row>
    <row r="81" ht="15" spans="1:8">
      <c r="A81" s="40">
        <v>985.9</v>
      </c>
      <c r="B81" s="44">
        <v>55</v>
      </c>
      <c r="C81" s="44" t="s">
        <v>1253</v>
      </c>
      <c r="D81" s="44" t="s">
        <v>1253</v>
      </c>
      <c r="E81" s="44" t="s">
        <v>1295</v>
      </c>
      <c r="F81" s="62" t="s">
        <v>1345</v>
      </c>
      <c r="G81" s="44">
        <v>1</v>
      </c>
      <c r="H81" s="12">
        <v>20250731</v>
      </c>
    </row>
    <row r="82" ht="15" spans="1:8">
      <c r="A82" s="40">
        <v>985.9223</v>
      </c>
      <c r="B82" s="41">
        <v>58</v>
      </c>
      <c r="C82" s="41" t="s">
        <v>1242</v>
      </c>
      <c r="D82" s="47" t="s">
        <v>1243</v>
      </c>
      <c r="E82" s="47" t="s">
        <v>1239</v>
      </c>
      <c r="F82" s="75" t="s">
        <v>1346</v>
      </c>
      <c r="G82" s="47">
        <v>1</v>
      </c>
      <c r="H82" s="12">
        <v>20250731</v>
      </c>
    </row>
    <row r="83" ht="15" spans="1:8">
      <c r="A83" s="40">
        <v>985.9258</v>
      </c>
      <c r="B83" s="44">
        <v>58</v>
      </c>
      <c r="C83" s="44" t="s">
        <v>1253</v>
      </c>
      <c r="D83" s="44" t="s">
        <v>1253</v>
      </c>
      <c r="E83" s="44" t="s">
        <v>1295</v>
      </c>
      <c r="F83" s="62" t="s">
        <v>1347</v>
      </c>
      <c r="G83" s="44">
        <v>1</v>
      </c>
      <c r="H83" s="12">
        <v>20250731</v>
      </c>
    </row>
    <row r="84" ht="15" spans="1:8">
      <c r="A84" s="40">
        <v>985.9449</v>
      </c>
      <c r="B84" s="47">
        <v>60</v>
      </c>
      <c r="C84" s="47" t="s">
        <v>1250</v>
      </c>
      <c r="D84" s="47" t="s">
        <v>1243</v>
      </c>
      <c r="E84" s="47" t="s">
        <v>1239</v>
      </c>
      <c r="F84" s="75" t="s">
        <v>1348</v>
      </c>
      <c r="G84" s="47">
        <v>1</v>
      </c>
      <c r="H84" s="12">
        <v>20250731</v>
      </c>
    </row>
    <row r="85" ht="15" spans="1:8">
      <c r="A85" s="40">
        <v>985.9404</v>
      </c>
      <c r="B85" s="44">
        <v>60</v>
      </c>
      <c r="C85" s="44" t="s">
        <v>1253</v>
      </c>
      <c r="D85" s="44" t="s">
        <v>1253</v>
      </c>
      <c r="E85" s="44" t="s">
        <v>1295</v>
      </c>
      <c r="F85" s="62" t="s">
        <v>1334</v>
      </c>
      <c r="G85" s="44">
        <v>1</v>
      </c>
      <c r="H85" s="12">
        <v>20250731</v>
      </c>
    </row>
    <row r="86" ht="15" spans="1:8">
      <c r="A86" s="40">
        <v>985.9469</v>
      </c>
      <c r="B86" s="44">
        <v>60</v>
      </c>
      <c r="C86" s="44" t="s">
        <v>1253</v>
      </c>
      <c r="D86" s="44" t="s">
        <v>1253</v>
      </c>
      <c r="E86" s="44" t="s">
        <v>1254</v>
      </c>
      <c r="F86" s="62" t="s">
        <v>1349</v>
      </c>
      <c r="G86" s="44">
        <v>1</v>
      </c>
      <c r="H86" s="12">
        <v>20250731</v>
      </c>
    </row>
    <row r="87" ht="27" spans="1:8">
      <c r="A87" s="40">
        <v>985.43</v>
      </c>
      <c r="B87" s="41" t="s">
        <v>94</v>
      </c>
      <c r="C87" s="44" t="s">
        <v>1350</v>
      </c>
      <c r="D87" s="44" t="s">
        <v>1350</v>
      </c>
      <c r="E87" s="44" t="s">
        <v>1351</v>
      </c>
      <c r="F87" s="62" t="s">
        <v>1352</v>
      </c>
      <c r="G87" s="44">
        <v>1</v>
      </c>
      <c r="H87" s="12">
        <v>20250731</v>
      </c>
    </row>
    <row r="88" ht="27" spans="1:8">
      <c r="A88" s="40">
        <v>985.511</v>
      </c>
      <c r="B88" s="41" t="s">
        <v>99</v>
      </c>
      <c r="C88" s="44" t="s">
        <v>1350</v>
      </c>
      <c r="D88" s="44" t="s">
        <v>1350</v>
      </c>
      <c r="E88" s="44" t="s">
        <v>1351</v>
      </c>
      <c r="F88" s="62" t="s">
        <v>1352</v>
      </c>
      <c r="G88" s="44">
        <v>1</v>
      </c>
      <c r="H88" s="12">
        <v>20250731</v>
      </c>
    </row>
    <row r="89" ht="27" spans="1:8">
      <c r="A89" s="40">
        <v>985.598</v>
      </c>
      <c r="B89" s="41" t="s">
        <v>100</v>
      </c>
      <c r="C89" s="44" t="s">
        <v>1350</v>
      </c>
      <c r="D89" s="44" t="s">
        <v>1350</v>
      </c>
      <c r="E89" s="44" t="s">
        <v>1351</v>
      </c>
      <c r="F89" s="62" t="s">
        <v>1352</v>
      </c>
      <c r="G89" s="44">
        <v>1</v>
      </c>
      <c r="H89" s="12">
        <v>20250731</v>
      </c>
    </row>
    <row r="90" ht="27" spans="1:8">
      <c r="A90" s="40">
        <v>985.684</v>
      </c>
      <c r="B90" s="41" t="s">
        <v>101</v>
      </c>
      <c r="C90" s="44" t="s">
        <v>1350</v>
      </c>
      <c r="D90" s="44" t="s">
        <v>1350</v>
      </c>
      <c r="E90" s="44" t="s">
        <v>1351</v>
      </c>
      <c r="F90" s="62" t="s">
        <v>1352</v>
      </c>
      <c r="G90" s="44">
        <v>1</v>
      </c>
      <c r="H90" s="12">
        <v>20250731</v>
      </c>
    </row>
    <row r="91" ht="27" spans="1:8">
      <c r="A91" s="40">
        <v>985.772</v>
      </c>
      <c r="B91" s="41" t="s">
        <v>102</v>
      </c>
      <c r="C91" s="44" t="s">
        <v>1350</v>
      </c>
      <c r="D91" s="44" t="s">
        <v>1350</v>
      </c>
      <c r="E91" s="44" t="s">
        <v>1351</v>
      </c>
      <c r="F91" s="62" t="s">
        <v>1352</v>
      </c>
      <c r="G91" s="44">
        <v>1</v>
      </c>
      <c r="H91" s="12">
        <v>20250731</v>
      </c>
    </row>
    <row r="92" ht="27" spans="1:8">
      <c r="A92" s="40">
        <v>985.86</v>
      </c>
      <c r="B92" s="41" t="s">
        <v>103</v>
      </c>
      <c r="C92" s="44" t="s">
        <v>1350</v>
      </c>
      <c r="D92" s="44" t="s">
        <v>1350</v>
      </c>
      <c r="E92" s="44" t="s">
        <v>1351</v>
      </c>
      <c r="F92" s="62" t="s">
        <v>1352</v>
      </c>
      <c r="G92" s="44">
        <v>1</v>
      </c>
      <c r="H92" s="12">
        <v>20250731</v>
      </c>
    </row>
  </sheetData>
  <autoFilter xmlns:etc="http://www.wps.cn/officeDocument/2017/etCustomData" ref="A1:H92" etc:filterBottomFollowUsedRange="0">
    <extLst/>
  </autoFilter>
  <sortState ref="A2:H90">
    <sortCondition ref="B2:B90"/>
  </sortState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workbookViewId="0">
      <selection activeCell="L14" sqref="L14"/>
    </sheetView>
  </sheetViews>
  <sheetFormatPr defaultColWidth="9" defaultRowHeight="15" outlineLevelCol="7"/>
  <cols>
    <col min="2" max="2" width="9.125" style="12" customWidth="1"/>
    <col min="3" max="5" width="9" style="4"/>
    <col min="6" max="6" width="75.875" customWidth="1"/>
    <col min="7" max="7" width="9.125" style="12" customWidth="1"/>
    <col min="8" max="8" width="9.5" style="4" customWidth="1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spans="1:8">
      <c r="A2" s="18">
        <v>985.42</v>
      </c>
      <c r="B2" s="12">
        <v>0</v>
      </c>
      <c r="C2" s="12" t="s">
        <v>542</v>
      </c>
      <c r="D2" s="12" t="s">
        <v>773</v>
      </c>
      <c r="E2" s="19" t="s">
        <v>771</v>
      </c>
      <c r="F2" s="21" t="s">
        <v>1353</v>
      </c>
      <c r="G2" s="19">
        <v>2</v>
      </c>
      <c r="H2" s="12">
        <v>20240807</v>
      </c>
    </row>
    <row r="3" ht="17.25" customHeight="1" spans="1:8">
      <c r="A3" s="18">
        <v>985.42</v>
      </c>
      <c r="B3" s="12">
        <v>0</v>
      </c>
      <c r="C3" s="12" t="s">
        <v>542</v>
      </c>
      <c r="D3" s="12" t="s">
        <v>773</v>
      </c>
      <c r="E3" s="19" t="s">
        <v>1354</v>
      </c>
      <c r="F3" s="63" t="s">
        <v>1355</v>
      </c>
      <c r="G3" s="12">
        <v>1</v>
      </c>
      <c r="H3" s="12">
        <v>20240807</v>
      </c>
    </row>
    <row r="4" spans="1:8">
      <c r="A4" s="18">
        <v>985.42</v>
      </c>
      <c r="B4" s="12">
        <v>0</v>
      </c>
      <c r="C4" s="12" t="s">
        <v>224</v>
      </c>
      <c r="D4" s="12" t="s">
        <v>225</v>
      </c>
      <c r="E4" s="19" t="s">
        <v>236</v>
      </c>
      <c r="F4" s="21" t="s">
        <v>1356</v>
      </c>
      <c r="G4" s="19">
        <v>1</v>
      </c>
      <c r="H4" s="12">
        <v>20240807</v>
      </c>
    </row>
    <row r="5" spans="1:8">
      <c r="A5" s="18">
        <v>985.42</v>
      </c>
      <c r="B5" s="12">
        <v>0</v>
      </c>
      <c r="C5" s="12" t="s">
        <v>224</v>
      </c>
      <c r="D5" s="12" t="s">
        <v>225</v>
      </c>
      <c r="E5" s="20" t="s">
        <v>1357</v>
      </c>
      <c r="F5" s="63" t="s">
        <v>1358</v>
      </c>
      <c r="G5" s="19">
        <v>0</v>
      </c>
      <c r="H5" s="12">
        <v>20240807</v>
      </c>
    </row>
    <row r="6" spans="1:8">
      <c r="A6" s="18">
        <v>985.943</v>
      </c>
      <c r="B6" s="12">
        <v>1</v>
      </c>
      <c r="C6" s="12" t="s">
        <v>129</v>
      </c>
      <c r="D6" s="19" t="s">
        <v>235</v>
      </c>
      <c r="E6" s="19" t="s">
        <v>997</v>
      </c>
      <c r="F6" s="21" t="s">
        <v>1359</v>
      </c>
      <c r="G6" s="19">
        <v>1</v>
      </c>
      <c r="H6" s="12">
        <v>20240807</v>
      </c>
    </row>
    <row r="7" spans="1:8">
      <c r="A7" s="18">
        <v>985.94</v>
      </c>
      <c r="B7" s="12">
        <v>1</v>
      </c>
      <c r="C7" s="12" t="s">
        <v>129</v>
      </c>
      <c r="D7" s="19" t="s">
        <v>228</v>
      </c>
      <c r="E7" s="19" t="s">
        <v>1360</v>
      </c>
      <c r="F7" s="109" t="s">
        <v>1361</v>
      </c>
      <c r="G7" s="27">
        <v>0</v>
      </c>
      <c r="H7" s="12">
        <v>20240807</v>
      </c>
    </row>
    <row r="8" spans="1:8">
      <c r="A8" s="18">
        <v>985.946</v>
      </c>
      <c r="B8" s="12">
        <v>1</v>
      </c>
      <c r="C8" s="12" t="s">
        <v>340</v>
      </c>
      <c r="D8" s="19" t="s">
        <v>1002</v>
      </c>
      <c r="E8" s="19" t="s">
        <v>1003</v>
      </c>
      <c r="F8" s="109" t="s">
        <v>1362</v>
      </c>
      <c r="G8" s="27">
        <v>1</v>
      </c>
      <c r="H8" s="12">
        <v>20240807</v>
      </c>
    </row>
    <row r="9" spans="1:8">
      <c r="A9" s="18">
        <v>985.948</v>
      </c>
      <c r="B9" s="12">
        <v>1</v>
      </c>
      <c r="C9" s="12" t="s">
        <v>340</v>
      </c>
      <c r="D9" s="19" t="s">
        <v>1002</v>
      </c>
      <c r="E9" s="19" t="s">
        <v>1003</v>
      </c>
      <c r="F9" s="109" t="s">
        <v>1363</v>
      </c>
      <c r="G9" s="27">
        <v>1</v>
      </c>
      <c r="H9" s="12">
        <v>20240807</v>
      </c>
    </row>
    <row r="10" spans="1:8">
      <c r="A10" s="18">
        <v>985.94</v>
      </c>
      <c r="B10" s="22">
        <v>1</v>
      </c>
      <c r="C10" s="23" t="s">
        <v>88</v>
      </c>
      <c r="D10" s="23" t="s">
        <v>18</v>
      </c>
      <c r="E10" s="23" t="s">
        <v>314</v>
      </c>
      <c r="F10" s="31" t="s">
        <v>1364</v>
      </c>
      <c r="G10" s="22">
        <v>1</v>
      </c>
      <c r="H10" s="12">
        <v>20240807</v>
      </c>
    </row>
    <row r="11" spans="1:8">
      <c r="A11" s="18">
        <v>985.94</v>
      </c>
      <c r="B11" s="110">
        <v>1</v>
      </c>
      <c r="C11" s="25" t="s">
        <v>268</v>
      </c>
      <c r="D11" s="64" t="s">
        <v>177</v>
      </c>
      <c r="E11" s="25" t="s">
        <v>1365</v>
      </c>
      <c r="F11" s="118" t="s">
        <v>1366</v>
      </c>
      <c r="G11" s="122">
        <v>1</v>
      </c>
      <c r="H11" s="12">
        <v>20240807</v>
      </c>
    </row>
    <row r="12" spans="1:8">
      <c r="A12" s="18">
        <v>985.9313</v>
      </c>
      <c r="B12" s="12">
        <v>2</v>
      </c>
      <c r="C12" s="12" t="s">
        <v>129</v>
      </c>
      <c r="D12" s="19" t="s">
        <v>228</v>
      </c>
      <c r="E12" s="19" t="s">
        <v>1360</v>
      </c>
      <c r="F12" s="109" t="s">
        <v>1361</v>
      </c>
      <c r="G12" s="27">
        <v>0</v>
      </c>
      <c r="H12" s="12">
        <v>20240807</v>
      </c>
    </row>
    <row r="13" spans="1:8">
      <c r="A13" s="18">
        <v>985.9393</v>
      </c>
      <c r="B13" s="12">
        <v>2</v>
      </c>
      <c r="C13" s="12" t="s">
        <v>129</v>
      </c>
      <c r="D13" s="19" t="s">
        <v>235</v>
      </c>
      <c r="E13" s="19" t="s">
        <v>997</v>
      </c>
      <c r="F13" s="21" t="s">
        <v>1367</v>
      </c>
      <c r="G13" s="19">
        <v>1</v>
      </c>
      <c r="H13" s="12">
        <v>20240807</v>
      </c>
    </row>
    <row r="14" spans="1:8">
      <c r="A14" s="18">
        <v>985.9225</v>
      </c>
      <c r="B14" s="12">
        <v>3</v>
      </c>
      <c r="C14" s="12" t="s">
        <v>129</v>
      </c>
      <c r="D14" s="19" t="s">
        <v>235</v>
      </c>
      <c r="E14" s="19" t="s">
        <v>689</v>
      </c>
      <c r="F14" s="21" t="s">
        <v>1368</v>
      </c>
      <c r="G14" s="19">
        <v>0</v>
      </c>
      <c r="H14" s="12">
        <v>20240807</v>
      </c>
    </row>
    <row r="15" spans="1:8">
      <c r="A15" s="18">
        <v>985.9225</v>
      </c>
      <c r="B15" s="12">
        <v>3</v>
      </c>
      <c r="C15" s="12" t="s">
        <v>129</v>
      </c>
      <c r="D15" s="19" t="s">
        <v>235</v>
      </c>
      <c r="E15" s="19" t="s">
        <v>689</v>
      </c>
      <c r="F15" s="21" t="s">
        <v>1369</v>
      </c>
      <c r="G15" s="19">
        <v>0</v>
      </c>
      <c r="H15" s="12">
        <v>20240807</v>
      </c>
    </row>
    <row r="16" spans="1:8">
      <c r="A16" s="18">
        <v>985.9225</v>
      </c>
      <c r="B16" s="12">
        <v>3</v>
      </c>
      <c r="C16" s="12" t="s">
        <v>129</v>
      </c>
      <c r="D16" s="19" t="s">
        <v>235</v>
      </c>
      <c r="E16" s="20" t="s">
        <v>41</v>
      </c>
      <c r="F16" s="21" t="s">
        <v>708</v>
      </c>
      <c r="G16" s="19">
        <v>1</v>
      </c>
      <c r="H16" s="12">
        <v>20240807</v>
      </c>
    </row>
    <row r="17" spans="1:8">
      <c r="A17" s="18">
        <v>985.9225</v>
      </c>
      <c r="B17" s="19">
        <v>3</v>
      </c>
      <c r="C17" s="26" t="s">
        <v>1029</v>
      </c>
      <c r="D17" s="19" t="s">
        <v>290</v>
      </c>
      <c r="E17" s="19" t="s">
        <v>1030</v>
      </c>
      <c r="F17" s="21" t="s">
        <v>1370</v>
      </c>
      <c r="G17" s="19">
        <v>1</v>
      </c>
      <c r="H17" s="12">
        <v>20240807</v>
      </c>
    </row>
    <row r="18" spans="1:8">
      <c r="A18" s="18">
        <v>985.914</v>
      </c>
      <c r="B18" s="12">
        <v>4</v>
      </c>
      <c r="C18" s="12" t="s">
        <v>129</v>
      </c>
      <c r="D18" s="19" t="s">
        <v>290</v>
      </c>
      <c r="E18" s="19" t="s">
        <v>689</v>
      </c>
      <c r="F18" s="21" t="s">
        <v>1371</v>
      </c>
      <c r="G18" s="27">
        <v>0</v>
      </c>
      <c r="H18" s="12">
        <v>20240807</v>
      </c>
    </row>
    <row r="19" spans="1:8">
      <c r="A19" s="18">
        <v>985.909</v>
      </c>
      <c r="B19" s="12">
        <v>5</v>
      </c>
      <c r="C19" s="12" t="s">
        <v>129</v>
      </c>
      <c r="D19" s="19" t="s">
        <v>235</v>
      </c>
      <c r="E19" s="19" t="s">
        <v>689</v>
      </c>
      <c r="F19" s="21" t="s">
        <v>1372</v>
      </c>
      <c r="G19" s="27">
        <v>0</v>
      </c>
      <c r="H19" s="12">
        <v>20240807</v>
      </c>
    </row>
    <row r="20" spans="1:8">
      <c r="A20" s="18">
        <v>985.9095</v>
      </c>
      <c r="B20" s="12">
        <v>6</v>
      </c>
      <c r="C20" s="12" t="s">
        <v>129</v>
      </c>
      <c r="D20" s="19" t="s">
        <v>235</v>
      </c>
      <c r="E20" s="19" t="s">
        <v>997</v>
      </c>
      <c r="F20" s="21" t="s">
        <v>1373</v>
      </c>
      <c r="G20" s="19">
        <v>1</v>
      </c>
      <c r="H20" s="12">
        <v>20240807</v>
      </c>
    </row>
    <row r="21" spans="1:8">
      <c r="A21" s="18">
        <v>985.8979</v>
      </c>
      <c r="B21" s="12">
        <v>7</v>
      </c>
      <c r="C21" s="12" t="s">
        <v>129</v>
      </c>
      <c r="D21" s="19" t="s">
        <v>290</v>
      </c>
      <c r="E21" s="19" t="s">
        <v>689</v>
      </c>
      <c r="F21" s="21" t="s">
        <v>1374</v>
      </c>
      <c r="G21" s="27">
        <v>0</v>
      </c>
      <c r="H21" s="12">
        <v>20240807</v>
      </c>
    </row>
    <row r="22" spans="1:8">
      <c r="A22" s="18">
        <v>985.8682</v>
      </c>
      <c r="B22" s="12">
        <v>10</v>
      </c>
      <c r="C22" s="12" t="s">
        <v>129</v>
      </c>
      <c r="D22" s="19" t="s">
        <v>290</v>
      </c>
      <c r="E22" s="19" t="s">
        <v>716</v>
      </c>
      <c r="F22" s="21" t="s">
        <v>1375</v>
      </c>
      <c r="G22" s="19">
        <v>1</v>
      </c>
      <c r="H22" s="12">
        <v>20240807</v>
      </c>
    </row>
    <row r="23" spans="1:8">
      <c r="A23" s="18">
        <v>985.8597</v>
      </c>
      <c r="B23" s="12">
        <v>11</v>
      </c>
      <c r="C23" s="12" t="s">
        <v>129</v>
      </c>
      <c r="D23" s="19" t="s">
        <v>290</v>
      </c>
      <c r="E23" s="19" t="s">
        <v>716</v>
      </c>
      <c r="F23" s="21" t="s">
        <v>1376</v>
      </c>
      <c r="G23" s="19">
        <v>1</v>
      </c>
      <c r="H23" s="12">
        <v>20240807</v>
      </c>
    </row>
    <row r="24" spans="1:8">
      <c r="A24" s="18">
        <v>985.8632</v>
      </c>
      <c r="B24" s="12">
        <v>11</v>
      </c>
      <c r="C24" s="12" t="s">
        <v>340</v>
      </c>
      <c r="D24" s="19" t="s">
        <v>1002</v>
      </c>
      <c r="E24" s="19" t="s">
        <v>1003</v>
      </c>
      <c r="F24" s="109" t="s">
        <v>1377</v>
      </c>
      <c r="G24" s="27">
        <v>1</v>
      </c>
      <c r="H24" s="12">
        <v>20240807</v>
      </c>
    </row>
    <row r="25" spans="1:8">
      <c r="A25" s="18">
        <v>985.8592</v>
      </c>
      <c r="B25" s="19">
        <v>11</v>
      </c>
      <c r="C25" s="26" t="s">
        <v>1029</v>
      </c>
      <c r="D25" s="19" t="s">
        <v>290</v>
      </c>
      <c r="E25" s="19" t="s">
        <v>1030</v>
      </c>
      <c r="F25" s="21" t="s">
        <v>1378</v>
      </c>
      <c r="G25" s="19">
        <v>1</v>
      </c>
      <c r="H25" s="12">
        <v>20240807</v>
      </c>
    </row>
    <row r="26" s="150" customFormat="1" ht="27" spans="1:8">
      <c r="A26" s="18">
        <v>985.8592</v>
      </c>
      <c r="B26" s="15">
        <v>11</v>
      </c>
      <c r="C26" s="36" t="s">
        <v>1379</v>
      </c>
      <c r="D26" s="151" t="s">
        <v>177</v>
      </c>
      <c r="E26" s="15" t="s">
        <v>1380</v>
      </c>
      <c r="F26" s="152" t="s">
        <v>1381</v>
      </c>
      <c r="G26" s="15">
        <v>1</v>
      </c>
      <c r="H26" s="15">
        <v>20240807</v>
      </c>
    </row>
    <row r="27" spans="1:8">
      <c r="A27" s="18">
        <v>985.8524</v>
      </c>
      <c r="B27" s="12">
        <v>12</v>
      </c>
      <c r="C27" s="12" t="s">
        <v>129</v>
      </c>
      <c r="D27" s="19" t="s">
        <v>235</v>
      </c>
      <c r="E27" s="19" t="s">
        <v>689</v>
      </c>
      <c r="F27" s="21" t="s">
        <v>1382</v>
      </c>
      <c r="G27" s="27">
        <v>0</v>
      </c>
      <c r="H27" s="12">
        <v>20240807</v>
      </c>
    </row>
    <row r="28" spans="1:8">
      <c r="A28" s="18">
        <v>985.8331</v>
      </c>
      <c r="B28" s="12">
        <v>14</v>
      </c>
      <c r="C28" s="12" t="s">
        <v>129</v>
      </c>
      <c r="D28" s="19" t="s">
        <v>290</v>
      </c>
      <c r="E28" s="19" t="s">
        <v>716</v>
      </c>
      <c r="F28" s="21" t="s">
        <v>1376</v>
      </c>
      <c r="G28" s="19">
        <v>1</v>
      </c>
      <c r="H28" s="12">
        <v>20240807</v>
      </c>
    </row>
    <row r="29" spans="1:8">
      <c r="A29" s="18">
        <v>985.8326</v>
      </c>
      <c r="B29" s="19">
        <v>14</v>
      </c>
      <c r="C29" s="26" t="s">
        <v>1029</v>
      </c>
      <c r="D29" s="19" t="s">
        <v>290</v>
      </c>
      <c r="E29" s="19" t="s">
        <v>1030</v>
      </c>
      <c r="F29" s="21" t="s">
        <v>1383</v>
      </c>
      <c r="G29" s="19">
        <v>1</v>
      </c>
      <c r="H29" s="12">
        <v>20240807</v>
      </c>
    </row>
    <row r="30" spans="1:8">
      <c r="A30" s="18">
        <v>985.8239</v>
      </c>
      <c r="B30" s="12">
        <v>15</v>
      </c>
      <c r="C30" s="12" t="s">
        <v>129</v>
      </c>
      <c r="D30" s="19" t="s">
        <v>290</v>
      </c>
      <c r="E30" s="19" t="s">
        <v>689</v>
      </c>
      <c r="F30" s="21" t="s">
        <v>1384</v>
      </c>
      <c r="G30" s="19">
        <v>1</v>
      </c>
      <c r="H30" s="12">
        <v>20240807</v>
      </c>
    </row>
    <row r="31" spans="1:8">
      <c r="A31" s="18">
        <v>985.815</v>
      </c>
      <c r="B31" s="12">
        <v>16</v>
      </c>
      <c r="C31" s="12" t="s">
        <v>129</v>
      </c>
      <c r="D31" s="19" t="s">
        <v>235</v>
      </c>
      <c r="E31" s="19" t="s">
        <v>716</v>
      </c>
      <c r="F31" s="21" t="s">
        <v>1385</v>
      </c>
      <c r="G31" s="19">
        <v>1</v>
      </c>
      <c r="H31" s="12">
        <v>20240807</v>
      </c>
    </row>
    <row r="32" spans="1:8">
      <c r="A32" s="18">
        <v>985.797</v>
      </c>
      <c r="B32" s="12">
        <v>18</v>
      </c>
      <c r="C32" s="12" t="s">
        <v>129</v>
      </c>
      <c r="D32" s="19" t="s">
        <v>290</v>
      </c>
      <c r="E32" s="19" t="s">
        <v>689</v>
      </c>
      <c r="F32" s="21" t="s">
        <v>1386</v>
      </c>
      <c r="G32" s="19">
        <v>0</v>
      </c>
      <c r="H32" s="12">
        <v>20240807</v>
      </c>
    </row>
    <row r="33" spans="1:8">
      <c r="A33" s="18">
        <v>985.788</v>
      </c>
      <c r="B33" s="12">
        <v>19</v>
      </c>
      <c r="C33" s="12" t="s">
        <v>129</v>
      </c>
      <c r="D33" s="19" t="s">
        <v>290</v>
      </c>
      <c r="E33" s="19" t="s">
        <v>689</v>
      </c>
      <c r="F33" s="21" t="s">
        <v>1387</v>
      </c>
      <c r="G33" s="19">
        <v>1</v>
      </c>
      <c r="H33" s="12">
        <v>20240807</v>
      </c>
    </row>
    <row r="34" spans="1:8">
      <c r="A34" s="18">
        <v>985.7654</v>
      </c>
      <c r="B34" s="12">
        <v>22</v>
      </c>
      <c r="C34" s="12" t="s">
        <v>340</v>
      </c>
      <c r="D34" s="19" t="s">
        <v>1002</v>
      </c>
      <c r="E34" s="19" t="s">
        <v>1003</v>
      </c>
      <c r="F34" s="109" t="s">
        <v>1388</v>
      </c>
      <c r="G34" s="27">
        <v>1</v>
      </c>
      <c r="H34" s="12">
        <v>20240807</v>
      </c>
    </row>
    <row r="35" spans="1:8">
      <c r="A35" s="18">
        <v>985.7526</v>
      </c>
      <c r="B35" s="19">
        <v>23</v>
      </c>
      <c r="C35" s="26" t="s">
        <v>1029</v>
      </c>
      <c r="D35" s="19" t="s">
        <v>228</v>
      </c>
      <c r="E35" s="19" t="s">
        <v>1030</v>
      </c>
      <c r="F35" s="21" t="s">
        <v>1389</v>
      </c>
      <c r="G35" s="19">
        <v>1</v>
      </c>
      <c r="H35" s="12">
        <v>20240807</v>
      </c>
    </row>
    <row r="36" spans="1:8">
      <c r="A36" s="18">
        <v>985.7257</v>
      </c>
      <c r="B36" s="12">
        <v>26</v>
      </c>
      <c r="C36" s="12" t="s">
        <v>129</v>
      </c>
      <c r="D36" s="19" t="s">
        <v>228</v>
      </c>
      <c r="E36" s="19" t="s">
        <v>689</v>
      </c>
      <c r="F36" s="21" t="s">
        <v>1390</v>
      </c>
      <c r="G36" s="19">
        <v>0</v>
      </c>
      <c r="H36" s="12">
        <v>20240807</v>
      </c>
    </row>
    <row r="37" spans="1:8">
      <c r="A37" s="18">
        <v>985.7307</v>
      </c>
      <c r="B37" s="110">
        <v>26</v>
      </c>
      <c r="C37" s="25" t="s">
        <v>268</v>
      </c>
      <c r="D37" s="64" t="s">
        <v>177</v>
      </c>
      <c r="E37" s="25" t="s">
        <v>1365</v>
      </c>
      <c r="F37" s="118" t="s">
        <v>1391</v>
      </c>
      <c r="G37" s="122">
        <v>1</v>
      </c>
      <c r="H37" s="12">
        <v>20240807</v>
      </c>
    </row>
    <row r="38" spans="1:8">
      <c r="A38" s="18">
        <v>985.7167</v>
      </c>
      <c r="B38" s="12">
        <v>27</v>
      </c>
      <c r="C38" s="12" t="s">
        <v>129</v>
      </c>
      <c r="D38" s="19" t="s">
        <v>290</v>
      </c>
      <c r="E38" s="19" t="s">
        <v>689</v>
      </c>
      <c r="F38" s="21" t="s">
        <v>1392</v>
      </c>
      <c r="G38" s="19">
        <v>0</v>
      </c>
      <c r="H38" s="12">
        <v>20240807</v>
      </c>
    </row>
    <row r="39" spans="1:8">
      <c r="A39" s="18">
        <v>985.6989</v>
      </c>
      <c r="B39" s="12">
        <v>29</v>
      </c>
      <c r="C39" s="12" t="s">
        <v>129</v>
      </c>
      <c r="D39" s="19" t="s">
        <v>290</v>
      </c>
      <c r="E39" s="19" t="s">
        <v>689</v>
      </c>
      <c r="F39" s="21" t="s">
        <v>1393</v>
      </c>
      <c r="G39" s="19">
        <v>0</v>
      </c>
      <c r="H39" s="12">
        <v>20240807</v>
      </c>
    </row>
    <row r="40" spans="1:8">
      <c r="A40" s="18">
        <v>985.6952</v>
      </c>
      <c r="B40" s="12">
        <v>30</v>
      </c>
      <c r="C40" s="12" t="s">
        <v>129</v>
      </c>
      <c r="D40" s="19" t="s">
        <v>290</v>
      </c>
      <c r="E40" s="19" t="s">
        <v>689</v>
      </c>
      <c r="F40" s="21" t="s">
        <v>1394</v>
      </c>
      <c r="G40" s="19">
        <v>0</v>
      </c>
      <c r="H40" s="12">
        <v>20240807</v>
      </c>
    </row>
    <row r="41" ht="15.75" spans="1:8">
      <c r="A41" s="18">
        <v>985.6912</v>
      </c>
      <c r="B41" s="70">
        <v>30</v>
      </c>
      <c r="C41" s="29" t="s">
        <v>238</v>
      </c>
      <c r="D41" s="25" t="s">
        <v>242</v>
      </c>
      <c r="E41" s="25" t="s">
        <v>240</v>
      </c>
      <c r="F41" s="66" t="s">
        <v>1395</v>
      </c>
      <c r="G41" s="25">
        <v>1</v>
      </c>
      <c r="H41" s="12">
        <v>20240807</v>
      </c>
    </row>
    <row r="42" spans="1:8">
      <c r="A42" s="18">
        <v>985.6812</v>
      </c>
      <c r="B42" s="12">
        <v>31</v>
      </c>
      <c r="C42" s="12" t="s">
        <v>129</v>
      </c>
      <c r="D42" s="19" t="s">
        <v>290</v>
      </c>
      <c r="E42" s="19" t="s">
        <v>689</v>
      </c>
      <c r="F42" s="21" t="s">
        <v>1392</v>
      </c>
      <c r="G42" s="19">
        <v>0</v>
      </c>
      <c r="H42" s="12">
        <v>20240807</v>
      </c>
    </row>
    <row r="43" ht="15.75" spans="1:8">
      <c r="A43" s="18">
        <v>985.6842</v>
      </c>
      <c r="B43" s="70">
        <v>31</v>
      </c>
      <c r="C43" s="29" t="s">
        <v>238</v>
      </c>
      <c r="D43" s="25" t="s">
        <v>242</v>
      </c>
      <c r="E43" s="25" t="s">
        <v>240</v>
      </c>
      <c r="F43" s="66" t="s">
        <v>1396</v>
      </c>
      <c r="G43" s="25">
        <v>1</v>
      </c>
      <c r="H43" s="12">
        <v>20240807</v>
      </c>
    </row>
    <row r="44" spans="1:8">
      <c r="A44" s="18">
        <v>985.6548</v>
      </c>
      <c r="B44" s="12">
        <v>34</v>
      </c>
      <c r="C44" s="12" t="s">
        <v>129</v>
      </c>
      <c r="D44" s="19" t="s">
        <v>235</v>
      </c>
      <c r="E44" s="19" t="s">
        <v>689</v>
      </c>
      <c r="F44" s="21" t="s">
        <v>1397</v>
      </c>
      <c r="G44" s="19">
        <v>0</v>
      </c>
      <c r="H44" s="12">
        <v>20240807</v>
      </c>
    </row>
    <row r="45" spans="1:8">
      <c r="A45" s="18">
        <v>985.651</v>
      </c>
      <c r="B45" s="110">
        <v>35</v>
      </c>
      <c r="C45" s="25" t="s">
        <v>268</v>
      </c>
      <c r="D45" s="64" t="s">
        <v>177</v>
      </c>
      <c r="E45" s="25" t="s">
        <v>1365</v>
      </c>
      <c r="F45" s="118" t="s">
        <v>1398</v>
      </c>
      <c r="G45" s="122">
        <v>1</v>
      </c>
      <c r="H45" s="12">
        <v>20240807</v>
      </c>
    </row>
    <row r="46" spans="1:8">
      <c r="A46" s="18">
        <v>985.6373</v>
      </c>
      <c r="B46" s="12">
        <v>36</v>
      </c>
      <c r="C46" s="12" t="s">
        <v>129</v>
      </c>
      <c r="D46" s="19" t="s">
        <v>290</v>
      </c>
      <c r="E46" s="19" t="s">
        <v>689</v>
      </c>
      <c r="F46" s="21" t="s">
        <v>1399</v>
      </c>
      <c r="G46" s="19">
        <v>0</v>
      </c>
      <c r="H46" s="12">
        <v>20240807</v>
      </c>
    </row>
    <row r="47" spans="1:8">
      <c r="A47" s="18">
        <v>985.6197</v>
      </c>
      <c r="B47" s="12">
        <v>38</v>
      </c>
      <c r="C47" s="12" t="s">
        <v>129</v>
      </c>
      <c r="D47" s="19" t="s">
        <v>228</v>
      </c>
      <c r="E47" s="19" t="s">
        <v>689</v>
      </c>
      <c r="F47" s="21" t="s">
        <v>1400</v>
      </c>
      <c r="G47" s="19">
        <v>0</v>
      </c>
      <c r="H47" s="12">
        <v>20240807</v>
      </c>
    </row>
    <row r="48" spans="1:8">
      <c r="A48" s="18">
        <v>985.6107</v>
      </c>
      <c r="B48" s="12">
        <v>39</v>
      </c>
      <c r="C48" s="12" t="s">
        <v>129</v>
      </c>
      <c r="D48" s="19" t="s">
        <v>235</v>
      </c>
      <c r="E48" s="19" t="s">
        <v>689</v>
      </c>
      <c r="F48" s="21" t="s">
        <v>1401</v>
      </c>
      <c r="G48" s="19">
        <v>0</v>
      </c>
      <c r="H48" s="12">
        <v>20240807</v>
      </c>
    </row>
    <row r="49" spans="1:8">
      <c r="A49" s="18">
        <v>985.6107</v>
      </c>
      <c r="B49" s="19">
        <v>39</v>
      </c>
      <c r="C49" s="26" t="s">
        <v>1029</v>
      </c>
      <c r="D49" s="19" t="s">
        <v>228</v>
      </c>
      <c r="E49" s="19" t="s">
        <v>1030</v>
      </c>
      <c r="F49" s="21" t="s">
        <v>1402</v>
      </c>
      <c r="G49" s="19">
        <v>1</v>
      </c>
      <c r="H49" s="12">
        <v>20240807</v>
      </c>
    </row>
    <row r="50" spans="1:8">
      <c r="A50" s="18">
        <v>985.6019</v>
      </c>
      <c r="B50" s="12">
        <v>40</v>
      </c>
      <c r="C50" s="12" t="s">
        <v>129</v>
      </c>
      <c r="D50" s="19" t="s">
        <v>290</v>
      </c>
      <c r="E50" s="19" t="s">
        <v>689</v>
      </c>
      <c r="F50" s="21" t="s">
        <v>1403</v>
      </c>
      <c r="G50" s="19">
        <v>0</v>
      </c>
      <c r="H50" s="12">
        <v>20240807</v>
      </c>
    </row>
    <row r="51" spans="1:8">
      <c r="A51" s="18">
        <v>985.6019</v>
      </c>
      <c r="B51" s="12">
        <v>40</v>
      </c>
      <c r="C51" s="12" t="s">
        <v>129</v>
      </c>
      <c r="D51" s="19" t="s">
        <v>290</v>
      </c>
      <c r="E51" s="19" t="s">
        <v>689</v>
      </c>
      <c r="F51" s="21" t="s">
        <v>1404</v>
      </c>
      <c r="G51" s="19">
        <v>0</v>
      </c>
      <c r="H51" s="12">
        <v>20240807</v>
      </c>
    </row>
    <row r="52" spans="1:8">
      <c r="A52" s="18">
        <v>985.5929</v>
      </c>
      <c r="B52" s="12">
        <v>41</v>
      </c>
      <c r="C52" s="12" t="s">
        <v>129</v>
      </c>
      <c r="D52" s="19" t="s">
        <v>290</v>
      </c>
      <c r="E52" s="19" t="s">
        <v>689</v>
      </c>
      <c r="F52" s="21" t="s">
        <v>1405</v>
      </c>
      <c r="G52" s="19">
        <v>0</v>
      </c>
      <c r="H52" s="12">
        <v>20240807</v>
      </c>
    </row>
    <row r="53" spans="1:8">
      <c r="A53" s="18">
        <v>985.5929</v>
      </c>
      <c r="B53" s="19">
        <v>41</v>
      </c>
      <c r="C53" s="26" t="s">
        <v>1029</v>
      </c>
      <c r="D53" s="19" t="s">
        <v>290</v>
      </c>
      <c r="E53" s="19" t="s">
        <v>1030</v>
      </c>
      <c r="F53" s="21" t="s">
        <v>1406</v>
      </c>
      <c r="G53" s="19">
        <v>1</v>
      </c>
      <c r="H53" s="12">
        <v>20240807</v>
      </c>
    </row>
    <row r="54" spans="1:8">
      <c r="A54" s="18">
        <v>985.5841</v>
      </c>
      <c r="B54" s="12">
        <v>42</v>
      </c>
      <c r="C54" s="12" t="s">
        <v>129</v>
      </c>
      <c r="D54" s="19" t="s">
        <v>290</v>
      </c>
      <c r="E54" s="19" t="s">
        <v>689</v>
      </c>
      <c r="F54" s="21" t="s">
        <v>1407</v>
      </c>
      <c r="G54" s="19">
        <v>0</v>
      </c>
      <c r="H54" s="12">
        <v>20240807</v>
      </c>
    </row>
    <row r="55" spans="1:8">
      <c r="A55" s="18">
        <v>985.5841</v>
      </c>
      <c r="B55" s="19">
        <v>42</v>
      </c>
      <c r="C55" s="26" t="s">
        <v>1029</v>
      </c>
      <c r="D55" s="19" t="s">
        <v>290</v>
      </c>
      <c r="E55" s="19" t="s">
        <v>1030</v>
      </c>
      <c r="F55" s="21" t="s">
        <v>1064</v>
      </c>
      <c r="G55" s="19">
        <v>1</v>
      </c>
      <c r="H55" s="12">
        <v>20240807</v>
      </c>
    </row>
    <row r="56" spans="1:8">
      <c r="A56" s="18">
        <v>985.5668</v>
      </c>
      <c r="B56" s="12">
        <v>44</v>
      </c>
      <c r="C56" s="12" t="s">
        <v>129</v>
      </c>
      <c r="D56" s="19" t="s">
        <v>290</v>
      </c>
      <c r="E56" s="19" t="s">
        <v>689</v>
      </c>
      <c r="F56" s="21" t="s">
        <v>1408</v>
      </c>
      <c r="G56" s="19">
        <v>1</v>
      </c>
      <c r="H56" s="12">
        <v>20240807</v>
      </c>
    </row>
    <row r="57" spans="1:8">
      <c r="A57" s="18">
        <v>985.5492</v>
      </c>
      <c r="B57" s="12">
        <v>46</v>
      </c>
      <c r="C57" s="12" t="s">
        <v>129</v>
      </c>
      <c r="D57" s="19" t="s">
        <v>290</v>
      </c>
      <c r="E57" s="19" t="s">
        <v>689</v>
      </c>
      <c r="F57" s="21" t="s">
        <v>1371</v>
      </c>
      <c r="G57" s="19">
        <v>0</v>
      </c>
      <c r="H57" s="12">
        <v>20240807</v>
      </c>
    </row>
    <row r="58" spans="1:8">
      <c r="A58" s="18">
        <v>985.5315</v>
      </c>
      <c r="B58" s="12">
        <v>48</v>
      </c>
      <c r="C58" s="12" t="s">
        <v>129</v>
      </c>
      <c r="D58" s="19" t="s">
        <v>290</v>
      </c>
      <c r="E58" s="19" t="s">
        <v>689</v>
      </c>
      <c r="F58" s="21" t="s">
        <v>1409</v>
      </c>
      <c r="G58" s="19">
        <v>0</v>
      </c>
      <c r="H58" s="12">
        <v>20240807</v>
      </c>
    </row>
    <row r="59" spans="1:8">
      <c r="A59" s="18">
        <v>985.5335</v>
      </c>
      <c r="B59" s="12">
        <v>48</v>
      </c>
      <c r="C59" s="12" t="s">
        <v>340</v>
      </c>
      <c r="D59" s="19" t="s">
        <v>1002</v>
      </c>
      <c r="E59" s="19" t="s">
        <v>1003</v>
      </c>
      <c r="F59" s="109" t="s">
        <v>1410</v>
      </c>
      <c r="G59" s="27">
        <v>1</v>
      </c>
      <c r="H59" s="12">
        <v>20240807</v>
      </c>
    </row>
    <row r="60" spans="1:8">
      <c r="A60" s="18">
        <v>985.5145</v>
      </c>
      <c r="B60" s="12">
        <v>50</v>
      </c>
      <c r="C60" s="12" t="s">
        <v>129</v>
      </c>
      <c r="D60" s="19" t="s">
        <v>228</v>
      </c>
      <c r="E60" s="19" t="s">
        <v>716</v>
      </c>
      <c r="F60" s="21" t="s">
        <v>1139</v>
      </c>
      <c r="G60" s="19">
        <v>1</v>
      </c>
      <c r="H60" s="12">
        <v>20240807</v>
      </c>
    </row>
    <row r="61" spans="1:8">
      <c r="A61" s="18">
        <v>985.5193</v>
      </c>
      <c r="B61" s="19">
        <v>50</v>
      </c>
      <c r="C61" s="26" t="s">
        <v>1029</v>
      </c>
      <c r="D61" s="19" t="s">
        <v>290</v>
      </c>
      <c r="E61" s="19" t="s">
        <v>1411</v>
      </c>
      <c r="F61" s="21" t="s">
        <v>1412</v>
      </c>
      <c r="G61" s="19">
        <v>1</v>
      </c>
      <c r="H61" s="12">
        <v>20240807</v>
      </c>
    </row>
    <row r="62" spans="1:8">
      <c r="A62" s="18">
        <v>985.5143</v>
      </c>
      <c r="B62" s="19">
        <v>50</v>
      </c>
      <c r="C62" s="26" t="s">
        <v>1029</v>
      </c>
      <c r="D62" s="19" t="s">
        <v>235</v>
      </c>
      <c r="E62" s="17" t="s">
        <v>1030</v>
      </c>
      <c r="F62" s="21" t="s">
        <v>1413</v>
      </c>
      <c r="G62" s="19">
        <v>1</v>
      </c>
      <c r="H62" s="12">
        <v>20240807</v>
      </c>
    </row>
    <row r="63" spans="1:8">
      <c r="A63" s="18">
        <v>985.5183</v>
      </c>
      <c r="B63" s="110">
        <v>50</v>
      </c>
      <c r="C63" s="25" t="s">
        <v>268</v>
      </c>
      <c r="D63" s="64" t="s">
        <v>177</v>
      </c>
      <c r="E63" s="25" t="s">
        <v>1365</v>
      </c>
      <c r="F63" s="118" t="s">
        <v>1414</v>
      </c>
      <c r="G63" s="122">
        <v>1</v>
      </c>
      <c r="H63" s="12">
        <v>20240807</v>
      </c>
    </row>
    <row r="64" spans="1:8">
      <c r="A64" s="18">
        <v>985.5116</v>
      </c>
      <c r="B64" s="12">
        <v>51</v>
      </c>
      <c r="C64" s="12" t="s">
        <v>129</v>
      </c>
      <c r="D64" s="19" t="s">
        <v>290</v>
      </c>
      <c r="E64" s="19" t="s">
        <v>1415</v>
      </c>
      <c r="F64" s="21" t="s">
        <v>1416</v>
      </c>
      <c r="G64" s="19">
        <v>1</v>
      </c>
      <c r="H64" s="12">
        <v>20240807</v>
      </c>
    </row>
    <row r="65" spans="1:8">
      <c r="A65" s="18">
        <v>985.5056</v>
      </c>
      <c r="B65" s="12">
        <v>51</v>
      </c>
      <c r="C65" s="12" t="s">
        <v>129</v>
      </c>
      <c r="D65" s="19" t="s">
        <v>228</v>
      </c>
      <c r="E65" s="19" t="s">
        <v>997</v>
      </c>
      <c r="F65" s="21" t="s">
        <v>252</v>
      </c>
      <c r="G65" s="19">
        <v>1</v>
      </c>
      <c r="H65" s="12">
        <v>20240807</v>
      </c>
    </row>
    <row r="66" spans="1:8">
      <c r="A66" s="18">
        <v>985.4987</v>
      </c>
      <c r="B66" s="12">
        <v>52</v>
      </c>
      <c r="C66" s="12" t="s">
        <v>340</v>
      </c>
      <c r="D66" s="19" t="s">
        <v>1002</v>
      </c>
      <c r="E66" s="19" t="s">
        <v>1003</v>
      </c>
      <c r="F66" s="109" t="s">
        <v>1410</v>
      </c>
      <c r="G66" s="27">
        <v>1</v>
      </c>
      <c r="H66" s="12">
        <v>20240807</v>
      </c>
    </row>
    <row r="67" spans="1:8">
      <c r="A67" s="18">
        <v>985.4702</v>
      </c>
      <c r="B67" s="19">
        <v>55</v>
      </c>
      <c r="C67" s="26" t="s">
        <v>1029</v>
      </c>
      <c r="D67" s="19" t="s">
        <v>235</v>
      </c>
      <c r="E67" s="17" t="s">
        <v>1030</v>
      </c>
      <c r="F67" s="21" t="s">
        <v>1417</v>
      </c>
      <c r="G67" s="19">
        <v>1</v>
      </c>
      <c r="H67" s="12">
        <v>20240807</v>
      </c>
    </row>
    <row r="68" spans="1:8">
      <c r="A68" s="18">
        <v>985.4762</v>
      </c>
      <c r="B68" s="110">
        <v>55</v>
      </c>
      <c r="C68" s="25" t="s">
        <v>268</v>
      </c>
      <c r="D68" s="64" t="s">
        <v>177</v>
      </c>
      <c r="E68" s="25" t="s">
        <v>19</v>
      </c>
      <c r="F68" s="118" t="s">
        <v>1418</v>
      </c>
      <c r="G68" s="122">
        <v>1</v>
      </c>
      <c r="H68" s="12">
        <v>20240807</v>
      </c>
    </row>
    <row r="69" spans="1:8">
      <c r="A69" s="18">
        <v>985.4616</v>
      </c>
      <c r="B69" s="12">
        <v>56</v>
      </c>
      <c r="C69" s="12" t="s">
        <v>129</v>
      </c>
      <c r="D69" s="19" t="s">
        <v>228</v>
      </c>
      <c r="E69" s="19" t="s">
        <v>716</v>
      </c>
      <c r="F69" s="21" t="s">
        <v>1419</v>
      </c>
      <c r="G69" s="19">
        <v>1</v>
      </c>
      <c r="H69" s="12">
        <v>20240807</v>
      </c>
    </row>
    <row r="70" spans="1:8">
      <c r="A70" s="18">
        <v>985.4617</v>
      </c>
      <c r="B70" s="12">
        <v>57</v>
      </c>
      <c r="C70" s="12" t="s">
        <v>129</v>
      </c>
      <c r="D70" s="19" t="s">
        <v>290</v>
      </c>
      <c r="E70" s="19" t="s">
        <v>1415</v>
      </c>
      <c r="F70" s="21" t="s">
        <v>1420</v>
      </c>
      <c r="G70" s="19">
        <v>1</v>
      </c>
      <c r="H70" s="12">
        <v>20240807</v>
      </c>
    </row>
    <row r="71" spans="1:8">
      <c r="A71" s="18">
        <v>985.4617</v>
      </c>
      <c r="B71" s="19">
        <v>57</v>
      </c>
      <c r="C71" s="26" t="s">
        <v>1029</v>
      </c>
      <c r="D71" s="19" t="s">
        <v>290</v>
      </c>
      <c r="E71" s="19" t="s">
        <v>1030</v>
      </c>
      <c r="F71" s="21" t="s">
        <v>1421</v>
      </c>
      <c r="G71" s="19">
        <v>1</v>
      </c>
      <c r="H71" s="12">
        <v>20240807</v>
      </c>
    </row>
    <row r="72" ht="25.5" spans="1:8">
      <c r="A72" s="18">
        <v>985.4527</v>
      </c>
      <c r="B72" s="19">
        <v>57</v>
      </c>
      <c r="C72" s="26" t="s">
        <v>1029</v>
      </c>
      <c r="D72" s="19" t="s">
        <v>1188</v>
      </c>
      <c r="E72" s="19" t="s">
        <v>1411</v>
      </c>
      <c r="F72" s="21" t="s">
        <v>1422</v>
      </c>
      <c r="G72" s="19">
        <v>1</v>
      </c>
      <c r="H72" s="12">
        <v>20240807</v>
      </c>
    </row>
    <row r="73" spans="1:8">
      <c r="A73" s="18">
        <v>985.4438</v>
      </c>
      <c r="B73" s="12">
        <v>58</v>
      </c>
      <c r="C73" s="12" t="s">
        <v>129</v>
      </c>
      <c r="D73" s="19" t="s">
        <v>228</v>
      </c>
      <c r="E73" s="19" t="s">
        <v>236</v>
      </c>
      <c r="F73" s="21" t="s">
        <v>1423</v>
      </c>
      <c r="G73" s="19">
        <v>1</v>
      </c>
      <c r="H73" s="12">
        <v>20240807</v>
      </c>
    </row>
    <row r="74" spans="1:8">
      <c r="A74" s="18">
        <v>985.4448</v>
      </c>
      <c r="B74" s="19">
        <v>58</v>
      </c>
      <c r="C74" s="26" t="s">
        <v>1029</v>
      </c>
      <c r="D74" s="19" t="s">
        <v>290</v>
      </c>
      <c r="E74" s="19" t="s">
        <v>1411</v>
      </c>
      <c r="F74" s="21" t="s">
        <v>1424</v>
      </c>
      <c r="G74" s="19">
        <v>1</v>
      </c>
      <c r="H74" s="12">
        <v>20240807</v>
      </c>
    </row>
    <row r="75" spans="1:8">
      <c r="A75" s="18">
        <v>985.435</v>
      </c>
      <c r="B75" s="12">
        <v>59</v>
      </c>
      <c r="C75" s="12" t="s">
        <v>129</v>
      </c>
      <c r="D75" s="19" t="s">
        <v>235</v>
      </c>
      <c r="E75" s="19" t="s">
        <v>997</v>
      </c>
      <c r="F75" s="21" t="s">
        <v>1425</v>
      </c>
      <c r="G75" s="19">
        <v>1</v>
      </c>
      <c r="H75" s="12">
        <v>20240807</v>
      </c>
    </row>
    <row r="76" spans="1:8">
      <c r="A76" s="18">
        <v>985.4385</v>
      </c>
      <c r="B76" s="12">
        <v>59</v>
      </c>
      <c r="C76" s="12" t="s">
        <v>340</v>
      </c>
      <c r="D76" s="19" t="s">
        <v>1002</v>
      </c>
      <c r="E76" s="19" t="s">
        <v>1426</v>
      </c>
      <c r="F76" s="109" t="s">
        <v>1427</v>
      </c>
      <c r="G76" s="27">
        <v>1</v>
      </c>
      <c r="H76" s="12">
        <v>20240807</v>
      </c>
    </row>
    <row r="77" spans="1:8">
      <c r="A77" s="18">
        <v>985.439</v>
      </c>
      <c r="B77" s="111">
        <v>59</v>
      </c>
      <c r="C77" s="25" t="s">
        <v>247</v>
      </c>
      <c r="D77" s="25" t="s">
        <v>242</v>
      </c>
      <c r="E77" s="25" t="s">
        <v>248</v>
      </c>
      <c r="F77" s="118" t="s">
        <v>1428</v>
      </c>
      <c r="G77" s="122">
        <v>1</v>
      </c>
      <c r="H77" s="12">
        <v>20240807</v>
      </c>
    </row>
    <row r="78" spans="1:8">
      <c r="A78" s="18">
        <v>985.4374</v>
      </c>
      <c r="B78" s="22">
        <v>60</v>
      </c>
      <c r="C78" s="23" t="s">
        <v>88</v>
      </c>
      <c r="D78" s="23" t="s">
        <v>18</v>
      </c>
      <c r="E78" s="23" t="s">
        <v>314</v>
      </c>
      <c r="F78" s="24" t="s">
        <v>1429</v>
      </c>
      <c r="G78" s="22">
        <v>1</v>
      </c>
      <c r="H78" s="12">
        <v>20240807</v>
      </c>
    </row>
    <row r="79" ht="25.5" spans="1:8">
      <c r="A79" s="18">
        <v>985.4324</v>
      </c>
      <c r="B79" s="19">
        <v>60</v>
      </c>
      <c r="C79" s="26" t="s">
        <v>1029</v>
      </c>
      <c r="D79" s="19" t="s">
        <v>1430</v>
      </c>
      <c r="E79" s="19" t="s">
        <v>1030</v>
      </c>
      <c r="F79" s="21" t="s">
        <v>1431</v>
      </c>
      <c r="G79" s="19">
        <v>1</v>
      </c>
      <c r="H79" s="12">
        <v>20240807</v>
      </c>
    </row>
    <row r="80" spans="1:8">
      <c r="A80" s="18">
        <v>985.4324</v>
      </c>
      <c r="B80" s="19">
        <v>60</v>
      </c>
      <c r="C80" s="19" t="s">
        <v>996</v>
      </c>
      <c r="D80" s="19" t="s">
        <v>228</v>
      </c>
      <c r="E80" s="19" t="s">
        <v>997</v>
      </c>
      <c r="F80" s="21" t="s">
        <v>1432</v>
      </c>
      <c r="G80" s="19">
        <v>1</v>
      </c>
      <c r="H80" s="12">
        <v>20240807</v>
      </c>
    </row>
    <row r="81" ht="27" spans="1:8">
      <c r="A81" s="18">
        <v>985.94</v>
      </c>
      <c r="B81" s="15" t="s">
        <v>94</v>
      </c>
      <c r="C81" s="22" t="s">
        <v>170</v>
      </c>
      <c r="D81" s="22" t="s">
        <v>170</v>
      </c>
      <c r="E81" s="22" t="s">
        <v>172</v>
      </c>
      <c r="F81" s="31" t="s">
        <v>222</v>
      </c>
      <c r="G81" s="22">
        <v>1</v>
      </c>
      <c r="H81" s="12">
        <v>20240807</v>
      </c>
    </row>
    <row r="82" ht="27" spans="1:8">
      <c r="A82" s="18">
        <v>985.859</v>
      </c>
      <c r="B82" s="15" t="s">
        <v>99</v>
      </c>
      <c r="C82" s="22" t="s">
        <v>170</v>
      </c>
      <c r="D82" s="22" t="s">
        <v>170</v>
      </c>
      <c r="E82" s="22" t="s">
        <v>172</v>
      </c>
      <c r="F82" s="31" t="s">
        <v>222</v>
      </c>
      <c r="G82" s="22">
        <v>1</v>
      </c>
      <c r="H82" s="12">
        <v>20240807</v>
      </c>
    </row>
    <row r="83" ht="27" spans="1:8">
      <c r="A83" s="18">
        <v>985.77</v>
      </c>
      <c r="B83" s="15" t="s">
        <v>100</v>
      </c>
      <c r="C83" s="22" t="s">
        <v>170</v>
      </c>
      <c r="D83" s="22" t="s">
        <v>170</v>
      </c>
      <c r="E83" s="22" t="s">
        <v>172</v>
      </c>
      <c r="F83" s="31" t="s">
        <v>222</v>
      </c>
      <c r="G83" s="22">
        <v>1</v>
      </c>
      <c r="H83" s="12">
        <v>20240807</v>
      </c>
    </row>
    <row r="84" ht="27" spans="1:8">
      <c r="A84" s="18">
        <v>985.681</v>
      </c>
      <c r="B84" s="15" t="s">
        <v>101</v>
      </c>
      <c r="C84" s="22" t="s">
        <v>170</v>
      </c>
      <c r="D84" s="22" t="s">
        <v>170</v>
      </c>
      <c r="E84" s="22" t="s">
        <v>172</v>
      </c>
      <c r="F84" s="31" t="s">
        <v>222</v>
      </c>
      <c r="G84" s="22">
        <v>1</v>
      </c>
      <c r="H84" s="12">
        <v>20240807</v>
      </c>
    </row>
    <row r="85" ht="27" spans="1:8">
      <c r="A85" s="18">
        <v>985.593</v>
      </c>
      <c r="B85" s="15" t="s">
        <v>102</v>
      </c>
      <c r="C85" s="22" t="s">
        <v>170</v>
      </c>
      <c r="D85" s="22" t="s">
        <v>170</v>
      </c>
      <c r="E85" s="22" t="s">
        <v>172</v>
      </c>
      <c r="F85" s="31" t="s">
        <v>222</v>
      </c>
      <c r="G85" s="22">
        <v>1</v>
      </c>
      <c r="H85" s="12">
        <v>20240807</v>
      </c>
    </row>
    <row r="86" ht="27" spans="1:8">
      <c r="A86" s="18">
        <v>985.506</v>
      </c>
      <c r="B86" s="15" t="s">
        <v>103</v>
      </c>
      <c r="C86" s="22" t="s">
        <v>170</v>
      </c>
      <c r="D86" s="22" t="s">
        <v>170</v>
      </c>
      <c r="E86" s="22" t="s">
        <v>172</v>
      </c>
      <c r="F86" s="31" t="s">
        <v>222</v>
      </c>
      <c r="G86" s="22">
        <v>1</v>
      </c>
      <c r="H86" s="12">
        <v>20240807</v>
      </c>
    </row>
    <row r="87" spans="1:8">
      <c r="B87" s="23" t="s">
        <v>92</v>
      </c>
      <c r="C87" s="23" t="s">
        <v>219</v>
      </c>
      <c r="D87" s="23" t="s">
        <v>219</v>
      </c>
      <c r="E87" s="23" t="s">
        <v>1433</v>
      </c>
      <c r="F87" s="24" t="s">
        <v>1229</v>
      </c>
      <c r="G87" s="22">
        <v>0</v>
      </c>
      <c r="H87" s="12">
        <v>20240807</v>
      </c>
    </row>
    <row r="88" spans="1:8">
      <c r="A88" s="18">
        <v>985.6912</v>
      </c>
      <c r="B88" s="12" t="s">
        <v>1434</v>
      </c>
      <c r="C88" s="12" t="s">
        <v>129</v>
      </c>
      <c r="D88" s="12" t="s">
        <v>151</v>
      </c>
      <c r="E88" s="12" t="s">
        <v>131</v>
      </c>
      <c r="F88" s="123" t="s">
        <v>1435</v>
      </c>
      <c r="G88" s="19">
        <v>1</v>
      </c>
      <c r="H88" s="12">
        <v>20240807</v>
      </c>
    </row>
  </sheetData>
  <autoFilter xmlns:etc="http://www.wps.cn/officeDocument/2017/etCustomData" ref="A1:H88" etc:filterBottomFollowUsedRange="0">
    <extLst/>
  </autoFilter>
  <sortState ref="A2:H89">
    <sortCondition ref="B2:B89"/>
  </sortState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160"/>
  <sheetViews>
    <sheetView workbookViewId="0">
      <selection activeCell="H16" sqref="H16:H25"/>
    </sheetView>
  </sheetViews>
  <sheetFormatPr defaultColWidth="9" defaultRowHeight="14.25" outlineLevelCol="7"/>
  <cols>
    <col min="2" max="2" width="9.125" style="4" customWidth="1"/>
    <col min="3" max="5" width="9" style="4"/>
    <col min="6" max="6" width="79.625" style="74" customWidth="1"/>
    <col min="7" max="7" width="9.125" style="4" customWidth="1"/>
    <col min="8" max="8" width="9.5" customWidth="1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ht="15" spans="1:8">
      <c r="A2" s="40">
        <v>986.95</v>
      </c>
      <c r="B2" s="41">
        <v>0</v>
      </c>
      <c r="C2" s="42" t="s">
        <v>106</v>
      </c>
      <c r="D2" s="42" t="s">
        <v>451</v>
      </c>
      <c r="E2" s="42" t="s">
        <v>1357</v>
      </c>
      <c r="F2" s="43" t="s">
        <v>1436</v>
      </c>
      <c r="G2" s="41">
        <v>0</v>
      </c>
      <c r="H2" s="12">
        <v>20250731</v>
      </c>
    </row>
    <row r="3" ht="15" spans="1:8">
      <c r="A3" s="40">
        <v>986.95</v>
      </c>
      <c r="B3" s="41">
        <v>0</v>
      </c>
      <c r="C3" s="42" t="s">
        <v>106</v>
      </c>
      <c r="D3" s="42" t="s">
        <v>451</v>
      </c>
      <c r="E3" s="49" t="s">
        <v>10</v>
      </c>
      <c r="F3" s="50" t="s">
        <v>1437</v>
      </c>
      <c r="G3" s="47">
        <v>1</v>
      </c>
      <c r="H3" s="12">
        <v>20250731</v>
      </c>
    </row>
    <row r="4" ht="15" spans="1:8">
      <c r="A4" s="40">
        <v>987.74</v>
      </c>
      <c r="B4" s="41">
        <v>0</v>
      </c>
      <c r="C4" s="42" t="s">
        <v>106</v>
      </c>
      <c r="D4" s="42" t="s">
        <v>107</v>
      </c>
      <c r="E4" s="49" t="s">
        <v>10</v>
      </c>
      <c r="F4" s="50" t="s">
        <v>1438</v>
      </c>
      <c r="G4" s="47">
        <v>1</v>
      </c>
      <c r="H4" s="12">
        <v>20250731</v>
      </c>
    </row>
    <row r="5" ht="15" spans="1:8">
      <c r="A5" s="40">
        <v>986.95</v>
      </c>
      <c r="B5" s="41">
        <v>0</v>
      </c>
      <c r="C5" s="42" t="s">
        <v>106</v>
      </c>
      <c r="D5" s="42" t="s">
        <v>451</v>
      </c>
      <c r="E5" s="49" t="s">
        <v>1439</v>
      </c>
      <c r="F5" s="50" t="s">
        <v>1440</v>
      </c>
      <c r="G5" s="47">
        <v>1</v>
      </c>
      <c r="H5" s="12">
        <v>20250731</v>
      </c>
    </row>
    <row r="6" ht="15" spans="1:8">
      <c r="A6" s="40">
        <v>987.74</v>
      </c>
      <c r="B6" s="41">
        <v>0</v>
      </c>
      <c r="C6" s="42" t="s">
        <v>106</v>
      </c>
      <c r="D6" s="42" t="s">
        <v>107</v>
      </c>
      <c r="E6" s="49" t="s">
        <v>10</v>
      </c>
      <c r="F6" s="50" t="s">
        <v>1441</v>
      </c>
      <c r="G6" s="47">
        <v>1</v>
      </c>
      <c r="H6" s="12">
        <v>20250731</v>
      </c>
    </row>
    <row r="7" ht="15" spans="1:8">
      <c r="A7" s="40">
        <v>986.95</v>
      </c>
      <c r="B7" s="51">
        <v>0</v>
      </c>
      <c r="C7" s="52" t="s">
        <v>106</v>
      </c>
      <c r="D7" s="49" t="s">
        <v>451</v>
      </c>
      <c r="E7" s="53" t="s">
        <v>1442</v>
      </c>
      <c r="F7" s="50" t="s">
        <v>1443</v>
      </c>
      <c r="G7" s="54">
        <v>1</v>
      </c>
      <c r="H7" s="12">
        <v>20250731</v>
      </c>
    </row>
    <row r="8" ht="15.75" spans="1:8">
      <c r="A8" s="40">
        <v>986.95</v>
      </c>
      <c r="B8" s="44">
        <v>1</v>
      </c>
      <c r="C8" s="45" t="s">
        <v>219</v>
      </c>
      <c r="D8" s="45" t="s">
        <v>219</v>
      </c>
      <c r="E8" s="45" t="s">
        <v>851</v>
      </c>
      <c r="F8" s="46" t="s">
        <v>1444</v>
      </c>
      <c r="G8" s="44">
        <v>1</v>
      </c>
      <c r="H8" s="12">
        <v>20250731</v>
      </c>
    </row>
    <row r="9" ht="15" spans="1:8">
      <c r="A9" s="40">
        <v>986.952</v>
      </c>
      <c r="B9" s="51">
        <v>1</v>
      </c>
      <c r="C9" s="52" t="s">
        <v>8</v>
      </c>
      <c r="D9" s="49" t="s">
        <v>49</v>
      </c>
      <c r="E9" s="49" t="s">
        <v>41</v>
      </c>
      <c r="F9" s="50" t="s">
        <v>1445</v>
      </c>
      <c r="G9" s="54">
        <v>1</v>
      </c>
      <c r="H9" s="12">
        <v>20250731</v>
      </c>
    </row>
    <row r="10" ht="15" spans="1:8">
      <c r="A10" s="40">
        <v>986.95</v>
      </c>
      <c r="B10" s="51">
        <v>1</v>
      </c>
      <c r="C10" s="52" t="s">
        <v>17</v>
      </c>
      <c r="D10" s="49" t="s">
        <v>177</v>
      </c>
      <c r="E10" s="53" t="s">
        <v>292</v>
      </c>
      <c r="F10" s="50" t="s">
        <v>1446</v>
      </c>
      <c r="G10" s="54">
        <v>1</v>
      </c>
      <c r="H10" s="12">
        <v>20250731</v>
      </c>
    </row>
    <row r="11" ht="15" spans="1:8">
      <c r="A11" s="40">
        <v>986.9578</v>
      </c>
      <c r="B11" s="41">
        <v>2</v>
      </c>
      <c r="C11" s="42" t="s">
        <v>8</v>
      </c>
      <c r="D11" s="49" t="s">
        <v>43</v>
      </c>
      <c r="E11" s="49" t="s">
        <v>41</v>
      </c>
      <c r="F11" s="50" t="s">
        <v>1447</v>
      </c>
      <c r="G11" s="47">
        <v>1</v>
      </c>
      <c r="H11" s="12">
        <v>20250731</v>
      </c>
    </row>
    <row r="12" ht="15" spans="1:8">
      <c r="A12" s="40">
        <v>986.9578</v>
      </c>
      <c r="B12" s="41">
        <v>2</v>
      </c>
      <c r="C12" s="42" t="s">
        <v>8</v>
      </c>
      <c r="D12" s="49" t="s">
        <v>9</v>
      </c>
      <c r="E12" s="49" t="s">
        <v>41</v>
      </c>
      <c r="F12" s="50" t="s">
        <v>1448</v>
      </c>
      <c r="G12" s="47">
        <v>1</v>
      </c>
      <c r="H12" s="12">
        <v>20250731</v>
      </c>
    </row>
    <row r="13" ht="15" spans="1:8">
      <c r="A13" s="40">
        <v>986.9642</v>
      </c>
      <c r="B13" s="41">
        <v>3</v>
      </c>
      <c r="C13" s="42" t="s">
        <v>8</v>
      </c>
      <c r="D13" s="49" t="s">
        <v>43</v>
      </c>
      <c r="E13" s="49" t="s">
        <v>41</v>
      </c>
      <c r="F13" s="50" t="s">
        <v>1449</v>
      </c>
      <c r="G13" s="47">
        <v>1</v>
      </c>
      <c r="H13" s="12">
        <v>20250731</v>
      </c>
    </row>
    <row r="14" ht="15" spans="1:8">
      <c r="A14" s="40">
        <v>986.9642</v>
      </c>
      <c r="B14" s="41">
        <v>3</v>
      </c>
      <c r="C14" s="42" t="s">
        <v>8</v>
      </c>
      <c r="D14" s="49" t="s">
        <v>49</v>
      </c>
      <c r="E14" s="49" t="s">
        <v>41</v>
      </c>
      <c r="F14" s="50" t="s">
        <v>1450</v>
      </c>
      <c r="G14" s="47">
        <v>1</v>
      </c>
      <c r="H14" s="12">
        <v>20250731</v>
      </c>
    </row>
    <row r="15" ht="15" spans="1:8">
      <c r="A15" s="40">
        <v>986.9667</v>
      </c>
      <c r="B15" s="41">
        <v>3</v>
      </c>
      <c r="C15" s="42" t="s">
        <v>8</v>
      </c>
      <c r="D15" s="49" t="s">
        <v>9</v>
      </c>
      <c r="E15" s="49" t="s">
        <v>33</v>
      </c>
      <c r="F15" s="50" t="s">
        <v>1451</v>
      </c>
      <c r="G15" s="47">
        <v>0</v>
      </c>
      <c r="H15" s="12">
        <v>20250731</v>
      </c>
    </row>
    <row r="16" ht="15" spans="1:8">
      <c r="A16" s="40">
        <v>986.9705</v>
      </c>
      <c r="B16" s="41">
        <v>4</v>
      </c>
      <c r="C16" s="42" t="s">
        <v>8</v>
      </c>
      <c r="D16" s="49" t="s">
        <v>43</v>
      </c>
      <c r="E16" s="49" t="s">
        <v>41</v>
      </c>
      <c r="F16" s="50" t="s">
        <v>1452</v>
      </c>
      <c r="G16" s="47">
        <v>1</v>
      </c>
      <c r="H16" s="12">
        <v>20250731</v>
      </c>
    </row>
    <row r="17" ht="15" spans="1:8">
      <c r="A17" s="40">
        <v>986.9705</v>
      </c>
      <c r="B17" s="47">
        <v>4</v>
      </c>
      <c r="C17" s="52" t="s">
        <v>25</v>
      </c>
      <c r="D17" s="49" t="s">
        <v>43</v>
      </c>
      <c r="E17" s="49" t="s">
        <v>470</v>
      </c>
      <c r="F17" s="50" t="s">
        <v>1453</v>
      </c>
      <c r="G17" s="47">
        <v>1</v>
      </c>
      <c r="H17" s="12">
        <v>20250731</v>
      </c>
    </row>
    <row r="18" customHeight="1" spans="1:8">
      <c r="A18" s="40">
        <v>986.9781</v>
      </c>
      <c r="B18" s="41">
        <v>5</v>
      </c>
      <c r="C18" s="42" t="s">
        <v>8</v>
      </c>
      <c r="D18" s="49" t="s">
        <v>9</v>
      </c>
      <c r="E18" s="49" t="s">
        <v>33</v>
      </c>
      <c r="F18" s="50" t="s">
        <v>1454</v>
      </c>
      <c r="G18" s="47">
        <v>1</v>
      </c>
      <c r="H18" s="12">
        <v>20250731</v>
      </c>
    </row>
    <row r="19" ht="15" spans="1:8">
      <c r="A19" s="40">
        <v>986.9861</v>
      </c>
      <c r="B19" s="41">
        <v>5</v>
      </c>
      <c r="C19" s="42" t="s">
        <v>17</v>
      </c>
      <c r="D19" s="49" t="s">
        <v>18</v>
      </c>
      <c r="E19" s="49" t="s">
        <v>292</v>
      </c>
      <c r="F19" s="50" t="s">
        <v>1455</v>
      </c>
      <c r="G19" s="47">
        <v>1</v>
      </c>
      <c r="H19" s="12">
        <v>20250731</v>
      </c>
    </row>
    <row r="20" ht="15.75" spans="1:8">
      <c r="A20" s="40">
        <v>986.9781</v>
      </c>
      <c r="B20" s="44">
        <v>5</v>
      </c>
      <c r="C20" s="45" t="s">
        <v>219</v>
      </c>
      <c r="D20" s="45" t="s">
        <v>219</v>
      </c>
      <c r="E20" s="45" t="s">
        <v>871</v>
      </c>
      <c r="F20" s="62" t="s">
        <v>1456</v>
      </c>
      <c r="G20" s="44">
        <v>1</v>
      </c>
      <c r="H20" s="12">
        <v>20250731</v>
      </c>
    </row>
    <row r="21" ht="15" spans="1:8">
      <c r="A21" s="40">
        <v>986.9869</v>
      </c>
      <c r="B21" s="41">
        <v>6</v>
      </c>
      <c r="C21" s="42" t="s">
        <v>8</v>
      </c>
      <c r="D21" s="49" t="s">
        <v>43</v>
      </c>
      <c r="E21" s="49" t="s">
        <v>41</v>
      </c>
      <c r="F21" s="50" t="s">
        <v>1457</v>
      </c>
      <c r="G21" s="47">
        <v>1</v>
      </c>
      <c r="H21" s="12">
        <v>20250731</v>
      </c>
    </row>
    <row r="22" ht="15" spans="1:8">
      <c r="A22" s="40">
        <v>986.9899</v>
      </c>
      <c r="B22" s="41">
        <v>6</v>
      </c>
      <c r="C22" s="42" t="s">
        <v>8</v>
      </c>
      <c r="D22" s="49" t="s">
        <v>43</v>
      </c>
      <c r="E22" s="49" t="s">
        <v>41</v>
      </c>
      <c r="F22" s="50" t="s">
        <v>1458</v>
      </c>
      <c r="G22" s="47">
        <v>1</v>
      </c>
      <c r="H22" s="12">
        <v>20250731</v>
      </c>
    </row>
    <row r="23" ht="15" spans="1:8">
      <c r="A23" s="40">
        <v>986.9909</v>
      </c>
      <c r="B23" s="41">
        <v>6</v>
      </c>
      <c r="C23" s="42" t="s">
        <v>8</v>
      </c>
      <c r="D23" s="49" t="s">
        <v>49</v>
      </c>
      <c r="E23" s="49" t="s">
        <v>41</v>
      </c>
      <c r="F23" s="50" t="s">
        <v>1459</v>
      </c>
      <c r="G23" s="47">
        <v>1</v>
      </c>
      <c r="H23" s="12">
        <v>20250731</v>
      </c>
    </row>
    <row r="24" ht="15" spans="1:8">
      <c r="A24" s="40">
        <v>986.9916</v>
      </c>
      <c r="B24" s="41">
        <v>6</v>
      </c>
      <c r="C24" s="42" t="s">
        <v>8</v>
      </c>
      <c r="D24" s="49" t="s">
        <v>9</v>
      </c>
      <c r="E24" s="49" t="s">
        <v>33</v>
      </c>
      <c r="F24" s="50" t="s">
        <v>1460</v>
      </c>
      <c r="G24" s="47">
        <v>0</v>
      </c>
      <c r="H24" s="12">
        <v>20250731</v>
      </c>
    </row>
    <row r="25" ht="15.75" spans="1:8">
      <c r="A25" s="40">
        <v>986.9859</v>
      </c>
      <c r="B25" s="44">
        <v>6</v>
      </c>
      <c r="C25" s="45" t="s">
        <v>219</v>
      </c>
      <c r="D25" s="45" t="s">
        <v>219</v>
      </c>
      <c r="E25" s="45" t="s">
        <v>851</v>
      </c>
      <c r="F25" s="46" t="s">
        <v>1461</v>
      </c>
      <c r="G25" s="44">
        <v>1</v>
      </c>
      <c r="H25" s="12">
        <v>20250731</v>
      </c>
    </row>
    <row r="26" ht="15" spans="1:8">
      <c r="A26" s="40">
        <v>986.9859</v>
      </c>
      <c r="B26" s="47">
        <v>6</v>
      </c>
      <c r="C26" s="52" t="s">
        <v>25</v>
      </c>
      <c r="D26" s="49" t="s">
        <v>43</v>
      </c>
      <c r="E26" s="49" t="s">
        <v>470</v>
      </c>
      <c r="F26" s="50" t="s">
        <v>1462</v>
      </c>
      <c r="G26" s="47">
        <v>1</v>
      </c>
      <c r="H26" s="12">
        <v>20250731</v>
      </c>
    </row>
    <row r="27" ht="15" spans="1:8">
      <c r="A27" s="40">
        <v>986.9899</v>
      </c>
      <c r="B27" s="55">
        <v>6</v>
      </c>
      <c r="C27" s="59" t="s">
        <v>8</v>
      </c>
      <c r="D27" s="57" t="s">
        <v>9</v>
      </c>
      <c r="E27" s="49" t="s">
        <v>33</v>
      </c>
      <c r="F27" s="58" t="s">
        <v>1463</v>
      </c>
      <c r="G27" s="41">
        <v>0</v>
      </c>
      <c r="H27" s="12">
        <v>20250731</v>
      </c>
    </row>
    <row r="28" ht="15" spans="1:8">
      <c r="A28" s="40">
        <v>986.9936</v>
      </c>
      <c r="B28" s="41">
        <v>7</v>
      </c>
      <c r="C28" s="42" t="s">
        <v>8</v>
      </c>
      <c r="D28" s="49" t="s">
        <v>43</v>
      </c>
      <c r="E28" s="49" t="s">
        <v>33</v>
      </c>
      <c r="F28" s="50" t="s">
        <v>1464</v>
      </c>
      <c r="G28" s="145">
        <v>0</v>
      </c>
      <c r="H28" s="12">
        <v>20250731</v>
      </c>
    </row>
    <row r="29" ht="15.75" spans="1:8">
      <c r="A29" s="40">
        <v>986.9936</v>
      </c>
      <c r="B29" s="44">
        <v>7</v>
      </c>
      <c r="C29" s="45" t="s">
        <v>219</v>
      </c>
      <c r="D29" s="45" t="s">
        <v>219</v>
      </c>
      <c r="E29" s="45" t="s">
        <v>851</v>
      </c>
      <c r="F29" s="62" t="s">
        <v>1465</v>
      </c>
      <c r="G29" s="44">
        <v>1</v>
      </c>
      <c r="H29" s="12">
        <v>20250731</v>
      </c>
    </row>
    <row r="30" ht="25.5" spans="1:8">
      <c r="A30" s="40">
        <v>987.0006</v>
      </c>
      <c r="B30" s="47">
        <v>8</v>
      </c>
      <c r="C30" s="52" t="s">
        <v>25</v>
      </c>
      <c r="D30" s="49" t="s">
        <v>1466</v>
      </c>
      <c r="E30" s="49" t="s">
        <v>470</v>
      </c>
      <c r="F30" s="50" t="s">
        <v>1453</v>
      </c>
      <c r="G30" s="47">
        <v>1</v>
      </c>
      <c r="H30" s="12">
        <v>20250731</v>
      </c>
    </row>
    <row r="31" ht="15" spans="1:8">
      <c r="A31" s="40">
        <v>987.0083</v>
      </c>
      <c r="B31" s="47">
        <v>9</v>
      </c>
      <c r="C31" s="52" t="s">
        <v>25</v>
      </c>
      <c r="D31" s="49" t="s">
        <v>43</v>
      </c>
      <c r="E31" s="49" t="s">
        <v>470</v>
      </c>
      <c r="F31" s="50" t="s">
        <v>1467</v>
      </c>
      <c r="G31" s="47">
        <v>1</v>
      </c>
      <c r="H31" s="12">
        <v>20250731</v>
      </c>
    </row>
    <row r="32" ht="15.75" spans="1:8">
      <c r="A32" s="40">
        <v>987.0304</v>
      </c>
      <c r="B32" s="44">
        <v>11</v>
      </c>
      <c r="C32" s="45" t="s">
        <v>219</v>
      </c>
      <c r="D32" s="45" t="s">
        <v>219</v>
      </c>
      <c r="E32" s="45" t="s">
        <v>1468</v>
      </c>
      <c r="F32" s="46" t="s">
        <v>1469</v>
      </c>
      <c r="G32" s="44">
        <v>1</v>
      </c>
      <c r="H32" s="12">
        <v>20250731</v>
      </c>
    </row>
    <row r="33" ht="40.5" spans="1:8">
      <c r="A33" s="40">
        <v>987.0594</v>
      </c>
      <c r="B33" s="51">
        <v>15</v>
      </c>
      <c r="C33" s="45" t="s">
        <v>878</v>
      </c>
      <c r="D33" s="49" t="s">
        <v>177</v>
      </c>
      <c r="E33" s="53" t="s">
        <v>29</v>
      </c>
      <c r="F33" s="50" t="s">
        <v>1470</v>
      </c>
      <c r="G33" s="54">
        <v>1</v>
      </c>
      <c r="H33" s="12">
        <v>20250731</v>
      </c>
    </row>
    <row r="34" ht="15.75" spans="1:8">
      <c r="A34" s="40">
        <v>987.0695</v>
      </c>
      <c r="B34" s="44">
        <v>16</v>
      </c>
      <c r="C34" s="45" t="s">
        <v>219</v>
      </c>
      <c r="D34" s="45" t="s">
        <v>219</v>
      </c>
      <c r="E34" s="45" t="s">
        <v>1468</v>
      </c>
      <c r="F34" s="46" t="s">
        <v>1471</v>
      </c>
      <c r="G34" s="44">
        <v>1</v>
      </c>
      <c r="H34" s="12">
        <v>20250731</v>
      </c>
    </row>
    <row r="35" ht="15.75" spans="1:8">
      <c r="A35" s="40">
        <v>987.0776</v>
      </c>
      <c r="B35" s="44">
        <v>17</v>
      </c>
      <c r="C35" s="45" t="s">
        <v>219</v>
      </c>
      <c r="D35" s="45" t="s">
        <v>219</v>
      </c>
      <c r="E35" s="45" t="s">
        <v>851</v>
      </c>
      <c r="F35" s="46" t="s">
        <v>1472</v>
      </c>
      <c r="G35" s="44">
        <v>1</v>
      </c>
      <c r="H35" s="12">
        <v>20250731</v>
      </c>
    </row>
    <row r="36" customHeight="1" spans="1:8">
      <c r="A36" s="40">
        <v>987.0899</v>
      </c>
      <c r="B36" s="41">
        <v>19</v>
      </c>
      <c r="C36" s="42" t="s">
        <v>8</v>
      </c>
      <c r="D36" s="49" t="s">
        <v>43</v>
      </c>
      <c r="E36" s="49" t="s">
        <v>15</v>
      </c>
      <c r="F36" s="50" t="s">
        <v>1473</v>
      </c>
      <c r="G36" s="47">
        <v>1</v>
      </c>
      <c r="H36" s="12">
        <v>20250731</v>
      </c>
    </row>
    <row r="37" ht="15" spans="1:8">
      <c r="A37" s="40">
        <v>987.0897</v>
      </c>
      <c r="B37" s="47">
        <v>19</v>
      </c>
      <c r="C37" s="49" t="s">
        <v>25</v>
      </c>
      <c r="D37" s="49" t="s">
        <v>1474</v>
      </c>
      <c r="E37" s="49" t="s">
        <v>470</v>
      </c>
      <c r="F37" s="50" t="s">
        <v>1475</v>
      </c>
      <c r="G37" s="47">
        <v>1</v>
      </c>
      <c r="H37" s="12">
        <v>20250731</v>
      </c>
    </row>
    <row r="38" ht="15" spans="1:8">
      <c r="A38" s="40">
        <v>987.1093</v>
      </c>
      <c r="B38" s="44">
        <v>21</v>
      </c>
      <c r="C38" s="45" t="s">
        <v>219</v>
      </c>
      <c r="D38" s="45" t="s">
        <v>219</v>
      </c>
      <c r="E38" s="45" t="s">
        <v>894</v>
      </c>
      <c r="F38" s="46" t="s">
        <v>1476</v>
      </c>
      <c r="G38" s="44">
        <v>1</v>
      </c>
      <c r="H38" s="12">
        <v>20250731</v>
      </c>
    </row>
    <row r="39" ht="15.75" spans="1:8">
      <c r="A39" s="40">
        <v>987.1189</v>
      </c>
      <c r="B39" s="44">
        <v>22</v>
      </c>
      <c r="C39" s="45" t="s">
        <v>219</v>
      </c>
      <c r="D39" s="45" t="s">
        <v>219</v>
      </c>
      <c r="E39" s="45" t="s">
        <v>851</v>
      </c>
      <c r="F39" s="46" t="s">
        <v>1477</v>
      </c>
      <c r="G39" s="44">
        <v>1</v>
      </c>
      <c r="H39" s="12">
        <v>20250731</v>
      </c>
    </row>
    <row r="40" ht="25.5" spans="1:8">
      <c r="A40" s="40">
        <v>987.1139</v>
      </c>
      <c r="B40" s="47">
        <v>22</v>
      </c>
      <c r="C40" s="52" t="s">
        <v>25</v>
      </c>
      <c r="D40" s="49" t="s">
        <v>1478</v>
      </c>
      <c r="E40" s="49" t="s">
        <v>470</v>
      </c>
      <c r="F40" s="50" t="s">
        <v>1479</v>
      </c>
      <c r="G40" s="47">
        <v>1</v>
      </c>
      <c r="H40" s="12">
        <v>20250731</v>
      </c>
    </row>
    <row r="41" ht="15" spans="1:8">
      <c r="A41" s="40">
        <v>987.1298</v>
      </c>
      <c r="B41" s="41">
        <v>24</v>
      </c>
      <c r="C41" s="42" t="s">
        <v>8</v>
      </c>
      <c r="D41" s="49" t="s">
        <v>43</v>
      </c>
      <c r="E41" s="49" t="s">
        <v>33</v>
      </c>
      <c r="F41" s="50" t="s">
        <v>1480</v>
      </c>
      <c r="G41" s="145">
        <v>0</v>
      </c>
      <c r="H41" s="12">
        <v>20250731</v>
      </c>
    </row>
    <row r="42" ht="15" spans="1:8">
      <c r="A42" s="40">
        <v>987.1338</v>
      </c>
      <c r="B42" s="44">
        <v>24</v>
      </c>
      <c r="C42" s="45" t="s">
        <v>219</v>
      </c>
      <c r="D42" s="45" t="s">
        <v>219</v>
      </c>
      <c r="E42" s="45" t="s">
        <v>894</v>
      </c>
      <c r="F42" s="46" t="s">
        <v>1481</v>
      </c>
      <c r="G42" s="44">
        <v>1</v>
      </c>
      <c r="H42" s="12">
        <v>20250731</v>
      </c>
    </row>
    <row r="43" ht="15" spans="1:8">
      <c r="A43" s="40">
        <v>987.138</v>
      </c>
      <c r="B43" s="41">
        <v>25</v>
      </c>
      <c r="C43" s="42" t="s">
        <v>8</v>
      </c>
      <c r="D43" s="49" t="s">
        <v>9</v>
      </c>
      <c r="E43" s="49" t="s">
        <v>33</v>
      </c>
      <c r="F43" s="50" t="s">
        <v>1482</v>
      </c>
      <c r="G43" s="47">
        <v>1</v>
      </c>
      <c r="H43" s="12">
        <v>20250731</v>
      </c>
    </row>
    <row r="44" customHeight="1" spans="1:8">
      <c r="A44" s="40">
        <v>987.1385</v>
      </c>
      <c r="B44" s="44">
        <v>25</v>
      </c>
      <c r="C44" s="45" t="s">
        <v>219</v>
      </c>
      <c r="D44" s="45" t="s">
        <v>219</v>
      </c>
      <c r="E44" s="45" t="s">
        <v>894</v>
      </c>
      <c r="F44" s="46" t="s">
        <v>1483</v>
      </c>
      <c r="G44" s="44">
        <v>1</v>
      </c>
      <c r="H44" s="12">
        <v>20250731</v>
      </c>
    </row>
    <row r="45" customHeight="1" spans="1:8">
      <c r="A45" s="40">
        <v>987.146</v>
      </c>
      <c r="B45" s="41">
        <v>26</v>
      </c>
      <c r="C45" s="42" t="s">
        <v>8</v>
      </c>
      <c r="D45" s="49" t="s">
        <v>9</v>
      </c>
      <c r="E45" s="49" t="s">
        <v>33</v>
      </c>
      <c r="F45" s="50" t="s">
        <v>1482</v>
      </c>
      <c r="G45" s="47">
        <v>1</v>
      </c>
      <c r="H45" s="12">
        <v>20250731</v>
      </c>
    </row>
    <row r="46" ht="15" spans="1:8">
      <c r="A46" s="40">
        <v>987.148</v>
      </c>
      <c r="B46" s="44">
        <v>26</v>
      </c>
      <c r="C46" s="45" t="s">
        <v>219</v>
      </c>
      <c r="D46" s="45" t="s">
        <v>219</v>
      </c>
      <c r="E46" s="45" t="s">
        <v>894</v>
      </c>
      <c r="F46" s="46" t="s">
        <v>1484</v>
      </c>
      <c r="G46" s="44">
        <v>1</v>
      </c>
      <c r="H46" s="12">
        <v>20250731</v>
      </c>
    </row>
    <row r="47" ht="15" spans="1:8">
      <c r="A47" s="40">
        <v>987.146</v>
      </c>
      <c r="B47" s="47">
        <v>26</v>
      </c>
      <c r="C47" s="52" t="s">
        <v>17</v>
      </c>
      <c r="D47" s="49" t="s">
        <v>177</v>
      </c>
      <c r="E47" s="53" t="s">
        <v>19</v>
      </c>
      <c r="F47" s="50" t="s">
        <v>1485</v>
      </c>
      <c r="G47" s="54">
        <v>1</v>
      </c>
      <c r="H47" s="12">
        <v>20250731</v>
      </c>
    </row>
    <row r="48" ht="15" spans="1:8">
      <c r="A48" s="40">
        <v>987.1539</v>
      </c>
      <c r="B48" s="41">
        <v>27</v>
      </c>
      <c r="C48" s="42" t="s">
        <v>8</v>
      </c>
      <c r="D48" s="49" t="s">
        <v>9</v>
      </c>
      <c r="E48" s="49" t="s">
        <v>33</v>
      </c>
      <c r="F48" s="50" t="s">
        <v>1482</v>
      </c>
      <c r="G48" s="47">
        <v>1</v>
      </c>
      <c r="H48" s="12">
        <v>20250731</v>
      </c>
    </row>
    <row r="49" ht="15" spans="1:8">
      <c r="A49" s="40">
        <v>987.1541</v>
      </c>
      <c r="B49" s="41">
        <v>27</v>
      </c>
      <c r="C49" s="42" t="s">
        <v>8</v>
      </c>
      <c r="D49" s="49" t="s">
        <v>49</v>
      </c>
      <c r="E49" s="49" t="s">
        <v>15</v>
      </c>
      <c r="F49" s="50" t="s">
        <v>1486</v>
      </c>
      <c r="G49" s="47">
        <v>1</v>
      </c>
      <c r="H49" s="12">
        <v>20250731</v>
      </c>
    </row>
    <row r="50" ht="15" spans="1:8">
      <c r="A50" s="40">
        <v>987.169</v>
      </c>
      <c r="B50" s="44">
        <v>28</v>
      </c>
      <c r="C50" s="45" t="s">
        <v>219</v>
      </c>
      <c r="D50" s="45" t="s">
        <v>219</v>
      </c>
      <c r="E50" s="45" t="s">
        <v>894</v>
      </c>
      <c r="F50" s="46" t="s">
        <v>1487</v>
      </c>
      <c r="G50" s="44">
        <v>1</v>
      </c>
      <c r="H50" s="12">
        <v>20250731</v>
      </c>
    </row>
    <row r="51" ht="15" spans="1:8">
      <c r="A51" s="40">
        <v>987.1622</v>
      </c>
      <c r="B51" s="47">
        <v>28</v>
      </c>
      <c r="C51" s="52" t="s">
        <v>8</v>
      </c>
      <c r="D51" s="49" t="s">
        <v>49</v>
      </c>
      <c r="E51" s="49" t="s">
        <v>15</v>
      </c>
      <c r="F51" s="50" t="s">
        <v>1488</v>
      </c>
      <c r="G51" s="47">
        <v>1</v>
      </c>
      <c r="H51" s="12">
        <v>20250731</v>
      </c>
    </row>
    <row r="52" ht="15" spans="1:8">
      <c r="A52" s="40">
        <v>987.174</v>
      </c>
      <c r="B52" s="41">
        <v>29</v>
      </c>
      <c r="C52" s="42" t="s">
        <v>17</v>
      </c>
      <c r="D52" s="49" t="s">
        <v>18</v>
      </c>
      <c r="E52" s="49" t="s">
        <v>19</v>
      </c>
      <c r="F52" s="50" t="s">
        <v>1489</v>
      </c>
      <c r="G52" s="47">
        <v>1</v>
      </c>
      <c r="H52" s="12">
        <v>20250731</v>
      </c>
    </row>
    <row r="53" ht="15" spans="1:8">
      <c r="A53" s="40">
        <v>987.17</v>
      </c>
      <c r="B53" s="41">
        <v>29</v>
      </c>
      <c r="C53" s="42" t="s">
        <v>8</v>
      </c>
      <c r="D53" s="49" t="s">
        <v>9</v>
      </c>
      <c r="E53" s="49" t="s">
        <v>33</v>
      </c>
      <c r="F53" s="50" t="s">
        <v>1490</v>
      </c>
      <c r="G53" s="47">
        <v>1</v>
      </c>
      <c r="H53" s="12">
        <v>20250731</v>
      </c>
    </row>
    <row r="54" ht="15" spans="1:8">
      <c r="A54" s="40">
        <v>987.1778</v>
      </c>
      <c r="B54" s="41">
        <v>30</v>
      </c>
      <c r="C54" s="42" t="s">
        <v>8</v>
      </c>
      <c r="D54" s="49" t="s">
        <v>43</v>
      </c>
      <c r="E54" s="49" t="s">
        <v>33</v>
      </c>
      <c r="F54" s="50" t="s">
        <v>1491</v>
      </c>
      <c r="G54" s="47">
        <v>1</v>
      </c>
      <c r="H54" s="12">
        <v>20250731</v>
      </c>
    </row>
    <row r="55" ht="15" spans="1:8">
      <c r="A55" s="40">
        <v>987.1858</v>
      </c>
      <c r="B55" s="41">
        <v>31</v>
      </c>
      <c r="C55" s="42" t="s">
        <v>8</v>
      </c>
      <c r="D55" s="49" t="s">
        <v>9</v>
      </c>
      <c r="E55" s="49" t="s">
        <v>33</v>
      </c>
      <c r="F55" s="50" t="s">
        <v>1482</v>
      </c>
      <c r="G55" s="47">
        <v>1</v>
      </c>
      <c r="H55" s="12">
        <v>20250731</v>
      </c>
    </row>
    <row r="56" ht="15" spans="1:8">
      <c r="A56" s="40">
        <v>987.1863</v>
      </c>
      <c r="B56" s="41">
        <v>31</v>
      </c>
      <c r="C56" s="42" t="s">
        <v>8</v>
      </c>
      <c r="D56" s="49" t="s">
        <v>9</v>
      </c>
      <c r="E56" s="49" t="s">
        <v>15</v>
      </c>
      <c r="F56" s="50" t="s">
        <v>1492</v>
      </c>
      <c r="G56" s="47">
        <v>1</v>
      </c>
      <c r="H56" s="12">
        <v>20250731</v>
      </c>
    </row>
    <row r="57" ht="15" spans="1:8">
      <c r="A57" s="40">
        <v>987.1858</v>
      </c>
      <c r="B57" s="47">
        <v>31</v>
      </c>
      <c r="C57" s="52" t="s">
        <v>17</v>
      </c>
      <c r="D57" s="49" t="s">
        <v>177</v>
      </c>
      <c r="E57" s="53" t="s">
        <v>1205</v>
      </c>
      <c r="F57" s="50" t="s">
        <v>1493</v>
      </c>
      <c r="G57" s="54">
        <v>1</v>
      </c>
      <c r="H57" s="12">
        <v>20250731</v>
      </c>
    </row>
    <row r="58" customHeight="1" spans="1:8">
      <c r="A58" s="40">
        <v>987.1939</v>
      </c>
      <c r="B58" s="47">
        <v>32</v>
      </c>
      <c r="C58" s="45" t="s">
        <v>219</v>
      </c>
      <c r="D58" s="45" t="s">
        <v>219</v>
      </c>
      <c r="E58" s="45" t="s">
        <v>894</v>
      </c>
      <c r="F58" s="46" t="s">
        <v>1494</v>
      </c>
      <c r="G58" s="44">
        <v>1</v>
      </c>
      <c r="H58" s="12">
        <v>20250731</v>
      </c>
    </row>
    <row r="59" ht="15" spans="1:8">
      <c r="A59" s="40">
        <v>987.2255</v>
      </c>
      <c r="B59" s="47">
        <v>36</v>
      </c>
      <c r="C59" s="52" t="s">
        <v>25</v>
      </c>
      <c r="D59" s="49" t="s">
        <v>49</v>
      </c>
      <c r="E59" s="49" t="s">
        <v>470</v>
      </c>
      <c r="F59" s="50" t="s">
        <v>1495</v>
      </c>
      <c r="G59" s="47">
        <v>1</v>
      </c>
      <c r="H59" s="12">
        <v>20250731</v>
      </c>
    </row>
    <row r="60" customHeight="1" spans="1:8">
      <c r="A60" s="40">
        <v>987.2335</v>
      </c>
      <c r="B60" s="47">
        <v>37</v>
      </c>
      <c r="C60" s="52" t="s">
        <v>25</v>
      </c>
      <c r="D60" s="49" t="s">
        <v>49</v>
      </c>
      <c r="E60" s="49" t="s">
        <v>470</v>
      </c>
      <c r="F60" s="50" t="s">
        <v>1496</v>
      </c>
      <c r="G60" s="47">
        <v>1</v>
      </c>
      <c r="H60" s="12">
        <v>20250731</v>
      </c>
    </row>
    <row r="61" ht="15" spans="1:8">
      <c r="A61" s="40">
        <v>987.2412</v>
      </c>
      <c r="B61" s="47">
        <v>38</v>
      </c>
      <c r="C61" s="52" t="s">
        <v>25</v>
      </c>
      <c r="D61" s="49" t="s">
        <v>9</v>
      </c>
      <c r="E61" s="49" t="s">
        <v>470</v>
      </c>
      <c r="F61" s="50" t="s">
        <v>1497</v>
      </c>
      <c r="G61" s="47">
        <v>1</v>
      </c>
      <c r="H61" s="12">
        <v>20250731</v>
      </c>
    </row>
    <row r="62" customHeight="1" spans="1:8">
      <c r="A62" s="40">
        <v>987.2493</v>
      </c>
      <c r="B62" s="44">
        <v>39</v>
      </c>
      <c r="C62" s="45" t="s">
        <v>219</v>
      </c>
      <c r="D62" s="45" t="s">
        <v>219</v>
      </c>
      <c r="E62" s="45" t="s">
        <v>33</v>
      </c>
      <c r="F62" s="46" t="s">
        <v>1498</v>
      </c>
      <c r="G62" s="44">
        <v>1</v>
      </c>
      <c r="H62" s="12">
        <v>20250731</v>
      </c>
    </row>
    <row r="63" ht="15.75" spans="1:8">
      <c r="A63" s="40">
        <v>987.2543</v>
      </c>
      <c r="B63" s="44">
        <v>39</v>
      </c>
      <c r="C63" s="45" t="s">
        <v>219</v>
      </c>
      <c r="D63" s="45" t="s">
        <v>219</v>
      </c>
      <c r="E63" s="45" t="s">
        <v>894</v>
      </c>
      <c r="F63" s="46" t="s">
        <v>1499</v>
      </c>
      <c r="G63" s="44">
        <v>1</v>
      </c>
      <c r="H63" s="12">
        <v>20250731</v>
      </c>
    </row>
    <row r="64" ht="15.75" spans="1:8">
      <c r="A64" s="40">
        <v>987.2572</v>
      </c>
      <c r="B64" s="44">
        <v>40</v>
      </c>
      <c r="C64" s="45" t="s">
        <v>219</v>
      </c>
      <c r="D64" s="45" t="s">
        <v>219</v>
      </c>
      <c r="E64" s="45" t="s">
        <v>1468</v>
      </c>
      <c r="F64" s="46" t="s">
        <v>1500</v>
      </c>
      <c r="G64" s="44">
        <v>1</v>
      </c>
      <c r="H64" s="12">
        <v>20250731</v>
      </c>
    </row>
    <row r="65" ht="15.75" spans="1:8">
      <c r="A65" s="40">
        <v>987.2622</v>
      </c>
      <c r="B65" s="44">
        <v>40</v>
      </c>
      <c r="C65" s="45" t="s">
        <v>219</v>
      </c>
      <c r="D65" s="45" t="s">
        <v>219</v>
      </c>
      <c r="E65" s="45" t="s">
        <v>1468</v>
      </c>
      <c r="F65" s="46" t="s">
        <v>1501</v>
      </c>
      <c r="G65" s="44">
        <v>1</v>
      </c>
      <c r="H65" s="12">
        <v>20250731</v>
      </c>
    </row>
    <row r="66" ht="15.75" spans="1:8">
      <c r="A66" s="40">
        <v>987.271</v>
      </c>
      <c r="B66" s="44">
        <v>41</v>
      </c>
      <c r="C66" s="45" t="s">
        <v>219</v>
      </c>
      <c r="D66" s="45" t="s">
        <v>219</v>
      </c>
      <c r="E66" s="45" t="s">
        <v>1468</v>
      </c>
      <c r="F66" s="46" t="s">
        <v>1502</v>
      </c>
      <c r="G66" s="44">
        <v>1</v>
      </c>
      <c r="H66" s="12">
        <v>20250731</v>
      </c>
    </row>
    <row r="67" ht="23.25" customHeight="1" spans="1:8">
      <c r="A67" s="40">
        <v>987.265</v>
      </c>
      <c r="B67" s="47">
        <v>41</v>
      </c>
      <c r="C67" s="52" t="s">
        <v>25</v>
      </c>
      <c r="D67" s="49" t="s">
        <v>1503</v>
      </c>
      <c r="E67" s="49" t="s">
        <v>470</v>
      </c>
      <c r="F67" s="50" t="s">
        <v>1504</v>
      </c>
      <c r="G67" s="47">
        <v>1</v>
      </c>
      <c r="H67" s="12">
        <v>20250731</v>
      </c>
    </row>
    <row r="68" ht="15" spans="1:8">
      <c r="A68" s="40">
        <v>987.28</v>
      </c>
      <c r="B68" s="41">
        <v>42</v>
      </c>
      <c r="C68" s="42" t="s">
        <v>17</v>
      </c>
      <c r="D68" s="49" t="s">
        <v>18</v>
      </c>
      <c r="E68" s="49" t="s">
        <v>19</v>
      </c>
      <c r="F68" s="50" t="s">
        <v>1505</v>
      </c>
      <c r="G68" s="47">
        <v>1</v>
      </c>
      <c r="H68" s="12">
        <v>20250731</v>
      </c>
    </row>
    <row r="69" ht="15" spans="1:8">
      <c r="A69" s="40">
        <v>987.2886</v>
      </c>
      <c r="B69" s="41">
        <v>44</v>
      </c>
      <c r="C69" s="42" t="s">
        <v>8</v>
      </c>
      <c r="D69" s="49" t="s">
        <v>43</v>
      </c>
      <c r="E69" s="49" t="s">
        <v>33</v>
      </c>
      <c r="F69" s="50" t="s">
        <v>1506</v>
      </c>
      <c r="G69" s="47">
        <v>0</v>
      </c>
      <c r="H69" s="12">
        <v>20250731</v>
      </c>
    </row>
    <row r="70" ht="15" spans="1:8">
      <c r="A70" s="40">
        <v>987.3041</v>
      </c>
      <c r="B70" s="41">
        <v>45</v>
      </c>
      <c r="C70" s="42" t="s">
        <v>8</v>
      </c>
      <c r="D70" s="49" t="s">
        <v>9</v>
      </c>
      <c r="E70" s="49" t="s">
        <v>15</v>
      </c>
      <c r="F70" s="50" t="s">
        <v>1507</v>
      </c>
      <c r="G70" s="47">
        <v>0</v>
      </c>
      <c r="H70" s="12">
        <v>20250731</v>
      </c>
    </row>
    <row r="71" ht="15" spans="1:8">
      <c r="A71" s="40">
        <v>987.2966</v>
      </c>
      <c r="B71" s="47">
        <v>45</v>
      </c>
      <c r="C71" s="52" t="s">
        <v>17</v>
      </c>
      <c r="D71" s="49" t="s">
        <v>177</v>
      </c>
      <c r="E71" s="53" t="s">
        <v>19</v>
      </c>
      <c r="F71" s="50" t="s">
        <v>1508</v>
      </c>
      <c r="G71" s="54">
        <v>1</v>
      </c>
      <c r="H71" s="12">
        <v>20250731</v>
      </c>
    </row>
    <row r="72" ht="15" spans="1:8">
      <c r="A72" s="40">
        <v>987.3526</v>
      </c>
      <c r="B72" s="41">
        <v>52</v>
      </c>
      <c r="C72" s="42" t="s">
        <v>8</v>
      </c>
      <c r="D72" s="49" t="s">
        <v>49</v>
      </c>
      <c r="E72" s="49" t="s">
        <v>33</v>
      </c>
      <c r="F72" s="50" t="s">
        <v>1509</v>
      </c>
      <c r="G72" s="47">
        <v>0</v>
      </c>
      <c r="H72" s="12">
        <v>20250731</v>
      </c>
    </row>
    <row r="73" ht="27" customHeight="1" spans="1:8">
      <c r="A73" s="40">
        <v>987.3752</v>
      </c>
      <c r="B73" s="44">
        <v>55</v>
      </c>
      <c r="C73" s="45" t="s">
        <v>95</v>
      </c>
      <c r="D73" s="45" t="s">
        <v>95</v>
      </c>
      <c r="E73" s="45" t="s">
        <v>97</v>
      </c>
      <c r="F73" s="46" t="s">
        <v>1510</v>
      </c>
      <c r="G73" s="44">
        <v>1</v>
      </c>
      <c r="H73" s="12">
        <v>20250731</v>
      </c>
    </row>
    <row r="74" ht="15" spans="1:8">
      <c r="A74" s="40">
        <v>987.3881</v>
      </c>
      <c r="B74" s="41">
        <v>56</v>
      </c>
      <c r="C74" s="42" t="s">
        <v>17</v>
      </c>
      <c r="D74" s="49" t="s">
        <v>18</v>
      </c>
      <c r="E74" s="49" t="s">
        <v>19</v>
      </c>
      <c r="F74" s="50" t="s">
        <v>1511</v>
      </c>
      <c r="G74" s="47">
        <v>1</v>
      </c>
      <c r="H74" s="12">
        <v>20250731</v>
      </c>
    </row>
    <row r="75" ht="15.75" spans="1:8">
      <c r="A75" s="40">
        <v>987.3928</v>
      </c>
      <c r="B75" s="44">
        <v>57</v>
      </c>
      <c r="C75" s="45" t="s">
        <v>219</v>
      </c>
      <c r="D75" s="45" t="s">
        <v>219</v>
      </c>
      <c r="E75" s="45" t="s">
        <v>1468</v>
      </c>
      <c r="F75" s="46" t="s">
        <v>1512</v>
      </c>
      <c r="G75" s="44">
        <v>1</v>
      </c>
      <c r="H75" s="12">
        <v>20250731</v>
      </c>
    </row>
    <row r="76" ht="15" spans="1:8">
      <c r="A76" s="40">
        <v>987.3953</v>
      </c>
      <c r="B76" s="47">
        <v>57</v>
      </c>
      <c r="C76" s="52" t="s">
        <v>17</v>
      </c>
      <c r="D76" s="49" t="s">
        <v>177</v>
      </c>
      <c r="E76" s="53" t="s">
        <v>19</v>
      </c>
      <c r="F76" s="50" t="s">
        <v>1513</v>
      </c>
      <c r="G76" s="54">
        <v>1</v>
      </c>
      <c r="H76" s="12">
        <v>20250731</v>
      </c>
    </row>
    <row r="77" ht="15" spans="1:8">
      <c r="A77" s="40">
        <v>987.4008</v>
      </c>
      <c r="B77" s="47">
        <v>58</v>
      </c>
      <c r="C77" s="52" t="s">
        <v>17</v>
      </c>
      <c r="D77" s="49" t="s">
        <v>177</v>
      </c>
      <c r="E77" s="53" t="s">
        <v>19</v>
      </c>
      <c r="F77" s="50" t="s">
        <v>1514</v>
      </c>
      <c r="G77" s="54">
        <v>1</v>
      </c>
      <c r="H77" s="12">
        <v>20250731</v>
      </c>
    </row>
    <row r="78" ht="15" spans="1:8">
      <c r="A78" s="40">
        <v>987.4045</v>
      </c>
      <c r="B78" s="41">
        <v>59</v>
      </c>
      <c r="C78" s="42" t="s">
        <v>8</v>
      </c>
      <c r="D78" s="49" t="s">
        <v>43</v>
      </c>
      <c r="E78" s="49" t="s">
        <v>41</v>
      </c>
      <c r="F78" s="50" t="s">
        <v>1515</v>
      </c>
      <c r="G78" s="47">
        <v>1</v>
      </c>
      <c r="H78" s="12">
        <v>20250731</v>
      </c>
    </row>
    <row r="79" ht="15" spans="1:8">
      <c r="A79" s="40">
        <v>987.4045</v>
      </c>
      <c r="B79" s="41">
        <v>59</v>
      </c>
      <c r="C79" s="42" t="s">
        <v>8</v>
      </c>
      <c r="D79" s="49" t="s">
        <v>43</v>
      </c>
      <c r="E79" s="49" t="s">
        <v>33</v>
      </c>
      <c r="F79" s="50" t="s">
        <v>1516</v>
      </c>
      <c r="G79" s="47">
        <v>1</v>
      </c>
      <c r="H79" s="12">
        <v>20250731</v>
      </c>
    </row>
    <row r="80" ht="15" spans="1:8">
      <c r="A80" s="146">
        <v>987.4146</v>
      </c>
      <c r="B80" s="44">
        <v>60</v>
      </c>
      <c r="C80" s="45" t="s">
        <v>219</v>
      </c>
      <c r="D80" s="45" t="s">
        <v>219</v>
      </c>
      <c r="E80" s="45" t="s">
        <v>894</v>
      </c>
      <c r="F80" s="46" t="s">
        <v>1484</v>
      </c>
      <c r="G80" s="44">
        <v>1</v>
      </c>
      <c r="H80" s="12">
        <v>20250731</v>
      </c>
    </row>
    <row r="81" ht="15" spans="1:8">
      <c r="A81" s="40">
        <v>987.4126</v>
      </c>
      <c r="B81" s="47">
        <v>60</v>
      </c>
      <c r="C81" s="52" t="s">
        <v>25</v>
      </c>
      <c r="D81" s="49" t="s">
        <v>43</v>
      </c>
      <c r="E81" s="49" t="s">
        <v>470</v>
      </c>
      <c r="F81" s="50" t="s">
        <v>1517</v>
      </c>
      <c r="G81" s="47">
        <v>1</v>
      </c>
      <c r="H81" s="12">
        <v>20250731</v>
      </c>
    </row>
    <row r="82" ht="15.75" spans="1:8">
      <c r="A82" s="40">
        <v>987.4355</v>
      </c>
      <c r="B82" s="44">
        <v>62</v>
      </c>
      <c r="C82" s="45" t="s">
        <v>219</v>
      </c>
      <c r="D82" s="45" t="s">
        <v>219</v>
      </c>
      <c r="E82" s="45" t="s">
        <v>1468</v>
      </c>
      <c r="F82" s="46" t="s">
        <v>1518</v>
      </c>
      <c r="G82" s="44">
        <v>1</v>
      </c>
      <c r="H82" s="12">
        <v>20250731</v>
      </c>
    </row>
    <row r="83" ht="15.75" spans="1:8">
      <c r="A83" s="40">
        <v>987.437</v>
      </c>
      <c r="B83" s="44">
        <v>63</v>
      </c>
      <c r="C83" s="45" t="s">
        <v>219</v>
      </c>
      <c r="D83" s="45" t="s">
        <v>219</v>
      </c>
      <c r="E83" s="45" t="s">
        <v>1468</v>
      </c>
      <c r="F83" s="46" t="s">
        <v>1519</v>
      </c>
      <c r="G83" s="44">
        <v>1</v>
      </c>
      <c r="H83" s="12">
        <v>20250731</v>
      </c>
    </row>
    <row r="84" ht="15" spans="1:8">
      <c r="A84" s="40">
        <v>987.4603</v>
      </c>
      <c r="B84" s="41">
        <v>66</v>
      </c>
      <c r="C84" s="42" t="s">
        <v>8</v>
      </c>
      <c r="D84" s="49" t="s">
        <v>43</v>
      </c>
      <c r="E84" s="49" t="s">
        <v>33</v>
      </c>
      <c r="F84" s="50" t="s">
        <v>1520</v>
      </c>
      <c r="G84" s="47">
        <v>1</v>
      </c>
      <c r="H84" s="12">
        <v>20250731</v>
      </c>
    </row>
    <row r="85" ht="15" spans="1:8">
      <c r="A85" s="40">
        <v>987.4842</v>
      </c>
      <c r="B85" s="41">
        <v>69</v>
      </c>
      <c r="C85" s="42" t="s">
        <v>8</v>
      </c>
      <c r="D85" s="49" t="s">
        <v>43</v>
      </c>
      <c r="E85" s="49" t="s">
        <v>41</v>
      </c>
      <c r="F85" s="50" t="s">
        <v>1521</v>
      </c>
      <c r="G85" s="47">
        <v>1</v>
      </c>
      <c r="H85" s="12">
        <v>20250731</v>
      </c>
    </row>
    <row r="86" ht="15" spans="1:8">
      <c r="A86" s="40">
        <v>987.4872</v>
      </c>
      <c r="B86" s="41">
        <v>69</v>
      </c>
      <c r="C86" s="42" t="s">
        <v>8</v>
      </c>
      <c r="D86" s="49" t="s">
        <v>43</v>
      </c>
      <c r="E86" s="49" t="s">
        <v>41</v>
      </c>
      <c r="F86" s="50" t="s">
        <v>1522</v>
      </c>
      <c r="G86" s="47">
        <v>1</v>
      </c>
      <c r="H86" s="12">
        <v>20250731</v>
      </c>
    </row>
    <row r="87" ht="15" spans="1:8">
      <c r="A87" s="40">
        <v>987.4921</v>
      </c>
      <c r="B87" s="41">
        <v>70</v>
      </c>
      <c r="C87" s="42" t="s">
        <v>8</v>
      </c>
      <c r="D87" s="49" t="s">
        <v>49</v>
      </c>
      <c r="E87" s="49" t="s">
        <v>33</v>
      </c>
      <c r="F87" s="50" t="s">
        <v>1523</v>
      </c>
      <c r="G87" s="47">
        <v>0</v>
      </c>
      <c r="H87" s="12">
        <v>20250731</v>
      </c>
    </row>
    <row r="88" ht="15" spans="1:8">
      <c r="A88" s="40">
        <v>987.4921</v>
      </c>
      <c r="B88" s="47">
        <v>70</v>
      </c>
      <c r="C88" s="52" t="s">
        <v>25</v>
      </c>
      <c r="D88" s="49" t="s">
        <v>9</v>
      </c>
      <c r="E88" s="49" t="s">
        <v>470</v>
      </c>
      <c r="F88" s="50" t="s">
        <v>1524</v>
      </c>
      <c r="G88" s="47">
        <v>1</v>
      </c>
      <c r="H88" s="12">
        <v>20250731</v>
      </c>
    </row>
    <row r="89" ht="15" spans="1:8">
      <c r="A89" s="40">
        <v>987.5001</v>
      </c>
      <c r="B89" s="41">
        <v>71</v>
      </c>
      <c r="C89" s="42" t="s">
        <v>8</v>
      </c>
      <c r="D89" s="49" t="s">
        <v>49</v>
      </c>
      <c r="E89" s="49" t="s">
        <v>33</v>
      </c>
      <c r="F89" s="50" t="s">
        <v>1525</v>
      </c>
      <c r="G89" s="47">
        <v>1</v>
      </c>
      <c r="H89" s="12">
        <v>20250731</v>
      </c>
    </row>
    <row r="90" ht="15" spans="1:8">
      <c r="A90" s="40">
        <v>987.5082</v>
      </c>
      <c r="B90" s="41">
        <v>72</v>
      </c>
      <c r="C90" s="42" t="s">
        <v>8</v>
      </c>
      <c r="D90" s="49" t="s">
        <v>49</v>
      </c>
      <c r="E90" s="49" t="s">
        <v>33</v>
      </c>
      <c r="F90" s="50" t="s">
        <v>1526</v>
      </c>
      <c r="G90" s="47">
        <v>1</v>
      </c>
      <c r="H90" s="12">
        <v>20250731</v>
      </c>
    </row>
    <row r="91" ht="15" spans="1:8">
      <c r="A91" s="40">
        <v>987.5302</v>
      </c>
      <c r="B91" s="41">
        <v>74</v>
      </c>
      <c r="C91" s="42" t="s">
        <v>8</v>
      </c>
      <c r="D91" s="49" t="s">
        <v>40</v>
      </c>
      <c r="E91" s="49" t="s">
        <v>847</v>
      </c>
      <c r="F91" s="50" t="s">
        <v>1527</v>
      </c>
      <c r="G91" s="147">
        <v>2</v>
      </c>
      <c r="H91" s="12">
        <v>20250731</v>
      </c>
    </row>
    <row r="92" ht="27" spans="1:8">
      <c r="A92" s="40">
        <v>987.5323</v>
      </c>
      <c r="B92" s="44">
        <v>75</v>
      </c>
      <c r="C92" s="45" t="s">
        <v>95</v>
      </c>
      <c r="D92" s="45" t="s">
        <v>95</v>
      </c>
      <c r="E92" s="45" t="s">
        <v>97</v>
      </c>
      <c r="F92" s="46" t="s">
        <v>1510</v>
      </c>
      <c r="G92" s="44">
        <v>1</v>
      </c>
      <c r="H92" s="12">
        <v>20250731</v>
      </c>
    </row>
    <row r="93" ht="15" spans="1:8">
      <c r="A93" s="40">
        <v>987.5323</v>
      </c>
      <c r="B93" s="47">
        <v>75</v>
      </c>
      <c r="C93" s="52" t="s">
        <v>25</v>
      </c>
      <c r="D93" s="49" t="s">
        <v>43</v>
      </c>
      <c r="E93" s="49" t="s">
        <v>470</v>
      </c>
      <c r="F93" s="50" t="s">
        <v>1528</v>
      </c>
      <c r="G93" s="47">
        <v>1</v>
      </c>
      <c r="H93" s="12">
        <v>20250731</v>
      </c>
    </row>
    <row r="94" ht="15" spans="1:8">
      <c r="A94" s="40">
        <v>987.5564</v>
      </c>
      <c r="B94" s="47">
        <v>78</v>
      </c>
      <c r="C94" s="52" t="s">
        <v>25</v>
      </c>
      <c r="D94" s="49" t="s">
        <v>9</v>
      </c>
      <c r="E94" s="49" t="s">
        <v>470</v>
      </c>
      <c r="F94" s="50" t="s">
        <v>1528</v>
      </c>
      <c r="G94" s="47">
        <v>1</v>
      </c>
      <c r="H94" s="12">
        <v>20250731</v>
      </c>
    </row>
    <row r="95" ht="15" spans="1:8">
      <c r="A95" s="40">
        <v>987.5721</v>
      </c>
      <c r="B95" s="41">
        <v>80</v>
      </c>
      <c r="C95" s="42" t="s">
        <v>8</v>
      </c>
      <c r="D95" s="49" t="s">
        <v>43</v>
      </c>
      <c r="E95" s="49" t="s">
        <v>41</v>
      </c>
      <c r="F95" s="50" t="s">
        <v>1529</v>
      </c>
      <c r="G95" s="47">
        <v>1</v>
      </c>
      <c r="H95" s="12">
        <v>20250731</v>
      </c>
    </row>
    <row r="96" ht="15" spans="1:8">
      <c r="A96" s="40">
        <v>987.5721</v>
      </c>
      <c r="B96" s="47">
        <v>80</v>
      </c>
      <c r="C96" s="52" t="s">
        <v>25</v>
      </c>
      <c r="D96" s="49" t="s">
        <v>9</v>
      </c>
      <c r="E96" s="49" t="s">
        <v>470</v>
      </c>
      <c r="F96" s="50" t="s">
        <v>1453</v>
      </c>
      <c r="G96" s="47">
        <v>1</v>
      </c>
      <c r="H96" s="12">
        <v>20250731</v>
      </c>
    </row>
    <row r="97" ht="15" spans="1:8">
      <c r="A97" s="40">
        <v>987.5775</v>
      </c>
      <c r="B97" s="41">
        <v>81</v>
      </c>
      <c r="C97" s="42" t="s">
        <v>8</v>
      </c>
      <c r="D97" s="49" t="s">
        <v>49</v>
      </c>
      <c r="E97" s="49" t="s">
        <v>41</v>
      </c>
      <c r="F97" s="50" t="s">
        <v>1530</v>
      </c>
      <c r="G97" s="47">
        <v>1</v>
      </c>
      <c r="H97" s="12">
        <v>20250731</v>
      </c>
    </row>
    <row r="98" ht="15" spans="1:8">
      <c r="A98" s="40">
        <v>987.5855</v>
      </c>
      <c r="B98" s="41">
        <v>82</v>
      </c>
      <c r="C98" s="42" t="s">
        <v>8</v>
      </c>
      <c r="D98" s="49" t="s">
        <v>49</v>
      </c>
      <c r="E98" s="49" t="s">
        <v>847</v>
      </c>
      <c r="F98" s="50" t="s">
        <v>1531</v>
      </c>
      <c r="G98" s="47">
        <v>1</v>
      </c>
      <c r="H98" s="12">
        <v>20250731</v>
      </c>
    </row>
    <row r="99" ht="15" spans="1:8">
      <c r="A99" s="40">
        <v>987.5855</v>
      </c>
      <c r="B99" s="44">
        <v>82</v>
      </c>
      <c r="C99" s="45" t="s">
        <v>219</v>
      </c>
      <c r="D99" s="45" t="s">
        <v>219</v>
      </c>
      <c r="E99" s="45" t="s">
        <v>894</v>
      </c>
      <c r="F99" s="46" t="s">
        <v>1532</v>
      </c>
      <c r="G99" s="44">
        <v>1</v>
      </c>
      <c r="H99" s="12">
        <v>20250731</v>
      </c>
    </row>
    <row r="100" ht="15" spans="1:8">
      <c r="A100" s="40">
        <v>987.5875</v>
      </c>
      <c r="B100" s="47">
        <v>82</v>
      </c>
      <c r="C100" s="52" t="s">
        <v>25</v>
      </c>
      <c r="D100" s="49" t="s">
        <v>49</v>
      </c>
      <c r="E100" s="49" t="s">
        <v>470</v>
      </c>
      <c r="F100" s="50" t="s">
        <v>1533</v>
      </c>
      <c r="G100" s="47">
        <v>1</v>
      </c>
      <c r="H100" s="12">
        <v>20250731</v>
      </c>
    </row>
    <row r="101" ht="25.5" spans="1:8">
      <c r="A101" s="40">
        <v>987.5956</v>
      </c>
      <c r="B101" s="41">
        <v>83</v>
      </c>
      <c r="C101" s="42" t="s">
        <v>8</v>
      </c>
      <c r="D101" s="49" t="s">
        <v>40</v>
      </c>
      <c r="E101" s="49" t="s">
        <v>1534</v>
      </c>
      <c r="F101" s="50" t="s">
        <v>1535</v>
      </c>
      <c r="G101" s="47">
        <v>1</v>
      </c>
      <c r="H101" s="12">
        <v>20250731</v>
      </c>
    </row>
    <row r="102" ht="15" spans="1:8">
      <c r="A102" s="40">
        <v>987.5936</v>
      </c>
      <c r="B102" s="41">
        <v>83</v>
      </c>
      <c r="C102" s="42" t="s">
        <v>8</v>
      </c>
      <c r="D102" s="49" t="s">
        <v>40</v>
      </c>
      <c r="E102" s="49" t="s">
        <v>41</v>
      </c>
      <c r="F102" s="50" t="s">
        <v>1536</v>
      </c>
      <c r="G102" s="47">
        <v>1</v>
      </c>
      <c r="H102" s="12">
        <v>20250731</v>
      </c>
    </row>
    <row r="103" ht="15" spans="1:8">
      <c r="A103" s="40">
        <v>987.5936</v>
      </c>
      <c r="B103" s="41">
        <v>83</v>
      </c>
      <c r="C103" s="42" t="s">
        <v>8</v>
      </c>
      <c r="D103" s="49" t="s">
        <v>26</v>
      </c>
      <c r="E103" s="49" t="s">
        <v>41</v>
      </c>
      <c r="F103" s="50" t="s">
        <v>1536</v>
      </c>
      <c r="G103" s="47">
        <v>1</v>
      </c>
      <c r="H103" s="12">
        <v>20250731</v>
      </c>
    </row>
    <row r="104" ht="15" spans="1:8">
      <c r="A104" s="40">
        <v>987.5936</v>
      </c>
      <c r="B104" s="41">
        <v>83</v>
      </c>
      <c r="C104" s="42" t="s">
        <v>8</v>
      </c>
      <c r="D104" s="49" t="s">
        <v>40</v>
      </c>
      <c r="E104" s="49" t="s">
        <v>847</v>
      </c>
      <c r="F104" s="50" t="s">
        <v>1537</v>
      </c>
      <c r="G104" s="47">
        <v>2</v>
      </c>
      <c r="H104" s="12">
        <v>20250731</v>
      </c>
    </row>
    <row r="105" ht="15" spans="1:8">
      <c r="A105" s="40">
        <v>987.6018</v>
      </c>
      <c r="B105" s="41">
        <v>84</v>
      </c>
      <c r="C105" s="42" t="s">
        <v>8</v>
      </c>
      <c r="D105" s="49" t="s">
        <v>40</v>
      </c>
      <c r="E105" s="49" t="s">
        <v>41</v>
      </c>
      <c r="F105" s="50" t="s">
        <v>1536</v>
      </c>
      <c r="G105" s="47">
        <v>1</v>
      </c>
      <c r="H105" s="12">
        <v>20250731</v>
      </c>
    </row>
    <row r="106" ht="25.5" spans="1:8">
      <c r="A106" s="40">
        <v>987.6108</v>
      </c>
      <c r="B106" s="41">
        <v>85</v>
      </c>
      <c r="C106" s="42" t="s">
        <v>8</v>
      </c>
      <c r="D106" s="49" t="s">
        <v>40</v>
      </c>
      <c r="E106" s="49" t="s">
        <v>1534</v>
      </c>
      <c r="F106" s="50" t="s">
        <v>1538</v>
      </c>
      <c r="G106" s="47">
        <v>1</v>
      </c>
      <c r="H106" s="12">
        <v>20250731</v>
      </c>
    </row>
    <row r="107" ht="15" spans="1:8">
      <c r="A107" s="40">
        <v>987.6078</v>
      </c>
      <c r="B107" s="41">
        <v>85</v>
      </c>
      <c r="C107" s="42" t="s">
        <v>8</v>
      </c>
      <c r="D107" s="49" t="s">
        <v>40</v>
      </c>
      <c r="E107" s="49" t="s">
        <v>41</v>
      </c>
      <c r="F107" s="50" t="s">
        <v>1536</v>
      </c>
      <c r="G107" s="47">
        <v>1</v>
      </c>
      <c r="H107" s="12">
        <v>20250731</v>
      </c>
    </row>
    <row r="108" ht="15" spans="1:8">
      <c r="A108" s="40">
        <v>987.6078</v>
      </c>
      <c r="B108" s="41">
        <v>85</v>
      </c>
      <c r="C108" s="42" t="s">
        <v>8</v>
      </c>
      <c r="D108" s="49" t="s">
        <v>26</v>
      </c>
      <c r="E108" s="49" t="s">
        <v>41</v>
      </c>
      <c r="F108" s="50" t="s">
        <v>1536</v>
      </c>
      <c r="G108" s="47">
        <v>1</v>
      </c>
      <c r="H108" s="12">
        <v>20250731</v>
      </c>
    </row>
    <row r="109" ht="15" spans="1:8">
      <c r="A109" s="40">
        <v>987.6138</v>
      </c>
      <c r="B109" s="41">
        <v>85</v>
      </c>
      <c r="C109" s="42" t="s">
        <v>8</v>
      </c>
      <c r="D109" s="49" t="s">
        <v>49</v>
      </c>
      <c r="E109" s="49" t="s">
        <v>314</v>
      </c>
      <c r="F109" s="50" t="s">
        <v>1539</v>
      </c>
      <c r="G109" s="47">
        <v>2</v>
      </c>
      <c r="H109" s="12">
        <v>20250731</v>
      </c>
    </row>
    <row r="110" ht="15" spans="1:8">
      <c r="A110" s="40">
        <v>987.6128</v>
      </c>
      <c r="B110" s="47">
        <v>85</v>
      </c>
      <c r="C110" s="52" t="s">
        <v>25</v>
      </c>
      <c r="D110" s="49" t="s">
        <v>26</v>
      </c>
      <c r="E110" s="49" t="s">
        <v>1540</v>
      </c>
      <c r="F110" s="50" t="s">
        <v>1541</v>
      </c>
      <c r="G110" s="47">
        <v>1</v>
      </c>
      <c r="H110" s="12">
        <v>20250731</v>
      </c>
    </row>
    <row r="111" ht="26.25" customHeight="1" spans="1:8">
      <c r="A111" s="40">
        <v>987.6138</v>
      </c>
      <c r="B111" s="55">
        <v>85</v>
      </c>
      <c r="C111" s="59" t="s">
        <v>8</v>
      </c>
      <c r="D111" s="57" t="s">
        <v>43</v>
      </c>
      <c r="E111" s="148" t="s">
        <v>33</v>
      </c>
      <c r="F111" s="58" t="s">
        <v>1542</v>
      </c>
      <c r="G111" s="41">
        <v>1</v>
      </c>
      <c r="H111" s="12">
        <v>20250731</v>
      </c>
    </row>
    <row r="112" ht="15" spans="1:8">
      <c r="A112" s="40">
        <v>987.6189</v>
      </c>
      <c r="B112" s="41">
        <v>86</v>
      </c>
      <c r="C112" s="42" t="s">
        <v>8</v>
      </c>
      <c r="D112" s="49" t="s">
        <v>40</v>
      </c>
      <c r="E112" s="148" t="s">
        <v>33</v>
      </c>
      <c r="F112" s="149" t="s">
        <v>1543</v>
      </c>
      <c r="G112" s="47">
        <v>1</v>
      </c>
      <c r="H112" s="12">
        <v>20250731</v>
      </c>
    </row>
    <row r="113" ht="15" spans="1:8">
      <c r="A113" s="40">
        <v>987.6159</v>
      </c>
      <c r="B113" s="41">
        <v>86</v>
      </c>
      <c r="C113" s="42" t="s">
        <v>8</v>
      </c>
      <c r="D113" s="49" t="s">
        <v>26</v>
      </c>
      <c r="E113" s="49" t="s">
        <v>41</v>
      </c>
      <c r="F113" s="50" t="s">
        <v>1536</v>
      </c>
      <c r="G113" s="47">
        <v>1</v>
      </c>
      <c r="H113" s="12">
        <v>20250731</v>
      </c>
    </row>
    <row r="114" ht="15" spans="1:8">
      <c r="A114" s="40">
        <v>987.6239</v>
      </c>
      <c r="B114" s="41">
        <v>87</v>
      </c>
      <c r="C114" s="42" t="s">
        <v>8</v>
      </c>
      <c r="D114" s="49" t="s">
        <v>40</v>
      </c>
      <c r="E114" s="49" t="s">
        <v>41</v>
      </c>
      <c r="F114" s="149" t="s">
        <v>1544</v>
      </c>
      <c r="G114" s="47">
        <v>1</v>
      </c>
      <c r="H114" s="12">
        <v>20250731</v>
      </c>
    </row>
    <row r="115" ht="15" spans="1:8">
      <c r="A115" s="40">
        <v>987.6239</v>
      </c>
      <c r="B115" s="47">
        <v>87</v>
      </c>
      <c r="C115" s="52" t="s">
        <v>8</v>
      </c>
      <c r="D115" s="49" t="s">
        <v>26</v>
      </c>
      <c r="E115" s="49" t="s">
        <v>41</v>
      </c>
      <c r="F115" s="50" t="s">
        <v>1545</v>
      </c>
      <c r="G115" s="47">
        <v>1</v>
      </c>
      <c r="H115" s="12">
        <v>20250731</v>
      </c>
    </row>
    <row r="116" ht="15" spans="1:8">
      <c r="A116" s="40">
        <v>987.6351</v>
      </c>
      <c r="B116" s="41">
        <v>88</v>
      </c>
      <c r="C116" s="42" t="s">
        <v>8</v>
      </c>
      <c r="D116" s="49" t="s">
        <v>43</v>
      </c>
      <c r="E116" s="49" t="s">
        <v>33</v>
      </c>
      <c r="F116" s="50" t="s">
        <v>1546</v>
      </c>
      <c r="G116" s="47">
        <v>1</v>
      </c>
      <c r="H116" s="12">
        <v>20250731</v>
      </c>
    </row>
    <row r="117" ht="15" spans="1:8">
      <c r="A117" s="40">
        <v>987.6361</v>
      </c>
      <c r="B117" s="41">
        <v>88</v>
      </c>
      <c r="C117" s="42" t="s">
        <v>8</v>
      </c>
      <c r="D117" s="49" t="s">
        <v>49</v>
      </c>
      <c r="E117" s="49" t="s">
        <v>41</v>
      </c>
      <c r="F117" s="50" t="s">
        <v>1547</v>
      </c>
      <c r="G117" s="47">
        <v>1</v>
      </c>
      <c r="H117" s="12">
        <v>20250731</v>
      </c>
    </row>
    <row r="118" ht="15" spans="1:8">
      <c r="A118" s="40">
        <v>987.6321</v>
      </c>
      <c r="B118" s="47">
        <v>88</v>
      </c>
      <c r="C118" s="52" t="s">
        <v>8</v>
      </c>
      <c r="D118" s="49" t="s">
        <v>49</v>
      </c>
      <c r="E118" s="49" t="s">
        <v>41</v>
      </c>
      <c r="F118" s="50" t="s">
        <v>1548</v>
      </c>
      <c r="G118" s="47">
        <v>1</v>
      </c>
      <c r="H118" s="12">
        <v>20250731</v>
      </c>
    </row>
    <row r="119" ht="15" spans="1:8">
      <c r="A119" s="40">
        <v>987.6326</v>
      </c>
      <c r="B119" s="41">
        <v>89</v>
      </c>
      <c r="C119" s="42" t="s">
        <v>8</v>
      </c>
      <c r="D119" s="49" t="s">
        <v>43</v>
      </c>
      <c r="E119" s="49" t="s">
        <v>33</v>
      </c>
      <c r="F119" s="50" t="s">
        <v>1549</v>
      </c>
      <c r="G119" s="47">
        <v>1</v>
      </c>
      <c r="H119" s="12">
        <v>20250731</v>
      </c>
    </row>
    <row r="120" ht="15" spans="1:8">
      <c r="A120" s="40">
        <v>987.6492</v>
      </c>
      <c r="B120" s="41">
        <v>90</v>
      </c>
      <c r="C120" s="42" t="s">
        <v>8</v>
      </c>
      <c r="D120" s="49" t="s">
        <v>43</v>
      </c>
      <c r="E120" s="49" t="s">
        <v>41</v>
      </c>
      <c r="F120" s="50" t="s">
        <v>1550</v>
      </c>
      <c r="G120" s="47">
        <v>1</v>
      </c>
      <c r="H120" s="12">
        <v>20250731</v>
      </c>
    </row>
    <row r="121" ht="15" spans="1:8">
      <c r="A121" s="40">
        <v>987.6522</v>
      </c>
      <c r="B121" s="51">
        <v>90</v>
      </c>
      <c r="C121" s="52" t="s">
        <v>8</v>
      </c>
      <c r="D121" s="49" t="s">
        <v>26</v>
      </c>
      <c r="E121" s="53" t="s">
        <v>41</v>
      </c>
      <c r="F121" s="50" t="s">
        <v>1551</v>
      </c>
      <c r="G121" s="54">
        <v>1</v>
      </c>
      <c r="H121" s="12">
        <v>20250731</v>
      </c>
    </row>
    <row r="122" ht="15" spans="1:8">
      <c r="A122" s="40">
        <v>987.6602</v>
      </c>
      <c r="B122" s="41">
        <v>91</v>
      </c>
      <c r="C122" s="42" t="s">
        <v>8</v>
      </c>
      <c r="D122" s="49" t="s">
        <v>43</v>
      </c>
      <c r="E122" s="49" t="s">
        <v>33</v>
      </c>
      <c r="F122" s="50" t="s">
        <v>1552</v>
      </c>
      <c r="G122" s="47">
        <v>1</v>
      </c>
      <c r="H122" s="12">
        <v>20250731</v>
      </c>
    </row>
    <row r="123" ht="15" spans="1:8">
      <c r="A123" s="40">
        <v>987.6562</v>
      </c>
      <c r="B123" s="41">
        <v>91</v>
      </c>
      <c r="C123" s="42" t="s">
        <v>8</v>
      </c>
      <c r="D123" s="49" t="s">
        <v>40</v>
      </c>
      <c r="E123" s="49" t="s">
        <v>41</v>
      </c>
      <c r="F123" s="50" t="s">
        <v>1553</v>
      </c>
      <c r="G123" s="47">
        <v>1</v>
      </c>
      <c r="H123" s="12">
        <v>20250731</v>
      </c>
    </row>
    <row r="124" ht="15" spans="1:8">
      <c r="A124" s="40">
        <v>987.6642</v>
      </c>
      <c r="B124" s="41">
        <v>91</v>
      </c>
      <c r="C124" s="42" t="s">
        <v>8</v>
      </c>
      <c r="D124" s="49" t="s">
        <v>40</v>
      </c>
      <c r="E124" s="49" t="s">
        <v>41</v>
      </c>
      <c r="F124" s="50" t="s">
        <v>1554</v>
      </c>
      <c r="G124" s="47">
        <v>1</v>
      </c>
      <c r="H124" s="12">
        <v>20250731</v>
      </c>
    </row>
    <row r="125" ht="15" spans="1:8">
      <c r="A125" s="40">
        <v>987.6592</v>
      </c>
      <c r="B125" s="47">
        <v>91</v>
      </c>
      <c r="C125" s="52" t="s">
        <v>8</v>
      </c>
      <c r="D125" s="49" t="s">
        <v>49</v>
      </c>
      <c r="E125" s="53" t="s">
        <v>41</v>
      </c>
      <c r="F125" s="50" t="s">
        <v>1555</v>
      </c>
      <c r="G125" s="54">
        <v>1</v>
      </c>
      <c r="H125" s="12">
        <v>20250731</v>
      </c>
    </row>
    <row r="126" ht="40.5" spans="1:8">
      <c r="A126" s="146">
        <v>987.6651</v>
      </c>
      <c r="B126" s="41">
        <v>92</v>
      </c>
      <c r="C126" s="45" t="s">
        <v>878</v>
      </c>
      <c r="D126" s="49" t="s">
        <v>18</v>
      </c>
      <c r="E126" s="49" t="s">
        <v>941</v>
      </c>
      <c r="F126" s="50" t="s">
        <v>1556</v>
      </c>
      <c r="G126" s="47">
        <v>1</v>
      </c>
      <c r="H126" s="12">
        <v>20250731</v>
      </c>
    </row>
    <row r="127" ht="15" spans="1:8">
      <c r="A127" s="40">
        <v>987.6641</v>
      </c>
      <c r="B127" s="41">
        <v>92</v>
      </c>
      <c r="C127" s="42" t="s">
        <v>8</v>
      </c>
      <c r="D127" s="49" t="s">
        <v>26</v>
      </c>
      <c r="E127" s="49" t="s">
        <v>41</v>
      </c>
      <c r="F127" s="50" t="s">
        <v>1553</v>
      </c>
      <c r="G127" s="47">
        <v>1</v>
      </c>
      <c r="H127" s="12">
        <v>20250731</v>
      </c>
    </row>
    <row r="128" ht="15" spans="1:8">
      <c r="A128" s="40">
        <v>987.6691</v>
      </c>
      <c r="B128" s="41">
        <v>92</v>
      </c>
      <c r="C128" s="42" t="s">
        <v>8</v>
      </c>
      <c r="D128" s="49" t="s">
        <v>43</v>
      </c>
      <c r="E128" s="49" t="s">
        <v>33</v>
      </c>
      <c r="F128" s="50" t="s">
        <v>1557</v>
      </c>
      <c r="G128" s="47">
        <v>0</v>
      </c>
      <c r="H128" s="12">
        <v>20250731</v>
      </c>
    </row>
    <row r="129" ht="15" spans="1:8">
      <c r="A129" s="40">
        <v>987.6752</v>
      </c>
      <c r="B129" s="41">
        <v>93</v>
      </c>
      <c r="C129" s="42" t="s">
        <v>8</v>
      </c>
      <c r="D129" s="49" t="s">
        <v>40</v>
      </c>
      <c r="E129" s="49" t="s">
        <v>41</v>
      </c>
      <c r="F129" s="50" t="s">
        <v>1558</v>
      </c>
      <c r="G129" s="47">
        <v>1</v>
      </c>
      <c r="H129" s="12">
        <v>20250731</v>
      </c>
    </row>
    <row r="130" ht="15" spans="1:8">
      <c r="A130" s="40">
        <v>987.6722</v>
      </c>
      <c r="B130" s="41">
        <v>93</v>
      </c>
      <c r="C130" s="42" t="s">
        <v>8</v>
      </c>
      <c r="D130" s="49" t="s">
        <v>26</v>
      </c>
      <c r="E130" s="49" t="s">
        <v>41</v>
      </c>
      <c r="F130" s="50" t="s">
        <v>1559</v>
      </c>
      <c r="G130" s="47">
        <v>1</v>
      </c>
      <c r="H130" s="12">
        <v>20250731</v>
      </c>
    </row>
    <row r="131" ht="15" spans="1:8">
      <c r="A131" s="40">
        <v>987.6767</v>
      </c>
      <c r="B131" s="41">
        <v>93</v>
      </c>
      <c r="C131" s="42" t="s">
        <v>8</v>
      </c>
      <c r="D131" s="49" t="s">
        <v>43</v>
      </c>
      <c r="E131" s="49" t="s">
        <v>33</v>
      </c>
      <c r="F131" s="50" t="s">
        <v>1560</v>
      </c>
      <c r="G131" s="47">
        <v>1</v>
      </c>
      <c r="H131" s="12">
        <v>20250731</v>
      </c>
    </row>
    <row r="132" ht="15" spans="1:8">
      <c r="A132" s="40">
        <v>987.6752</v>
      </c>
      <c r="B132" s="55">
        <v>93</v>
      </c>
      <c r="C132" s="59" t="s">
        <v>8</v>
      </c>
      <c r="D132" s="57" t="s">
        <v>43</v>
      </c>
      <c r="E132" s="57" t="s">
        <v>15</v>
      </c>
      <c r="F132" s="58" t="s">
        <v>1561</v>
      </c>
      <c r="G132" s="41">
        <v>1</v>
      </c>
      <c r="H132" s="12">
        <v>20250731</v>
      </c>
    </row>
    <row r="133" ht="15" spans="1:8">
      <c r="A133" s="40">
        <v>987.6783</v>
      </c>
      <c r="B133" s="41">
        <v>94</v>
      </c>
      <c r="C133" s="42" t="s">
        <v>8</v>
      </c>
      <c r="D133" s="49" t="s">
        <v>43</v>
      </c>
      <c r="E133" s="49" t="s">
        <v>41</v>
      </c>
      <c r="F133" s="50" t="s">
        <v>1449</v>
      </c>
      <c r="G133" s="47">
        <v>1</v>
      </c>
      <c r="H133" s="12">
        <v>20250731</v>
      </c>
    </row>
    <row r="134" ht="15" spans="1:8">
      <c r="A134" s="40">
        <v>987.6843</v>
      </c>
      <c r="B134" s="55">
        <v>94</v>
      </c>
      <c r="C134" s="59" t="s">
        <v>8</v>
      </c>
      <c r="D134" s="57" t="s">
        <v>43</v>
      </c>
      <c r="E134" s="57" t="s">
        <v>15</v>
      </c>
      <c r="F134" s="58" t="s">
        <v>1562</v>
      </c>
      <c r="G134" s="41">
        <v>1</v>
      </c>
      <c r="H134" s="12">
        <v>20250731</v>
      </c>
    </row>
    <row r="135" ht="15" spans="1:8">
      <c r="A135" s="40">
        <v>987.6865</v>
      </c>
      <c r="B135" s="41">
        <v>95</v>
      </c>
      <c r="C135" s="42" t="s">
        <v>8</v>
      </c>
      <c r="D135" s="49" t="s">
        <v>26</v>
      </c>
      <c r="E135" s="49" t="s">
        <v>41</v>
      </c>
      <c r="F135" s="50" t="s">
        <v>1563</v>
      </c>
      <c r="G135" s="47">
        <v>1</v>
      </c>
      <c r="H135" s="12">
        <v>20250731</v>
      </c>
    </row>
    <row r="136" ht="15" spans="1:8">
      <c r="A136" s="40">
        <v>987.6945</v>
      </c>
      <c r="B136" s="41">
        <v>96</v>
      </c>
      <c r="C136" s="42" t="s">
        <v>8</v>
      </c>
      <c r="D136" s="49" t="s">
        <v>43</v>
      </c>
      <c r="E136" s="49" t="s">
        <v>41</v>
      </c>
      <c r="F136" s="50" t="s">
        <v>1452</v>
      </c>
      <c r="G136" s="47">
        <v>1</v>
      </c>
      <c r="H136" s="12">
        <v>20250731</v>
      </c>
    </row>
    <row r="137" ht="15" spans="1:8">
      <c r="A137" s="40">
        <v>987.7026</v>
      </c>
      <c r="B137" s="41">
        <v>97</v>
      </c>
      <c r="C137" s="42" t="s">
        <v>8</v>
      </c>
      <c r="D137" s="49" t="s">
        <v>26</v>
      </c>
      <c r="E137" s="49" t="s">
        <v>41</v>
      </c>
      <c r="F137" s="50" t="s">
        <v>1564</v>
      </c>
      <c r="G137" s="47">
        <v>1</v>
      </c>
      <c r="H137" s="12">
        <v>20250731</v>
      </c>
    </row>
    <row r="138" ht="15" spans="1:8">
      <c r="A138" s="40">
        <v>987.7046</v>
      </c>
      <c r="B138" s="51">
        <v>97</v>
      </c>
      <c r="C138" s="52" t="s">
        <v>8</v>
      </c>
      <c r="D138" s="49" t="s">
        <v>26</v>
      </c>
      <c r="E138" s="49" t="s">
        <v>41</v>
      </c>
      <c r="F138" s="50" t="s">
        <v>1565</v>
      </c>
      <c r="G138" s="47">
        <v>1</v>
      </c>
      <c r="H138" s="12">
        <v>20250731</v>
      </c>
    </row>
    <row r="139" ht="15" spans="1:8">
      <c r="A139" s="40">
        <v>987.7026</v>
      </c>
      <c r="B139" s="55">
        <v>97</v>
      </c>
      <c r="C139" s="56" t="s">
        <v>8</v>
      </c>
      <c r="D139" s="57" t="s">
        <v>43</v>
      </c>
      <c r="E139" s="57" t="s">
        <v>1566</v>
      </c>
      <c r="F139" s="58" t="s">
        <v>1567</v>
      </c>
      <c r="G139" s="41">
        <v>1</v>
      </c>
      <c r="H139" s="12">
        <v>20250731</v>
      </c>
    </row>
    <row r="140" ht="15" spans="1:8">
      <c r="A140" s="146">
        <v>987.7107</v>
      </c>
      <c r="B140" s="41">
        <v>98</v>
      </c>
      <c r="C140" s="42" t="s">
        <v>8</v>
      </c>
      <c r="D140" s="49" t="s">
        <v>40</v>
      </c>
      <c r="E140" s="49" t="s">
        <v>847</v>
      </c>
      <c r="F140" s="50" t="s">
        <v>1568</v>
      </c>
      <c r="G140" s="47">
        <v>2</v>
      </c>
      <c r="H140" s="12">
        <v>20250731</v>
      </c>
    </row>
    <row r="141" ht="15" spans="1:8">
      <c r="A141" s="40">
        <v>987.7107</v>
      </c>
      <c r="B141" s="41">
        <v>98</v>
      </c>
      <c r="C141" s="42" t="s">
        <v>8</v>
      </c>
      <c r="D141" s="49" t="s">
        <v>49</v>
      </c>
      <c r="E141" s="49" t="s">
        <v>33</v>
      </c>
      <c r="F141" s="50" t="s">
        <v>1569</v>
      </c>
      <c r="G141" s="47">
        <v>0</v>
      </c>
      <c r="H141" s="12">
        <v>20250731</v>
      </c>
    </row>
    <row r="142" ht="15" spans="1:8">
      <c r="A142" s="40">
        <v>987.7107</v>
      </c>
      <c r="B142" s="41">
        <v>98</v>
      </c>
      <c r="C142" s="42" t="s">
        <v>8</v>
      </c>
      <c r="D142" s="49" t="s">
        <v>26</v>
      </c>
      <c r="E142" s="49" t="s">
        <v>41</v>
      </c>
      <c r="F142" s="50" t="s">
        <v>1563</v>
      </c>
      <c r="G142" s="47">
        <v>1</v>
      </c>
      <c r="H142" s="12">
        <v>20250731</v>
      </c>
    </row>
    <row r="143" ht="15" spans="1:8">
      <c r="A143" s="40">
        <v>987.718</v>
      </c>
      <c r="B143" s="41">
        <v>99</v>
      </c>
      <c r="C143" s="42" t="s">
        <v>8</v>
      </c>
      <c r="D143" s="49" t="s">
        <v>49</v>
      </c>
      <c r="E143" s="49" t="s">
        <v>41</v>
      </c>
      <c r="F143" s="50" t="s">
        <v>1570</v>
      </c>
      <c r="G143" s="47">
        <v>1</v>
      </c>
      <c r="H143" s="12">
        <v>20250731</v>
      </c>
    </row>
    <row r="144" ht="15" spans="1:8">
      <c r="A144" s="40">
        <v>987.7252</v>
      </c>
      <c r="B144" s="41">
        <v>100</v>
      </c>
      <c r="C144" s="42" t="s">
        <v>8</v>
      </c>
      <c r="D144" s="49" t="s">
        <v>49</v>
      </c>
      <c r="E144" s="49" t="s">
        <v>41</v>
      </c>
      <c r="F144" s="50" t="s">
        <v>1449</v>
      </c>
      <c r="G144" s="47">
        <v>1</v>
      </c>
      <c r="H144" s="12">
        <v>20250731</v>
      </c>
    </row>
    <row r="145" ht="15" spans="1:8">
      <c r="A145" s="40">
        <v>987.7267</v>
      </c>
      <c r="B145" s="41">
        <v>100</v>
      </c>
      <c r="C145" s="42" t="s">
        <v>8</v>
      </c>
      <c r="D145" s="49" t="s">
        <v>49</v>
      </c>
      <c r="E145" s="49" t="s">
        <v>33</v>
      </c>
      <c r="F145" s="50" t="s">
        <v>1571</v>
      </c>
      <c r="G145" s="47">
        <v>0</v>
      </c>
      <c r="H145" s="12">
        <v>20250731</v>
      </c>
    </row>
    <row r="146" ht="15" spans="1:8">
      <c r="A146" s="40">
        <v>987.7252</v>
      </c>
      <c r="B146" s="51">
        <v>100</v>
      </c>
      <c r="C146" s="52" t="s">
        <v>8</v>
      </c>
      <c r="D146" s="49" t="s">
        <v>49</v>
      </c>
      <c r="E146" s="49" t="s">
        <v>41</v>
      </c>
      <c r="F146" s="50" t="s">
        <v>1572</v>
      </c>
      <c r="G146" s="47">
        <v>1</v>
      </c>
      <c r="H146" s="12">
        <v>20250731</v>
      </c>
    </row>
    <row r="147" ht="15" spans="1:8">
      <c r="A147" s="40">
        <v>987.7282</v>
      </c>
      <c r="B147" s="47">
        <v>100</v>
      </c>
      <c r="C147" s="52" t="s">
        <v>25</v>
      </c>
      <c r="D147" s="49" t="s">
        <v>43</v>
      </c>
      <c r="E147" s="49" t="s">
        <v>470</v>
      </c>
      <c r="F147" s="50" t="s">
        <v>1573</v>
      </c>
      <c r="G147" s="47">
        <v>1</v>
      </c>
      <c r="H147" s="12">
        <v>20250731</v>
      </c>
    </row>
    <row r="148" ht="15" spans="1:8">
      <c r="A148" s="40">
        <v>987.7348</v>
      </c>
      <c r="B148" s="47">
        <v>101</v>
      </c>
      <c r="C148" s="52" t="s">
        <v>25</v>
      </c>
      <c r="D148" s="49" t="s">
        <v>49</v>
      </c>
      <c r="E148" s="49" t="s">
        <v>470</v>
      </c>
      <c r="F148" s="50" t="s">
        <v>1574</v>
      </c>
      <c r="G148" s="47">
        <v>1</v>
      </c>
      <c r="H148" s="12">
        <v>20250731</v>
      </c>
    </row>
    <row r="149" ht="15" spans="1:8">
      <c r="A149" s="40">
        <v>987.7403</v>
      </c>
      <c r="B149" s="47">
        <v>101</v>
      </c>
      <c r="C149" s="52" t="s">
        <v>17</v>
      </c>
      <c r="D149" s="49" t="s">
        <v>177</v>
      </c>
      <c r="E149" s="53" t="s">
        <v>19</v>
      </c>
      <c r="F149" s="50" t="s">
        <v>1575</v>
      </c>
      <c r="G149" s="54">
        <v>1</v>
      </c>
      <c r="H149" s="12">
        <v>20250731</v>
      </c>
    </row>
    <row r="150" ht="15" spans="1:8">
      <c r="A150" s="40">
        <v>987.7343</v>
      </c>
      <c r="B150" s="47">
        <v>101</v>
      </c>
      <c r="C150" s="52" t="s">
        <v>8</v>
      </c>
      <c r="D150" s="49" t="s">
        <v>49</v>
      </c>
      <c r="E150" s="53" t="s">
        <v>41</v>
      </c>
      <c r="F150" s="50" t="s">
        <v>1576</v>
      </c>
      <c r="G150" s="47">
        <v>1</v>
      </c>
      <c r="H150" s="12">
        <v>20250731</v>
      </c>
    </row>
    <row r="151" ht="27" spans="1:8">
      <c r="A151" s="40">
        <v>986.95</v>
      </c>
      <c r="B151" s="41" t="s">
        <v>94</v>
      </c>
      <c r="C151" s="45" t="s">
        <v>95</v>
      </c>
      <c r="D151" s="45" t="s">
        <v>95</v>
      </c>
      <c r="E151" s="45" t="s">
        <v>97</v>
      </c>
      <c r="F151" s="46" t="s">
        <v>1577</v>
      </c>
      <c r="G151" s="44">
        <v>1</v>
      </c>
      <c r="H151" s="12">
        <v>20250731</v>
      </c>
    </row>
    <row r="152" ht="27" spans="1:8">
      <c r="A152" s="40">
        <v>987.025</v>
      </c>
      <c r="B152" s="41" t="s">
        <v>99</v>
      </c>
      <c r="C152" s="45" t="s">
        <v>95</v>
      </c>
      <c r="D152" s="45" t="s">
        <v>95</v>
      </c>
      <c r="E152" s="45" t="s">
        <v>97</v>
      </c>
      <c r="F152" s="46" t="s">
        <v>1577</v>
      </c>
      <c r="G152" s="44">
        <v>1</v>
      </c>
      <c r="H152" s="12">
        <v>20250731</v>
      </c>
    </row>
    <row r="153" ht="27" spans="1:8">
      <c r="A153" s="40">
        <v>987.106</v>
      </c>
      <c r="B153" s="41" t="s">
        <v>100</v>
      </c>
      <c r="C153" s="45" t="s">
        <v>95</v>
      </c>
      <c r="D153" s="45" t="s">
        <v>95</v>
      </c>
      <c r="E153" s="45" t="s">
        <v>97</v>
      </c>
      <c r="F153" s="46" t="s">
        <v>1577</v>
      </c>
      <c r="G153" s="44">
        <v>1</v>
      </c>
      <c r="H153" s="12">
        <v>20250731</v>
      </c>
    </row>
    <row r="154" ht="27" spans="1:8">
      <c r="A154" s="40">
        <v>987.186</v>
      </c>
      <c r="B154" s="41" t="s">
        <v>101</v>
      </c>
      <c r="C154" s="45" t="s">
        <v>95</v>
      </c>
      <c r="D154" s="45" t="s">
        <v>95</v>
      </c>
      <c r="E154" s="45" t="s">
        <v>97</v>
      </c>
      <c r="F154" s="46" t="s">
        <v>1577</v>
      </c>
      <c r="G154" s="44">
        <v>1</v>
      </c>
      <c r="H154" s="12">
        <v>20250731</v>
      </c>
    </row>
    <row r="155" ht="27" spans="1:8">
      <c r="A155" s="40">
        <v>987.265</v>
      </c>
      <c r="B155" s="41" t="s">
        <v>102</v>
      </c>
      <c r="C155" s="45" t="s">
        <v>95</v>
      </c>
      <c r="D155" s="45" t="s">
        <v>95</v>
      </c>
      <c r="E155" s="45" t="s">
        <v>97</v>
      </c>
      <c r="F155" s="46" t="s">
        <v>1577</v>
      </c>
      <c r="G155" s="44">
        <v>1</v>
      </c>
      <c r="H155" s="12">
        <v>20250731</v>
      </c>
    </row>
    <row r="156" ht="27" spans="1:8">
      <c r="A156" s="40">
        <v>987.345</v>
      </c>
      <c r="B156" s="41" t="s">
        <v>103</v>
      </c>
      <c r="C156" s="45" t="s">
        <v>95</v>
      </c>
      <c r="D156" s="45" t="s">
        <v>95</v>
      </c>
      <c r="E156" s="45" t="s">
        <v>97</v>
      </c>
      <c r="F156" s="46" t="s">
        <v>1577</v>
      </c>
      <c r="G156" s="44">
        <v>1</v>
      </c>
      <c r="H156" s="12">
        <v>20250731</v>
      </c>
    </row>
    <row r="157" ht="27" spans="1:8">
      <c r="A157" s="40">
        <v>987.421</v>
      </c>
      <c r="B157" s="41" t="s">
        <v>223</v>
      </c>
      <c r="C157" s="45" t="s">
        <v>95</v>
      </c>
      <c r="D157" s="45" t="s">
        <v>95</v>
      </c>
      <c r="E157" s="45" t="s">
        <v>97</v>
      </c>
      <c r="F157" s="46" t="s">
        <v>1577</v>
      </c>
      <c r="G157" s="44">
        <v>1</v>
      </c>
      <c r="H157" s="12">
        <v>20250731</v>
      </c>
    </row>
    <row r="158" ht="27" spans="1:8">
      <c r="A158" s="40">
        <v>987.5</v>
      </c>
      <c r="B158" s="41" t="s">
        <v>449</v>
      </c>
      <c r="C158" s="45" t="s">
        <v>95</v>
      </c>
      <c r="D158" s="45" t="s">
        <v>95</v>
      </c>
      <c r="E158" s="45" t="s">
        <v>97</v>
      </c>
      <c r="F158" s="46" t="s">
        <v>1577</v>
      </c>
      <c r="G158" s="44">
        <v>1</v>
      </c>
      <c r="H158" s="12">
        <v>20250731</v>
      </c>
    </row>
    <row r="159" ht="27" spans="1:8">
      <c r="A159" s="40">
        <v>987.578</v>
      </c>
      <c r="B159" s="41" t="s">
        <v>680</v>
      </c>
      <c r="C159" s="45" t="s">
        <v>95</v>
      </c>
      <c r="D159" s="45" t="s">
        <v>95</v>
      </c>
      <c r="E159" s="45" t="s">
        <v>97</v>
      </c>
      <c r="F159" s="46" t="s">
        <v>1577</v>
      </c>
      <c r="G159" s="44">
        <v>1</v>
      </c>
      <c r="H159" s="12">
        <v>20250731</v>
      </c>
    </row>
    <row r="160" ht="27" spans="1:8">
      <c r="A160" s="40">
        <v>987.656</v>
      </c>
      <c r="B160" s="41" t="s">
        <v>1578</v>
      </c>
      <c r="C160" s="45" t="s">
        <v>95</v>
      </c>
      <c r="D160" s="45" t="s">
        <v>95</v>
      </c>
      <c r="E160" s="45" t="s">
        <v>97</v>
      </c>
      <c r="F160" s="46" t="s">
        <v>1577</v>
      </c>
      <c r="G160" s="44">
        <v>1</v>
      </c>
      <c r="H160" s="12">
        <v>20250731</v>
      </c>
    </row>
  </sheetData>
  <autoFilter xmlns:etc="http://www.wps.cn/officeDocument/2017/etCustomData" ref="A1:H160" etc:filterBottomFollowUsedRange="0">
    <extLst/>
  </autoFilter>
  <sortState ref="A2:H161">
    <sortCondition ref="B2:B161"/>
  </sortState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8"/>
  <sheetViews>
    <sheetView workbookViewId="0">
      <selection activeCell="J63" sqref="J63"/>
    </sheetView>
  </sheetViews>
  <sheetFormatPr defaultColWidth="9" defaultRowHeight="15" outlineLevelCol="7"/>
  <cols>
    <col min="1" max="1" width="9" style="16"/>
    <col min="2" max="2" width="9.125" style="12" customWidth="1"/>
    <col min="3" max="3" width="9" style="16"/>
    <col min="4" max="4" width="9" style="12"/>
    <col min="5" max="5" width="11.5" style="12" customWidth="1"/>
    <col min="6" max="6" width="84.625" style="16" customWidth="1"/>
    <col min="7" max="7" width="9.125" style="12" customWidth="1"/>
    <col min="8" max="8" width="9.5" style="16" customWidth="1"/>
    <col min="9" max="16384" width="9" style="16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spans="1:8">
      <c r="A2" s="18">
        <v>987.709</v>
      </c>
      <c r="B2" s="12">
        <v>0</v>
      </c>
      <c r="C2" s="12" t="s">
        <v>224</v>
      </c>
      <c r="D2" s="12" t="s">
        <v>318</v>
      </c>
      <c r="E2" s="12" t="s">
        <v>551</v>
      </c>
      <c r="F2" s="144" t="s">
        <v>1579</v>
      </c>
      <c r="G2" s="12">
        <v>0</v>
      </c>
      <c r="H2" s="12">
        <v>20240808</v>
      </c>
    </row>
    <row r="3" spans="1:8">
      <c r="A3" s="18">
        <v>987.709</v>
      </c>
      <c r="B3" s="12">
        <v>0</v>
      </c>
      <c r="C3" s="12" t="s">
        <v>224</v>
      </c>
      <c r="D3" s="12" t="s">
        <v>318</v>
      </c>
      <c r="E3" s="12" t="s">
        <v>437</v>
      </c>
      <c r="F3" s="16" t="s">
        <v>1580</v>
      </c>
      <c r="G3" s="12">
        <v>1</v>
      </c>
      <c r="H3" s="12">
        <v>20240808</v>
      </c>
    </row>
    <row r="4" spans="1:8">
      <c r="A4" s="18">
        <v>986.924</v>
      </c>
      <c r="B4" s="12">
        <v>0</v>
      </c>
      <c r="C4" s="12" t="s">
        <v>224</v>
      </c>
      <c r="D4" s="12" t="s">
        <v>225</v>
      </c>
      <c r="E4" s="12" t="s">
        <v>437</v>
      </c>
      <c r="F4" s="16" t="s">
        <v>1581</v>
      </c>
      <c r="G4" s="12">
        <v>1</v>
      </c>
      <c r="H4" s="12">
        <v>20240808</v>
      </c>
    </row>
    <row r="5" spans="1:8">
      <c r="A5" s="18">
        <v>987.7013</v>
      </c>
      <c r="B5" s="12">
        <v>2</v>
      </c>
      <c r="C5" s="12" t="s">
        <v>129</v>
      </c>
      <c r="D5" s="19" t="s">
        <v>228</v>
      </c>
      <c r="E5" s="19" t="s">
        <v>997</v>
      </c>
      <c r="F5" s="21" t="s">
        <v>252</v>
      </c>
      <c r="G5" s="12">
        <v>1</v>
      </c>
      <c r="H5" s="12">
        <v>20240808</v>
      </c>
    </row>
    <row r="6" spans="1:8">
      <c r="A6" s="18">
        <v>987.7013</v>
      </c>
      <c r="B6" s="12">
        <v>2</v>
      </c>
      <c r="C6" s="12" t="s">
        <v>129</v>
      </c>
      <c r="D6" s="19" t="s">
        <v>235</v>
      </c>
      <c r="E6" s="20" t="s">
        <v>41</v>
      </c>
      <c r="F6" s="21" t="s">
        <v>739</v>
      </c>
      <c r="G6" s="12">
        <v>1</v>
      </c>
      <c r="H6" s="12">
        <v>20240808</v>
      </c>
    </row>
    <row r="7" spans="1:8">
      <c r="A7" s="18">
        <v>987.6933</v>
      </c>
      <c r="B7" s="12">
        <v>3</v>
      </c>
      <c r="C7" s="12" t="s">
        <v>129</v>
      </c>
      <c r="D7" s="19" t="s">
        <v>235</v>
      </c>
      <c r="E7" s="19" t="s">
        <v>997</v>
      </c>
      <c r="F7" s="21" t="s">
        <v>737</v>
      </c>
      <c r="G7" s="12">
        <v>1</v>
      </c>
      <c r="H7" s="12">
        <v>20240808</v>
      </c>
    </row>
    <row r="8" spans="1:8">
      <c r="A8" s="18">
        <v>987.6983</v>
      </c>
      <c r="B8" s="12">
        <v>3</v>
      </c>
      <c r="C8" s="12" t="s">
        <v>129</v>
      </c>
      <c r="D8" s="19" t="s">
        <v>231</v>
      </c>
      <c r="E8" s="19" t="s">
        <v>997</v>
      </c>
      <c r="F8" s="21" t="s">
        <v>1582</v>
      </c>
      <c r="G8" s="12">
        <v>1</v>
      </c>
      <c r="H8" s="12">
        <v>20240808</v>
      </c>
    </row>
    <row r="9" spans="1:8">
      <c r="A9" s="18">
        <v>987.6933</v>
      </c>
      <c r="B9" s="19">
        <v>3</v>
      </c>
      <c r="C9" s="26" t="s">
        <v>1029</v>
      </c>
      <c r="D9" s="19" t="s">
        <v>228</v>
      </c>
      <c r="E9" s="19" t="s">
        <v>1030</v>
      </c>
      <c r="F9" s="21" t="s">
        <v>1583</v>
      </c>
      <c r="G9" s="19">
        <v>1</v>
      </c>
      <c r="H9" s="15">
        <v>20240808</v>
      </c>
    </row>
    <row r="10" spans="1:8">
      <c r="A10" s="18">
        <v>987.6853</v>
      </c>
      <c r="B10" s="12">
        <v>4</v>
      </c>
      <c r="C10" s="12" t="s">
        <v>129</v>
      </c>
      <c r="D10" s="19" t="s">
        <v>228</v>
      </c>
      <c r="E10" s="19" t="s">
        <v>997</v>
      </c>
      <c r="F10" s="21" t="s">
        <v>509</v>
      </c>
      <c r="G10" s="12">
        <v>1</v>
      </c>
      <c r="H10" s="12">
        <v>20240808</v>
      </c>
    </row>
    <row r="11" spans="1:8">
      <c r="A11" s="18">
        <v>987.6853</v>
      </c>
      <c r="B11" s="12">
        <v>4</v>
      </c>
      <c r="C11" s="12" t="s">
        <v>129</v>
      </c>
      <c r="D11" s="19" t="s">
        <v>235</v>
      </c>
      <c r="E11" s="19" t="s">
        <v>997</v>
      </c>
      <c r="F11" s="21" t="s">
        <v>737</v>
      </c>
      <c r="G11" s="12">
        <v>1</v>
      </c>
      <c r="H11" s="12">
        <v>20240808</v>
      </c>
    </row>
    <row r="12" spans="1:8">
      <c r="A12" s="18">
        <v>987.6774</v>
      </c>
      <c r="B12" s="12">
        <v>5</v>
      </c>
      <c r="C12" s="12" t="s">
        <v>129</v>
      </c>
      <c r="D12" s="19" t="s">
        <v>228</v>
      </c>
      <c r="E12" s="19" t="s">
        <v>689</v>
      </c>
      <c r="F12" s="21" t="s">
        <v>1584</v>
      </c>
      <c r="G12" s="12">
        <v>0</v>
      </c>
      <c r="H12" s="12">
        <v>20240808</v>
      </c>
    </row>
    <row r="13" spans="1:8">
      <c r="A13" s="18">
        <v>987.6774</v>
      </c>
      <c r="B13" s="12">
        <v>5</v>
      </c>
      <c r="C13" s="12" t="s">
        <v>129</v>
      </c>
      <c r="D13" s="19" t="s">
        <v>235</v>
      </c>
      <c r="E13" s="20" t="s">
        <v>314</v>
      </c>
      <c r="F13" s="21" t="s">
        <v>1585</v>
      </c>
      <c r="G13" s="12">
        <v>1</v>
      </c>
      <c r="H13" s="12">
        <v>20240808</v>
      </c>
    </row>
    <row r="14" spans="1:8">
      <c r="A14" s="18">
        <v>987.6696</v>
      </c>
      <c r="B14" s="12">
        <v>6</v>
      </c>
      <c r="C14" s="12" t="s">
        <v>129</v>
      </c>
      <c r="D14" s="19" t="s">
        <v>228</v>
      </c>
      <c r="E14" s="19" t="s">
        <v>689</v>
      </c>
      <c r="F14" s="21" t="s">
        <v>1586</v>
      </c>
      <c r="G14" s="12">
        <v>0</v>
      </c>
      <c r="H14" s="12">
        <v>20240808</v>
      </c>
    </row>
    <row r="15" spans="1:8">
      <c r="A15" s="18">
        <v>987.6539</v>
      </c>
      <c r="B15" s="12">
        <v>8</v>
      </c>
      <c r="C15" s="12" t="s">
        <v>129</v>
      </c>
      <c r="D15" s="19" t="s">
        <v>290</v>
      </c>
      <c r="E15" s="19" t="s">
        <v>689</v>
      </c>
      <c r="F15" s="21" t="s">
        <v>1587</v>
      </c>
      <c r="G15" s="12">
        <v>0</v>
      </c>
      <c r="H15" s="12">
        <v>20240808</v>
      </c>
    </row>
    <row r="16" ht="14.25" customHeight="1" spans="1:8">
      <c r="A16" s="18">
        <v>987.6457</v>
      </c>
      <c r="B16" s="19">
        <v>9</v>
      </c>
      <c r="C16" s="26" t="s">
        <v>1029</v>
      </c>
      <c r="D16" s="19" t="s">
        <v>235</v>
      </c>
      <c r="E16" s="19" t="s">
        <v>1030</v>
      </c>
      <c r="F16" s="21" t="s">
        <v>1588</v>
      </c>
      <c r="G16" s="19">
        <v>1</v>
      </c>
      <c r="H16" s="15">
        <v>20240808</v>
      </c>
    </row>
    <row r="17" spans="1:8">
      <c r="A17" s="18">
        <v>987.6376</v>
      </c>
      <c r="B17" s="12">
        <v>10</v>
      </c>
      <c r="C17" s="12" t="s">
        <v>129</v>
      </c>
      <c r="D17" s="19" t="s">
        <v>290</v>
      </c>
      <c r="E17" s="19" t="s">
        <v>689</v>
      </c>
      <c r="F17" s="21" t="s">
        <v>1589</v>
      </c>
      <c r="G17" s="12">
        <v>0</v>
      </c>
      <c r="H17" s="12">
        <v>20240808</v>
      </c>
    </row>
    <row r="18" ht="14.25" customHeight="1" spans="1:8">
      <c r="A18" s="18">
        <v>987.6236</v>
      </c>
      <c r="B18" s="12">
        <v>12</v>
      </c>
      <c r="C18" s="12" t="s">
        <v>129</v>
      </c>
      <c r="D18" s="19" t="s">
        <v>290</v>
      </c>
      <c r="E18" s="19" t="s">
        <v>689</v>
      </c>
      <c r="F18" s="21" t="s">
        <v>1590</v>
      </c>
      <c r="G18" s="12">
        <v>0</v>
      </c>
      <c r="H18" s="12">
        <v>20240808</v>
      </c>
    </row>
    <row r="19" spans="1:8">
      <c r="A19" s="18">
        <v>987.6216</v>
      </c>
      <c r="B19" s="19">
        <v>12</v>
      </c>
      <c r="C19" s="26" t="s">
        <v>1029</v>
      </c>
      <c r="D19" s="19" t="s">
        <v>228</v>
      </c>
      <c r="E19" s="19" t="s">
        <v>1030</v>
      </c>
      <c r="F19" s="21" t="s">
        <v>1591</v>
      </c>
      <c r="G19" s="19">
        <v>1</v>
      </c>
      <c r="H19" s="15">
        <v>20240808</v>
      </c>
    </row>
    <row r="20" spans="1:8">
      <c r="A20" s="18">
        <v>987.6197</v>
      </c>
      <c r="B20" s="22">
        <v>13</v>
      </c>
      <c r="C20" s="22" t="s">
        <v>125</v>
      </c>
      <c r="D20" s="22" t="s">
        <v>126</v>
      </c>
      <c r="E20" s="22" t="s">
        <v>1592</v>
      </c>
      <c r="F20" s="31" t="s">
        <v>1593</v>
      </c>
      <c r="G20" s="22">
        <v>1</v>
      </c>
      <c r="H20" s="12">
        <v>20240808</v>
      </c>
    </row>
    <row r="21" spans="1:8">
      <c r="A21" s="18">
        <v>987.6027</v>
      </c>
      <c r="B21" s="12">
        <v>15</v>
      </c>
      <c r="C21" s="12" t="s">
        <v>129</v>
      </c>
      <c r="D21" s="19" t="s">
        <v>235</v>
      </c>
      <c r="E21" s="19" t="s">
        <v>716</v>
      </c>
      <c r="F21" s="21" t="s">
        <v>1594</v>
      </c>
      <c r="G21" s="12">
        <v>0</v>
      </c>
      <c r="H21" s="12">
        <v>20240808</v>
      </c>
    </row>
    <row r="22" spans="1:8">
      <c r="A22" s="18">
        <v>987.5992</v>
      </c>
      <c r="B22" s="12">
        <v>15</v>
      </c>
      <c r="C22" s="12" t="s">
        <v>129</v>
      </c>
      <c r="D22" s="19" t="s">
        <v>235</v>
      </c>
      <c r="E22" s="19" t="s">
        <v>997</v>
      </c>
      <c r="F22" s="21" t="s">
        <v>1595</v>
      </c>
      <c r="G22" s="19">
        <v>0</v>
      </c>
      <c r="H22" s="12">
        <v>20240808</v>
      </c>
    </row>
    <row r="23" spans="1:8">
      <c r="A23" s="18">
        <v>987.5987</v>
      </c>
      <c r="B23" s="12">
        <v>15</v>
      </c>
      <c r="C23" s="12" t="s">
        <v>129</v>
      </c>
      <c r="D23" s="19" t="s">
        <v>235</v>
      </c>
      <c r="E23" s="20" t="s">
        <v>33</v>
      </c>
      <c r="F23" s="21" t="s">
        <v>1596</v>
      </c>
      <c r="G23" s="27">
        <v>0</v>
      </c>
      <c r="H23" s="12">
        <v>20240808</v>
      </c>
    </row>
    <row r="24" spans="1:8">
      <c r="A24" s="18">
        <v>987.5977</v>
      </c>
      <c r="B24" s="12">
        <v>15</v>
      </c>
      <c r="C24" s="12" t="s">
        <v>129</v>
      </c>
      <c r="D24" s="19" t="s">
        <v>235</v>
      </c>
      <c r="E24" s="19" t="s">
        <v>689</v>
      </c>
      <c r="F24" s="21" t="s">
        <v>1597</v>
      </c>
      <c r="G24" s="19">
        <v>0</v>
      </c>
      <c r="H24" s="12">
        <v>20240808</v>
      </c>
    </row>
    <row r="25" spans="1:8">
      <c r="A25" s="18">
        <v>987.5829</v>
      </c>
      <c r="B25" s="12">
        <v>17</v>
      </c>
      <c r="C25" s="12" t="s">
        <v>129</v>
      </c>
      <c r="D25" s="19" t="s">
        <v>228</v>
      </c>
      <c r="E25" s="19" t="s">
        <v>997</v>
      </c>
      <c r="F25" s="21" t="s">
        <v>1598</v>
      </c>
      <c r="G25" s="19">
        <v>1</v>
      </c>
      <c r="H25" s="12">
        <v>20240808</v>
      </c>
    </row>
    <row r="26" spans="1:8">
      <c r="A26" s="18">
        <v>987.5839</v>
      </c>
      <c r="B26" s="12">
        <v>17</v>
      </c>
      <c r="C26" s="22" t="s">
        <v>253</v>
      </c>
      <c r="D26" s="28" t="s">
        <v>177</v>
      </c>
      <c r="E26" s="28" t="s">
        <v>1205</v>
      </c>
      <c r="F26" s="16" t="s">
        <v>1599</v>
      </c>
      <c r="G26" s="12">
        <v>1</v>
      </c>
      <c r="H26" s="15">
        <v>20240808</v>
      </c>
    </row>
    <row r="27" spans="1:8">
      <c r="A27" s="18">
        <v>987.5659</v>
      </c>
      <c r="B27" s="12">
        <v>19</v>
      </c>
      <c r="C27" s="12" t="s">
        <v>129</v>
      </c>
      <c r="D27" s="19" t="s">
        <v>290</v>
      </c>
      <c r="E27" s="19" t="s">
        <v>689</v>
      </c>
      <c r="F27" s="21" t="s">
        <v>1600</v>
      </c>
      <c r="G27" s="19">
        <v>1</v>
      </c>
      <c r="H27" s="12">
        <v>20240808</v>
      </c>
    </row>
    <row r="28" spans="1:8">
      <c r="A28" s="18">
        <v>987.5599</v>
      </c>
      <c r="B28" s="12">
        <v>20</v>
      </c>
      <c r="C28" s="12" t="s">
        <v>129</v>
      </c>
      <c r="D28" s="19" t="s">
        <v>235</v>
      </c>
      <c r="E28" s="19" t="s">
        <v>689</v>
      </c>
      <c r="F28" s="21" t="s">
        <v>1601</v>
      </c>
      <c r="G28" s="19">
        <v>0</v>
      </c>
      <c r="H28" s="12">
        <v>20240808</v>
      </c>
    </row>
    <row r="29" spans="1:8">
      <c r="A29" s="18">
        <v>987.534</v>
      </c>
      <c r="B29" s="12">
        <v>23</v>
      </c>
      <c r="C29" s="12" t="s">
        <v>129</v>
      </c>
      <c r="D29" s="19" t="s">
        <v>272</v>
      </c>
      <c r="E29" s="19" t="s">
        <v>997</v>
      </c>
      <c r="F29" s="21" t="s">
        <v>1602</v>
      </c>
      <c r="G29" s="19">
        <v>0</v>
      </c>
      <c r="H29" s="12">
        <v>20240808</v>
      </c>
    </row>
    <row r="30" spans="1:8">
      <c r="A30" s="18">
        <v>987.527</v>
      </c>
      <c r="B30" s="19">
        <v>24</v>
      </c>
      <c r="C30" s="26" t="s">
        <v>1029</v>
      </c>
      <c r="D30" s="19" t="s">
        <v>235</v>
      </c>
      <c r="E30" s="19" t="s">
        <v>1030</v>
      </c>
      <c r="F30" s="21" t="s">
        <v>1603</v>
      </c>
      <c r="G30" s="19">
        <v>1</v>
      </c>
      <c r="H30" s="15">
        <v>20240808</v>
      </c>
    </row>
    <row r="31" spans="1:8">
      <c r="A31" s="18">
        <v>987.527</v>
      </c>
      <c r="B31" s="19">
        <v>24</v>
      </c>
      <c r="C31" s="26" t="s">
        <v>1029</v>
      </c>
      <c r="D31" s="19" t="s">
        <v>228</v>
      </c>
      <c r="E31" s="19" t="s">
        <v>1030</v>
      </c>
      <c r="F31" s="21" t="s">
        <v>1604</v>
      </c>
      <c r="G31" s="19">
        <v>1</v>
      </c>
      <c r="H31" s="15">
        <v>20240808</v>
      </c>
    </row>
    <row r="32" spans="1:8">
      <c r="A32" s="18">
        <v>987.5232</v>
      </c>
      <c r="B32" s="22">
        <v>25</v>
      </c>
      <c r="C32" s="22" t="s">
        <v>125</v>
      </c>
      <c r="D32" s="22" t="s">
        <v>126</v>
      </c>
      <c r="E32" s="22" t="s">
        <v>1592</v>
      </c>
      <c r="F32" s="31" t="s">
        <v>1605</v>
      </c>
      <c r="G32" s="22">
        <v>1</v>
      </c>
      <c r="H32" s="12">
        <v>20240808</v>
      </c>
    </row>
    <row r="33" spans="1:8">
      <c r="A33" s="18">
        <v>987.5187</v>
      </c>
      <c r="B33" s="12">
        <v>26</v>
      </c>
      <c r="C33" s="12" t="s">
        <v>340</v>
      </c>
      <c r="D33" s="19" t="s">
        <v>1002</v>
      </c>
      <c r="E33" s="19" t="s">
        <v>1426</v>
      </c>
      <c r="F33" s="21" t="s">
        <v>1606</v>
      </c>
      <c r="G33" s="19">
        <v>1</v>
      </c>
      <c r="H33" s="12">
        <v>20240808</v>
      </c>
    </row>
    <row r="34" ht="28.5" spans="1:8">
      <c r="A34" s="18">
        <v>987.5112</v>
      </c>
      <c r="B34" s="22">
        <v>26</v>
      </c>
      <c r="C34" s="22" t="s">
        <v>170</v>
      </c>
      <c r="D34" s="22" t="s">
        <v>170</v>
      </c>
      <c r="E34" s="22" t="s">
        <v>172</v>
      </c>
      <c r="F34" s="31" t="s">
        <v>614</v>
      </c>
      <c r="G34" s="22">
        <v>2</v>
      </c>
      <c r="H34" s="15">
        <v>20240808</v>
      </c>
    </row>
    <row r="35" spans="1:8">
      <c r="A35" s="18">
        <v>987.5033</v>
      </c>
      <c r="B35" s="12">
        <v>28</v>
      </c>
      <c r="C35" s="22" t="s">
        <v>253</v>
      </c>
      <c r="D35" s="28" t="s">
        <v>177</v>
      </c>
      <c r="E35" s="28" t="s">
        <v>1205</v>
      </c>
      <c r="F35" s="16" t="s">
        <v>1607</v>
      </c>
      <c r="G35" s="12">
        <v>1</v>
      </c>
      <c r="H35" s="15">
        <v>20240808</v>
      </c>
    </row>
    <row r="36" spans="1:8">
      <c r="A36" s="18">
        <v>987.4804</v>
      </c>
      <c r="B36" s="12">
        <v>30</v>
      </c>
      <c r="C36" s="12" t="s">
        <v>129</v>
      </c>
      <c r="D36" s="19" t="s">
        <v>228</v>
      </c>
      <c r="E36" s="19" t="s">
        <v>689</v>
      </c>
      <c r="F36" s="21" t="s">
        <v>1608</v>
      </c>
      <c r="G36" s="19">
        <v>0</v>
      </c>
      <c r="H36" s="12">
        <v>20240808</v>
      </c>
    </row>
    <row r="37" spans="1:8">
      <c r="A37" s="18">
        <v>987.4714</v>
      </c>
      <c r="B37" s="19">
        <v>31</v>
      </c>
      <c r="C37" s="26" t="s">
        <v>1029</v>
      </c>
      <c r="D37" s="19" t="s">
        <v>228</v>
      </c>
      <c r="E37" s="19" t="s">
        <v>1030</v>
      </c>
      <c r="F37" s="21" t="s">
        <v>1609</v>
      </c>
      <c r="G37" s="19">
        <v>1</v>
      </c>
      <c r="H37" s="15">
        <v>20240808</v>
      </c>
    </row>
    <row r="38" spans="1:8">
      <c r="A38" s="18">
        <v>987.4555</v>
      </c>
      <c r="B38" s="12">
        <v>33</v>
      </c>
      <c r="C38" s="12" t="s">
        <v>129</v>
      </c>
      <c r="D38" s="19" t="s">
        <v>228</v>
      </c>
      <c r="E38" s="19" t="s">
        <v>997</v>
      </c>
      <c r="F38" s="21" t="s">
        <v>1610</v>
      </c>
      <c r="G38" s="19">
        <v>1</v>
      </c>
      <c r="H38" s="12">
        <v>20240808</v>
      </c>
    </row>
    <row r="39" spans="1:8">
      <c r="A39" s="18">
        <v>987.4555</v>
      </c>
      <c r="B39" s="19">
        <v>33</v>
      </c>
      <c r="C39" s="26" t="s">
        <v>1029</v>
      </c>
      <c r="D39" s="19" t="s">
        <v>228</v>
      </c>
      <c r="E39" s="19" t="s">
        <v>1030</v>
      </c>
      <c r="F39" s="21" t="s">
        <v>1611</v>
      </c>
      <c r="G39" s="19">
        <v>1</v>
      </c>
      <c r="H39" s="15">
        <v>20240808</v>
      </c>
    </row>
    <row r="40" spans="1:8">
      <c r="A40" s="18">
        <v>987.4159</v>
      </c>
      <c r="B40" s="86">
        <v>38</v>
      </c>
      <c r="C40" s="22" t="s">
        <v>125</v>
      </c>
      <c r="D40" s="22" t="s">
        <v>126</v>
      </c>
      <c r="E40" s="22" t="s">
        <v>1592</v>
      </c>
      <c r="F40" s="31" t="s">
        <v>1612</v>
      </c>
      <c r="G40" s="22">
        <v>1</v>
      </c>
      <c r="H40" s="12">
        <v>20240808</v>
      </c>
    </row>
    <row r="41" ht="40.5" spans="1:8">
      <c r="A41" s="18">
        <v>987.4089</v>
      </c>
      <c r="B41" s="12">
        <v>39</v>
      </c>
      <c r="C41" s="22" t="s">
        <v>21</v>
      </c>
      <c r="D41" s="23" t="s">
        <v>177</v>
      </c>
      <c r="E41" s="23" t="s">
        <v>38</v>
      </c>
      <c r="F41" s="31" t="s">
        <v>1613</v>
      </c>
      <c r="G41" s="22">
        <v>1</v>
      </c>
      <c r="H41" s="15">
        <v>20240808</v>
      </c>
    </row>
    <row r="42" ht="40.5" spans="1:8">
      <c r="A42" s="18">
        <v>987.384</v>
      </c>
      <c r="B42" s="12">
        <v>42</v>
      </c>
      <c r="C42" s="22" t="s">
        <v>21</v>
      </c>
      <c r="D42" s="23" t="s">
        <v>177</v>
      </c>
      <c r="E42" s="23" t="s">
        <v>1614</v>
      </c>
      <c r="F42" s="24" t="s">
        <v>1615</v>
      </c>
      <c r="G42" s="22">
        <v>1</v>
      </c>
      <c r="H42" s="15">
        <v>20240808</v>
      </c>
    </row>
    <row r="43" spans="1:8">
      <c r="A43" s="18">
        <v>987.3761</v>
      </c>
      <c r="B43" s="12">
        <v>43</v>
      </c>
      <c r="C43" s="12" t="s">
        <v>129</v>
      </c>
      <c r="D43" s="19" t="s">
        <v>290</v>
      </c>
      <c r="E43" s="19" t="s">
        <v>1616</v>
      </c>
      <c r="F43" s="21" t="s">
        <v>1617</v>
      </c>
      <c r="G43" s="19">
        <v>0</v>
      </c>
      <c r="H43" s="12">
        <v>20240808</v>
      </c>
    </row>
    <row r="44" ht="40.5" spans="1:8">
      <c r="A44" s="18">
        <v>987.3821</v>
      </c>
      <c r="B44" s="12">
        <v>43</v>
      </c>
      <c r="C44" s="22" t="s">
        <v>21</v>
      </c>
      <c r="D44" s="23" t="s">
        <v>177</v>
      </c>
      <c r="E44" s="22" t="s">
        <v>1618</v>
      </c>
      <c r="F44" s="31" t="s">
        <v>1619</v>
      </c>
      <c r="G44" s="22">
        <v>1</v>
      </c>
      <c r="H44" s="15">
        <v>20240808</v>
      </c>
    </row>
    <row r="45" spans="1:8">
      <c r="A45" s="18">
        <v>987.3709</v>
      </c>
      <c r="B45" s="86">
        <v>44</v>
      </c>
      <c r="C45" s="22" t="s">
        <v>125</v>
      </c>
      <c r="D45" s="22" t="s">
        <v>126</v>
      </c>
      <c r="E45" s="22" t="s">
        <v>1592</v>
      </c>
      <c r="F45" s="31" t="s">
        <v>1620</v>
      </c>
      <c r="G45" s="22">
        <v>1</v>
      </c>
      <c r="H45" s="12">
        <v>20240808</v>
      </c>
    </row>
    <row r="46" ht="28.5" spans="1:8">
      <c r="A46" s="18">
        <v>987.3684</v>
      </c>
      <c r="B46" s="22">
        <v>44</v>
      </c>
      <c r="C46" s="22" t="s">
        <v>170</v>
      </c>
      <c r="D46" s="22" t="s">
        <v>170</v>
      </c>
      <c r="E46" s="22" t="s">
        <v>172</v>
      </c>
      <c r="F46" s="31" t="s">
        <v>614</v>
      </c>
      <c r="G46" s="22">
        <v>2</v>
      </c>
      <c r="H46" s="15">
        <v>20240808</v>
      </c>
    </row>
    <row r="47" ht="40.5" spans="1:8">
      <c r="A47" s="18">
        <v>987.3744</v>
      </c>
      <c r="B47" s="12">
        <v>44</v>
      </c>
      <c r="C47" s="22" t="s">
        <v>21</v>
      </c>
      <c r="D47" s="23" t="s">
        <v>177</v>
      </c>
      <c r="E47" s="22" t="s">
        <v>1618</v>
      </c>
      <c r="F47" s="31" t="s">
        <v>1621</v>
      </c>
      <c r="G47" s="22">
        <v>1</v>
      </c>
      <c r="H47" s="15">
        <v>20240808</v>
      </c>
    </row>
    <row r="48" spans="1:8">
      <c r="A48" s="18">
        <v>987.3445</v>
      </c>
      <c r="B48" s="12">
        <v>47</v>
      </c>
      <c r="C48" s="12" t="s">
        <v>129</v>
      </c>
      <c r="D48" s="19" t="s">
        <v>235</v>
      </c>
      <c r="E48" s="19" t="s">
        <v>997</v>
      </c>
      <c r="F48" s="21" t="s">
        <v>1622</v>
      </c>
      <c r="G48" s="19">
        <v>1</v>
      </c>
      <c r="H48" s="12">
        <v>20240808</v>
      </c>
    </row>
    <row r="49" ht="40.5" spans="1:8">
      <c r="A49" s="18">
        <v>987.3405</v>
      </c>
      <c r="B49" s="12">
        <v>48</v>
      </c>
      <c r="C49" s="22" t="s">
        <v>21</v>
      </c>
      <c r="D49" s="23" t="s">
        <v>177</v>
      </c>
      <c r="E49" s="22" t="s">
        <v>1618</v>
      </c>
      <c r="F49" s="31" t="s">
        <v>1623</v>
      </c>
      <c r="G49" s="22">
        <v>1</v>
      </c>
      <c r="H49" s="15">
        <v>20240808</v>
      </c>
    </row>
    <row r="50" spans="1:8">
      <c r="A50" s="18">
        <v>987.3246</v>
      </c>
      <c r="B50" s="86">
        <v>50</v>
      </c>
      <c r="C50" s="22" t="s">
        <v>125</v>
      </c>
      <c r="D50" s="22" t="s">
        <v>126</v>
      </c>
      <c r="E50" s="23" t="s">
        <v>89</v>
      </c>
      <c r="F50" s="31" t="s">
        <v>1605</v>
      </c>
      <c r="G50" s="22">
        <v>1</v>
      </c>
      <c r="H50" s="12">
        <v>20240808</v>
      </c>
    </row>
    <row r="51" spans="1:8">
      <c r="A51" s="18">
        <v>987.3206</v>
      </c>
      <c r="B51" s="19">
        <v>50</v>
      </c>
      <c r="C51" s="26" t="s">
        <v>1029</v>
      </c>
      <c r="D51" s="19" t="s">
        <v>235</v>
      </c>
      <c r="E51" s="19" t="s">
        <v>1030</v>
      </c>
      <c r="F51" s="21" t="s">
        <v>1624</v>
      </c>
      <c r="G51" s="19">
        <v>1</v>
      </c>
      <c r="H51" s="15">
        <v>20240808</v>
      </c>
    </row>
    <row r="52" spans="1:8">
      <c r="A52" s="18">
        <v>987.3128</v>
      </c>
      <c r="B52" s="12">
        <v>51</v>
      </c>
      <c r="C52" s="12" t="s">
        <v>129</v>
      </c>
      <c r="D52" s="19" t="s">
        <v>290</v>
      </c>
      <c r="E52" s="19" t="s">
        <v>716</v>
      </c>
      <c r="F52" s="21" t="s">
        <v>1625</v>
      </c>
      <c r="G52" s="19">
        <v>1</v>
      </c>
      <c r="H52" s="12">
        <v>20240808</v>
      </c>
    </row>
    <row r="53" ht="18.75" customHeight="1" spans="1:8">
      <c r="A53" s="18">
        <v>987.2993</v>
      </c>
      <c r="B53" s="22">
        <v>53</v>
      </c>
      <c r="C53" s="22" t="s">
        <v>21</v>
      </c>
      <c r="D53" s="23" t="s">
        <v>18</v>
      </c>
      <c r="E53" s="22" t="s">
        <v>1618</v>
      </c>
      <c r="F53" s="31" t="s">
        <v>1626</v>
      </c>
      <c r="G53" s="22">
        <v>1</v>
      </c>
      <c r="H53" s="15">
        <v>20240808</v>
      </c>
    </row>
    <row r="54" ht="40.5" spans="1:8">
      <c r="A54" s="18">
        <v>987.2829</v>
      </c>
      <c r="B54" s="22">
        <v>55</v>
      </c>
      <c r="C54" s="22" t="s">
        <v>21</v>
      </c>
      <c r="D54" s="23" t="s">
        <v>18</v>
      </c>
      <c r="E54" s="22" t="s">
        <v>1618</v>
      </c>
      <c r="F54" s="31" t="s">
        <v>1627</v>
      </c>
      <c r="G54" s="22">
        <v>1</v>
      </c>
      <c r="H54" s="15">
        <v>20240808</v>
      </c>
    </row>
    <row r="55" ht="40.5" spans="1:8">
      <c r="A55" s="18">
        <v>987.2743</v>
      </c>
      <c r="B55" s="22">
        <v>56</v>
      </c>
      <c r="C55" s="22" t="s">
        <v>21</v>
      </c>
      <c r="D55" s="23" t="s">
        <v>18</v>
      </c>
      <c r="E55" s="22" t="s">
        <v>1618</v>
      </c>
      <c r="F55" s="31" t="s">
        <v>1628</v>
      </c>
      <c r="G55" s="22">
        <v>1</v>
      </c>
      <c r="H55" s="15">
        <v>20240808</v>
      </c>
    </row>
    <row r="56" spans="1:8">
      <c r="A56" s="18">
        <v>987.2619</v>
      </c>
      <c r="B56" s="12">
        <v>58</v>
      </c>
      <c r="C56" s="22" t="s">
        <v>253</v>
      </c>
      <c r="D56" s="28" t="s">
        <v>177</v>
      </c>
      <c r="E56" s="28" t="s">
        <v>1629</v>
      </c>
      <c r="F56" s="16" t="s">
        <v>1630</v>
      </c>
      <c r="G56" s="19">
        <v>1</v>
      </c>
      <c r="H56" s="12">
        <v>20240808</v>
      </c>
    </row>
    <row r="57" ht="40.5" spans="1:8">
      <c r="A57" s="18">
        <v>987.2639</v>
      </c>
      <c r="B57" s="12">
        <v>58</v>
      </c>
      <c r="C57" s="22" t="s">
        <v>21</v>
      </c>
      <c r="D57" s="23" t="s">
        <v>177</v>
      </c>
      <c r="E57" s="22" t="s">
        <v>1618</v>
      </c>
      <c r="F57" s="31" t="s">
        <v>1631</v>
      </c>
      <c r="G57" s="22">
        <v>1</v>
      </c>
      <c r="H57" s="15">
        <v>20240808</v>
      </c>
    </row>
    <row r="58" ht="15.75" spans="1:8">
      <c r="A58" s="18">
        <v>987.2429</v>
      </c>
      <c r="B58" s="86">
        <v>60</v>
      </c>
      <c r="C58" s="22" t="s">
        <v>253</v>
      </c>
      <c r="D58" s="22" t="s">
        <v>126</v>
      </c>
      <c r="E58" s="22" t="s">
        <v>1632</v>
      </c>
      <c r="F58" s="31" t="s">
        <v>1633</v>
      </c>
      <c r="G58" s="22">
        <v>1</v>
      </c>
      <c r="H58" s="15">
        <v>20240808</v>
      </c>
    </row>
    <row r="59" spans="1:8">
      <c r="A59" s="18">
        <v>987.2171</v>
      </c>
      <c r="B59" s="86">
        <v>63</v>
      </c>
      <c r="C59" s="22" t="s">
        <v>125</v>
      </c>
      <c r="D59" s="22" t="s">
        <v>126</v>
      </c>
      <c r="E59" s="22" t="s">
        <v>1592</v>
      </c>
      <c r="F59" s="31" t="s">
        <v>1634</v>
      </c>
      <c r="G59" s="22">
        <v>1</v>
      </c>
      <c r="H59" s="15">
        <v>20240808</v>
      </c>
    </row>
    <row r="60" spans="1:8">
      <c r="A60" s="18">
        <v>987.2251</v>
      </c>
      <c r="B60" s="19">
        <v>63</v>
      </c>
      <c r="C60" s="26" t="s">
        <v>1029</v>
      </c>
      <c r="D60" s="19" t="s">
        <v>290</v>
      </c>
      <c r="E60" s="19" t="s">
        <v>1030</v>
      </c>
      <c r="F60" s="21" t="s">
        <v>1635</v>
      </c>
      <c r="G60" s="19">
        <v>1</v>
      </c>
      <c r="H60" s="15">
        <v>20240808</v>
      </c>
    </row>
    <row r="61" spans="1:8">
      <c r="A61" s="18">
        <v>987.1959</v>
      </c>
      <c r="B61" s="12">
        <v>66</v>
      </c>
      <c r="C61" s="22" t="s">
        <v>253</v>
      </c>
      <c r="D61" s="28" t="s">
        <v>177</v>
      </c>
      <c r="E61" s="19" t="s">
        <v>1426</v>
      </c>
      <c r="F61" s="21" t="s">
        <v>1636</v>
      </c>
      <c r="G61" s="19">
        <v>1</v>
      </c>
      <c r="H61" s="12">
        <v>20240808</v>
      </c>
    </row>
    <row r="62" spans="1:8">
      <c r="A62" s="18">
        <v>987.1851</v>
      </c>
      <c r="B62" s="12">
        <v>67</v>
      </c>
      <c r="C62" s="12" t="s">
        <v>129</v>
      </c>
      <c r="D62" s="19" t="s">
        <v>290</v>
      </c>
      <c r="E62" s="19" t="s">
        <v>716</v>
      </c>
      <c r="F62" s="21" t="s">
        <v>1637</v>
      </c>
      <c r="G62" s="19">
        <v>1</v>
      </c>
      <c r="H62" s="12">
        <v>20240808</v>
      </c>
    </row>
    <row r="63" spans="1:8">
      <c r="A63" s="18">
        <v>987.1753</v>
      </c>
      <c r="B63" s="86">
        <v>69</v>
      </c>
      <c r="C63" s="22" t="s">
        <v>125</v>
      </c>
      <c r="D63" s="22" t="s">
        <v>126</v>
      </c>
      <c r="E63" s="22" t="s">
        <v>1592</v>
      </c>
      <c r="F63" s="31" t="s">
        <v>1593</v>
      </c>
      <c r="G63" s="22">
        <v>1</v>
      </c>
      <c r="H63" s="15">
        <v>20240808</v>
      </c>
    </row>
    <row r="64" spans="1:8">
      <c r="A64" s="18">
        <v>987.1615</v>
      </c>
      <c r="B64" s="12">
        <v>70</v>
      </c>
      <c r="C64" s="12" t="s">
        <v>129</v>
      </c>
      <c r="D64" s="19" t="s">
        <v>290</v>
      </c>
      <c r="E64" s="19" t="s">
        <v>689</v>
      </c>
      <c r="F64" s="21" t="s">
        <v>900</v>
      </c>
      <c r="G64" s="19">
        <v>0</v>
      </c>
      <c r="H64" s="12">
        <v>20240808</v>
      </c>
    </row>
    <row r="65" spans="1:8">
      <c r="A65" s="18">
        <v>987.1615</v>
      </c>
      <c r="B65" s="19">
        <v>70</v>
      </c>
      <c r="C65" s="26" t="s">
        <v>1029</v>
      </c>
      <c r="D65" s="19" t="s">
        <v>228</v>
      </c>
      <c r="E65" s="19" t="s">
        <v>1030</v>
      </c>
      <c r="F65" s="21" t="s">
        <v>1638</v>
      </c>
      <c r="G65" s="19">
        <v>1</v>
      </c>
      <c r="H65" s="15">
        <v>20240808</v>
      </c>
    </row>
    <row r="66" spans="1:8">
      <c r="A66" s="18">
        <v>987.1534</v>
      </c>
      <c r="B66" s="12">
        <v>71</v>
      </c>
      <c r="C66" s="12" t="s">
        <v>129</v>
      </c>
      <c r="D66" s="19" t="s">
        <v>290</v>
      </c>
      <c r="E66" s="19" t="s">
        <v>689</v>
      </c>
      <c r="F66" s="109" t="s">
        <v>1639</v>
      </c>
      <c r="G66" s="19">
        <v>0</v>
      </c>
      <c r="H66" s="12">
        <v>20240808</v>
      </c>
    </row>
    <row r="67" ht="40.5" spans="1:8">
      <c r="A67" s="18">
        <v>987.1554</v>
      </c>
      <c r="B67" s="22">
        <v>71</v>
      </c>
      <c r="C67" s="22" t="s">
        <v>21</v>
      </c>
      <c r="D67" s="23" t="s">
        <v>18</v>
      </c>
      <c r="E67" s="22" t="s">
        <v>1618</v>
      </c>
      <c r="F67" s="31" t="s">
        <v>1640</v>
      </c>
      <c r="G67" s="22">
        <v>1</v>
      </c>
      <c r="H67" s="15">
        <v>20240808</v>
      </c>
    </row>
    <row r="68" ht="25.5" spans="1:8">
      <c r="A68" s="18">
        <v>987.1534</v>
      </c>
      <c r="B68" s="19">
        <v>71</v>
      </c>
      <c r="C68" s="26" t="s">
        <v>1029</v>
      </c>
      <c r="D68" s="19" t="s">
        <v>1641</v>
      </c>
      <c r="E68" s="19" t="s">
        <v>1030</v>
      </c>
      <c r="F68" s="21" t="s">
        <v>1642</v>
      </c>
      <c r="G68" s="19">
        <v>1</v>
      </c>
      <c r="H68" s="15">
        <v>20240808</v>
      </c>
    </row>
    <row r="69" spans="1:8">
      <c r="A69" s="18">
        <v>987.1377</v>
      </c>
      <c r="B69" s="19">
        <v>73</v>
      </c>
      <c r="C69" s="26" t="s">
        <v>1029</v>
      </c>
      <c r="D69" s="19" t="s">
        <v>290</v>
      </c>
      <c r="E69" s="19" t="s">
        <v>1030</v>
      </c>
      <c r="F69" s="21" t="s">
        <v>1643</v>
      </c>
      <c r="G69" s="19">
        <v>1</v>
      </c>
      <c r="H69" s="15">
        <v>20240808</v>
      </c>
    </row>
    <row r="70" ht="40.5" spans="1:8">
      <c r="A70" s="18">
        <v>987.1296</v>
      </c>
      <c r="B70" s="22">
        <v>74</v>
      </c>
      <c r="C70" s="22" t="s">
        <v>21</v>
      </c>
      <c r="D70" s="23" t="s">
        <v>177</v>
      </c>
      <c r="E70" s="22" t="s">
        <v>1618</v>
      </c>
      <c r="F70" s="31" t="s">
        <v>1644</v>
      </c>
      <c r="G70" s="22">
        <v>1</v>
      </c>
      <c r="H70" s="15">
        <v>20240808</v>
      </c>
    </row>
    <row r="71" spans="1:8">
      <c r="A71" s="18">
        <v>987.1257</v>
      </c>
      <c r="B71" s="12">
        <v>75</v>
      </c>
      <c r="C71" s="12" t="s">
        <v>340</v>
      </c>
      <c r="D71" s="19" t="s">
        <v>1002</v>
      </c>
      <c r="E71" s="19" t="s">
        <v>1426</v>
      </c>
      <c r="F71" s="21" t="s">
        <v>1645</v>
      </c>
      <c r="G71" s="19">
        <v>1</v>
      </c>
      <c r="H71" s="12">
        <v>20240808</v>
      </c>
    </row>
    <row r="72" spans="1:8">
      <c r="A72" s="18">
        <v>987.1058</v>
      </c>
      <c r="B72" s="19">
        <v>77</v>
      </c>
      <c r="C72" s="26" t="s">
        <v>1029</v>
      </c>
      <c r="D72" s="19" t="s">
        <v>235</v>
      </c>
      <c r="E72" s="19" t="s">
        <v>1030</v>
      </c>
      <c r="F72" s="21" t="s">
        <v>1646</v>
      </c>
      <c r="G72" s="19">
        <v>1</v>
      </c>
      <c r="H72" s="15">
        <v>20240808</v>
      </c>
    </row>
    <row r="73" spans="1:8">
      <c r="A73" s="18">
        <v>987.0988</v>
      </c>
      <c r="B73" s="19">
        <v>78</v>
      </c>
      <c r="C73" s="26" t="s">
        <v>1029</v>
      </c>
      <c r="D73" s="19" t="s">
        <v>290</v>
      </c>
      <c r="E73" s="19" t="s">
        <v>1030</v>
      </c>
      <c r="F73" s="21" t="s">
        <v>1647</v>
      </c>
      <c r="G73" s="19">
        <v>1</v>
      </c>
      <c r="H73" s="15">
        <v>20240808</v>
      </c>
    </row>
    <row r="74" spans="1:8">
      <c r="A74" s="18">
        <v>987.0592</v>
      </c>
      <c r="B74" s="12">
        <v>83</v>
      </c>
      <c r="C74" s="12" t="s">
        <v>129</v>
      </c>
      <c r="D74" s="19" t="s">
        <v>290</v>
      </c>
      <c r="E74" s="19" t="s">
        <v>689</v>
      </c>
      <c r="F74" s="21" t="s">
        <v>900</v>
      </c>
      <c r="G74" s="19">
        <v>0</v>
      </c>
      <c r="H74" s="12">
        <v>20240808</v>
      </c>
    </row>
    <row r="75" spans="1:8">
      <c r="A75" s="18">
        <v>987.0512</v>
      </c>
      <c r="B75" s="12">
        <v>84</v>
      </c>
      <c r="C75" s="12" t="s">
        <v>129</v>
      </c>
      <c r="D75" s="19" t="s">
        <v>290</v>
      </c>
      <c r="E75" s="19" t="s">
        <v>689</v>
      </c>
      <c r="F75" s="21" t="s">
        <v>900</v>
      </c>
      <c r="G75" s="19">
        <v>0</v>
      </c>
      <c r="H75" s="12">
        <v>20240808</v>
      </c>
    </row>
    <row r="76" spans="1:8">
      <c r="A76" s="18">
        <v>987.0354</v>
      </c>
      <c r="B76" s="19">
        <v>86</v>
      </c>
      <c r="C76" s="26" t="s">
        <v>1029</v>
      </c>
      <c r="D76" s="19" t="s">
        <v>235</v>
      </c>
      <c r="E76" s="19" t="s">
        <v>1030</v>
      </c>
      <c r="F76" s="21" t="s">
        <v>1648</v>
      </c>
      <c r="G76" s="19">
        <v>1</v>
      </c>
      <c r="H76" s="15">
        <v>20240808</v>
      </c>
    </row>
    <row r="77" spans="1:8">
      <c r="A77" s="18">
        <v>987.0236</v>
      </c>
      <c r="B77" s="86">
        <v>88</v>
      </c>
      <c r="C77" s="22" t="s">
        <v>125</v>
      </c>
      <c r="D77" s="22" t="s">
        <v>126</v>
      </c>
      <c r="E77" s="22" t="s">
        <v>1592</v>
      </c>
      <c r="F77" s="31" t="s">
        <v>1649</v>
      </c>
      <c r="G77" s="22">
        <v>1</v>
      </c>
      <c r="H77" s="15">
        <v>20240808</v>
      </c>
    </row>
    <row r="78" spans="1:8">
      <c r="A78" s="18">
        <v>987.0115</v>
      </c>
      <c r="B78" s="12">
        <v>89</v>
      </c>
      <c r="C78" s="12" t="s">
        <v>129</v>
      </c>
      <c r="D78" s="19" t="s">
        <v>228</v>
      </c>
      <c r="E78" s="20" t="s">
        <v>314</v>
      </c>
      <c r="F78" s="21" t="s">
        <v>1650</v>
      </c>
      <c r="G78" s="19">
        <v>1</v>
      </c>
      <c r="H78" s="12">
        <v>20240808</v>
      </c>
    </row>
    <row r="79" spans="1:8">
      <c r="A79" s="18">
        <v>987.0115</v>
      </c>
      <c r="B79" s="19">
        <v>89</v>
      </c>
      <c r="C79" s="26" t="s">
        <v>1029</v>
      </c>
      <c r="D79" s="19" t="s">
        <v>228</v>
      </c>
      <c r="E79" s="19" t="s">
        <v>1030</v>
      </c>
      <c r="F79" s="21" t="s">
        <v>1651</v>
      </c>
      <c r="G79" s="19">
        <v>1</v>
      </c>
      <c r="H79" s="15">
        <v>20240808</v>
      </c>
    </row>
    <row r="80" spans="1:8">
      <c r="A80" s="18">
        <v>986.992</v>
      </c>
      <c r="B80" s="12">
        <v>92</v>
      </c>
      <c r="C80" s="12" t="s">
        <v>129</v>
      </c>
      <c r="D80" s="19" t="s">
        <v>228</v>
      </c>
      <c r="E80" s="19" t="s">
        <v>689</v>
      </c>
      <c r="F80" s="21" t="s">
        <v>1652</v>
      </c>
      <c r="G80" s="19">
        <v>0</v>
      </c>
      <c r="H80" s="12">
        <v>20240808</v>
      </c>
    </row>
    <row r="81" spans="1:8">
      <c r="A81" s="18">
        <v>986.988</v>
      </c>
      <c r="B81" s="70">
        <v>92</v>
      </c>
      <c r="C81" s="26" t="s">
        <v>1653</v>
      </c>
      <c r="D81" s="19" t="s">
        <v>228</v>
      </c>
      <c r="E81" s="19" t="s">
        <v>467</v>
      </c>
      <c r="F81" s="21" t="s">
        <v>1654</v>
      </c>
      <c r="G81" s="19">
        <v>1</v>
      </c>
      <c r="H81" s="15">
        <v>20240808</v>
      </c>
    </row>
    <row r="82" spans="1:8">
      <c r="A82" s="18">
        <v>986.9805</v>
      </c>
      <c r="B82" s="12">
        <v>93</v>
      </c>
      <c r="C82" s="12" t="s">
        <v>129</v>
      </c>
      <c r="D82" s="19" t="s">
        <v>228</v>
      </c>
      <c r="E82" s="19" t="s">
        <v>716</v>
      </c>
      <c r="F82" s="21" t="s">
        <v>1655</v>
      </c>
      <c r="G82" s="19">
        <v>1</v>
      </c>
      <c r="H82" s="12">
        <v>20240808</v>
      </c>
    </row>
    <row r="83" ht="25.5" spans="1:8">
      <c r="A83" s="18">
        <v>986.9805</v>
      </c>
      <c r="B83" s="19">
        <v>93</v>
      </c>
      <c r="C83" s="26" t="s">
        <v>1653</v>
      </c>
      <c r="D83" s="19" t="s">
        <v>1188</v>
      </c>
      <c r="E83" s="19" t="s">
        <v>511</v>
      </c>
      <c r="F83" s="21" t="s">
        <v>1656</v>
      </c>
      <c r="G83" s="19">
        <v>1</v>
      </c>
      <c r="H83" s="15">
        <v>20240808</v>
      </c>
    </row>
    <row r="84" spans="1:8">
      <c r="A84" s="18">
        <v>986.9805</v>
      </c>
      <c r="B84" s="19">
        <v>93</v>
      </c>
      <c r="C84" s="26" t="s">
        <v>1029</v>
      </c>
      <c r="D84" s="19" t="s">
        <v>290</v>
      </c>
      <c r="E84" s="19" t="s">
        <v>1030</v>
      </c>
      <c r="F84" s="21" t="s">
        <v>1651</v>
      </c>
      <c r="G84" s="19">
        <v>1</v>
      </c>
      <c r="H84" s="15">
        <v>20240808</v>
      </c>
    </row>
    <row r="85" spans="1:8">
      <c r="A85" s="18">
        <v>986.9645</v>
      </c>
      <c r="B85" s="12">
        <v>95</v>
      </c>
      <c r="C85" s="12" t="s">
        <v>129</v>
      </c>
      <c r="D85" s="19" t="s">
        <v>228</v>
      </c>
      <c r="E85" s="19" t="s">
        <v>689</v>
      </c>
      <c r="F85" s="21" t="s">
        <v>1657</v>
      </c>
      <c r="G85" s="19">
        <v>1</v>
      </c>
      <c r="H85" s="12">
        <v>20240808</v>
      </c>
    </row>
    <row r="86" spans="1:8">
      <c r="A86" s="18">
        <v>986.9665</v>
      </c>
      <c r="B86" s="12">
        <v>95</v>
      </c>
      <c r="C86" s="12" t="s">
        <v>129</v>
      </c>
      <c r="D86" s="19" t="s">
        <v>228</v>
      </c>
      <c r="E86" s="19" t="s">
        <v>689</v>
      </c>
      <c r="F86" s="21" t="s">
        <v>1658</v>
      </c>
      <c r="G86" s="19">
        <v>0</v>
      </c>
      <c r="H86" s="12">
        <v>20240808</v>
      </c>
    </row>
    <row r="87" spans="1:8">
      <c r="A87" s="18">
        <v>986.9317</v>
      </c>
      <c r="B87" s="12">
        <v>100</v>
      </c>
      <c r="C87" s="12" t="s">
        <v>129</v>
      </c>
      <c r="D87" s="19" t="s">
        <v>235</v>
      </c>
      <c r="E87" s="19" t="s">
        <v>997</v>
      </c>
      <c r="F87" s="21" t="s">
        <v>1659</v>
      </c>
      <c r="G87" s="19">
        <v>1</v>
      </c>
      <c r="H87" s="12">
        <v>20240808</v>
      </c>
    </row>
    <row r="88" spans="1:8">
      <c r="A88" s="18">
        <v>986.9317</v>
      </c>
      <c r="B88" s="86">
        <v>100</v>
      </c>
      <c r="C88" s="22" t="s">
        <v>253</v>
      </c>
      <c r="D88" s="22" t="s">
        <v>126</v>
      </c>
      <c r="E88" s="22" t="s">
        <v>254</v>
      </c>
      <c r="F88" s="31" t="s">
        <v>955</v>
      </c>
      <c r="G88" s="22">
        <v>1</v>
      </c>
      <c r="H88" s="15">
        <v>20240808</v>
      </c>
    </row>
    <row r="89" ht="27" spans="1:8">
      <c r="A89" s="18">
        <v>987.709</v>
      </c>
      <c r="B89" s="15" t="s">
        <v>94</v>
      </c>
      <c r="C89" s="22" t="s">
        <v>170</v>
      </c>
      <c r="D89" s="22" t="s">
        <v>170</v>
      </c>
      <c r="E89" s="22" t="s">
        <v>172</v>
      </c>
      <c r="F89" s="31" t="s">
        <v>222</v>
      </c>
      <c r="G89" s="22">
        <v>1</v>
      </c>
      <c r="H89" s="15">
        <v>20240808</v>
      </c>
    </row>
    <row r="90" ht="27" spans="1:8">
      <c r="A90" s="18">
        <v>987.63</v>
      </c>
      <c r="B90" s="15" t="s">
        <v>99</v>
      </c>
      <c r="C90" s="22" t="s">
        <v>170</v>
      </c>
      <c r="D90" s="22" t="s">
        <v>170</v>
      </c>
      <c r="E90" s="22" t="s">
        <v>172</v>
      </c>
      <c r="F90" s="31" t="s">
        <v>222</v>
      </c>
      <c r="G90" s="22">
        <v>1</v>
      </c>
      <c r="H90" s="15">
        <v>20240808</v>
      </c>
    </row>
    <row r="91" ht="27" spans="1:8">
      <c r="A91" s="18">
        <v>987.55</v>
      </c>
      <c r="B91" s="15" t="s">
        <v>100</v>
      </c>
      <c r="C91" s="22" t="s">
        <v>170</v>
      </c>
      <c r="D91" s="22" t="s">
        <v>170</v>
      </c>
      <c r="E91" s="22" t="s">
        <v>172</v>
      </c>
      <c r="F91" s="31" t="s">
        <v>222</v>
      </c>
      <c r="G91" s="22">
        <v>1</v>
      </c>
      <c r="H91" s="15">
        <v>20240808</v>
      </c>
    </row>
    <row r="92" ht="27" spans="1:8">
      <c r="A92" s="18">
        <v>987.471</v>
      </c>
      <c r="B92" s="15" t="s">
        <v>101</v>
      </c>
      <c r="C92" s="22" t="s">
        <v>170</v>
      </c>
      <c r="D92" s="22" t="s">
        <v>170</v>
      </c>
      <c r="E92" s="22" t="s">
        <v>172</v>
      </c>
      <c r="F92" s="31" t="s">
        <v>222</v>
      </c>
      <c r="G92" s="22">
        <v>1</v>
      </c>
      <c r="H92" s="15">
        <v>20240808</v>
      </c>
    </row>
    <row r="93" ht="27" spans="1:8">
      <c r="A93" s="18">
        <v>987.392</v>
      </c>
      <c r="B93" s="15" t="s">
        <v>102</v>
      </c>
      <c r="C93" s="22" t="s">
        <v>170</v>
      </c>
      <c r="D93" s="22" t="s">
        <v>170</v>
      </c>
      <c r="E93" s="22" t="s">
        <v>172</v>
      </c>
      <c r="F93" s="31" t="s">
        <v>222</v>
      </c>
      <c r="G93" s="22">
        <v>1</v>
      </c>
      <c r="H93" s="15">
        <v>20240808</v>
      </c>
    </row>
    <row r="94" ht="27" spans="1:8">
      <c r="A94" s="18">
        <v>987.313</v>
      </c>
      <c r="B94" s="15" t="s">
        <v>103</v>
      </c>
      <c r="C94" s="22" t="s">
        <v>170</v>
      </c>
      <c r="D94" s="22" t="s">
        <v>170</v>
      </c>
      <c r="E94" s="22" t="s">
        <v>172</v>
      </c>
      <c r="F94" s="31" t="s">
        <v>222</v>
      </c>
      <c r="G94" s="22">
        <v>1</v>
      </c>
      <c r="H94" s="15">
        <v>20240808</v>
      </c>
    </row>
    <row r="95" ht="27" spans="1:8">
      <c r="A95" s="18">
        <v>987.233</v>
      </c>
      <c r="B95" s="15" t="s">
        <v>223</v>
      </c>
      <c r="C95" s="22" t="s">
        <v>170</v>
      </c>
      <c r="D95" s="22" t="s">
        <v>170</v>
      </c>
      <c r="E95" s="22" t="s">
        <v>172</v>
      </c>
      <c r="F95" s="31" t="s">
        <v>222</v>
      </c>
      <c r="G95" s="22">
        <v>1</v>
      </c>
      <c r="H95" s="15">
        <v>20240808</v>
      </c>
    </row>
    <row r="96" ht="27" spans="1:8">
      <c r="A96" s="18">
        <v>987.153</v>
      </c>
      <c r="B96" s="15" t="s">
        <v>449</v>
      </c>
      <c r="C96" s="22" t="s">
        <v>170</v>
      </c>
      <c r="D96" s="22" t="s">
        <v>170</v>
      </c>
      <c r="E96" s="22" t="s">
        <v>172</v>
      </c>
      <c r="F96" s="31" t="s">
        <v>222</v>
      </c>
      <c r="G96" s="22">
        <v>1</v>
      </c>
      <c r="H96" s="15">
        <v>20240808</v>
      </c>
    </row>
    <row r="97" ht="27" spans="1:8">
      <c r="A97" s="18">
        <v>987.075</v>
      </c>
      <c r="B97" s="15" t="s">
        <v>680</v>
      </c>
      <c r="C97" s="22" t="s">
        <v>170</v>
      </c>
      <c r="D97" s="22" t="s">
        <v>170</v>
      </c>
      <c r="E97" s="22" t="s">
        <v>172</v>
      </c>
      <c r="F97" s="31" t="s">
        <v>222</v>
      </c>
      <c r="G97" s="22">
        <v>1</v>
      </c>
      <c r="H97" s="15">
        <v>20240808</v>
      </c>
    </row>
    <row r="98" ht="27" spans="1:8">
      <c r="A98" s="18">
        <v>986.996</v>
      </c>
      <c r="B98" s="15" t="s">
        <v>681</v>
      </c>
      <c r="C98" s="22" t="s">
        <v>170</v>
      </c>
      <c r="D98" s="22" t="s">
        <v>170</v>
      </c>
      <c r="E98" s="22" t="s">
        <v>172</v>
      </c>
      <c r="F98" s="31" t="s">
        <v>222</v>
      </c>
      <c r="G98" s="22">
        <v>1</v>
      </c>
      <c r="H98" s="15">
        <v>20240808</v>
      </c>
    </row>
  </sheetData>
  <autoFilter xmlns:etc="http://www.wps.cn/officeDocument/2017/etCustomData" ref="A1:H98" etc:filterBottomFollowUsedRange="0">
    <extLst/>
  </autoFilter>
  <sortState ref="A2:H97">
    <sortCondition ref="B2:B97"/>
  </sortState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98"/>
  <sheetViews>
    <sheetView workbookViewId="0">
      <selection activeCell="L20" sqref="L20"/>
    </sheetView>
  </sheetViews>
  <sheetFormatPr defaultColWidth="9" defaultRowHeight="15" outlineLevelCol="7"/>
  <cols>
    <col min="2" max="2" width="9.125" style="12" customWidth="1"/>
    <col min="3" max="4" width="9" style="12"/>
    <col min="5" max="5" width="11.25" style="12" customWidth="1"/>
    <col min="6" max="6" width="73.875" style="39" customWidth="1"/>
    <col min="7" max="7" width="9.125" style="12" customWidth="1"/>
    <col min="8" max="8" width="9.5" customWidth="1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spans="1:8">
      <c r="A2" s="40">
        <v>988.99</v>
      </c>
      <c r="B2" s="41">
        <v>0</v>
      </c>
      <c r="C2" s="42" t="s">
        <v>765</v>
      </c>
      <c r="D2" s="42" t="s">
        <v>1072</v>
      </c>
      <c r="E2" s="49" t="s">
        <v>1660</v>
      </c>
      <c r="F2" s="50" t="s">
        <v>1661</v>
      </c>
      <c r="G2" s="143">
        <v>2</v>
      </c>
      <c r="H2" s="12">
        <v>20250731</v>
      </c>
    </row>
    <row r="3" spans="1:8">
      <c r="A3" s="40">
        <v>988.99</v>
      </c>
      <c r="B3" s="41">
        <v>0</v>
      </c>
      <c r="C3" s="42" t="s">
        <v>106</v>
      </c>
      <c r="D3" s="42" t="s">
        <v>451</v>
      </c>
      <c r="E3" s="49" t="s">
        <v>1439</v>
      </c>
      <c r="F3" s="50" t="s">
        <v>1662</v>
      </c>
      <c r="G3" s="47">
        <v>1</v>
      </c>
      <c r="H3" s="12">
        <v>20250731</v>
      </c>
    </row>
    <row r="4" spans="1:8">
      <c r="A4" s="40">
        <v>988.99</v>
      </c>
      <c r="B4" s="41">
        <v>0</v>
      </c>
      <c r="C4" s="42" t="s">
        <v>106</v>
      </c>
      <c r="D4" s="42" t="s">
        <v>451</v>
      </c>
      <c r="E4" s="49" t="s">
        <v>10</v>
      </c>
      <c r="F4" s="50" t="s">
        <v>1663</v>
      </c>
      <c r="G4" s="47">
        <v>1</v>
      </c>
      <c r="H4" s="12">
        <v>20250731</v>
      </c>
    </row>
    <row r="5" spans="1:8">
      <c r="A5" s="40">
        <v>988.99</v>
      </c>
      <c r="B5" s="51">
        <v>0</v>
      </c>
      <c r="C5" s="52" t="s">
        <v>106</v>
      </c>
      <c r="D5" s="49" t="s">
        <v>451</v>
      </c>
      <c r="E5" s="53" t="s">
        <v>41</v>
      </c>
      <c r="F5" s="50" t="s">
        <v>1664</v>
      </c>
      <c r="G5" s="54">
        <v>1</v>
      </c>
      <c r="H5" s="12">
        <v>20250731</v>
      </c>
    </row>
    <row r="6" ht="15.75" spans="1:8">
      <c r="A6" s="40">
        <v>988.99</v>
      </c>
      <c r="B6" s="44">
        <v>1</v>
      </c>
      <c r="C6" s="45" t="s">
        <v>219</v>
      </c>
      <c r="D6" s="45" t="s">
        <v>219</v>
      </c>
      <c r="E6" s="45" t="s">
        <v>871</v>
      </c>
      <c r="F6" s="46" t="s">
        <v>1665</v>
      </c>
      <c r="G6" s="44">
        <v>2</v>
      </c>
      <c r="H6" s="12">
        <v>20250731</v>
      </c>
    </row>
    <row r="7" ht="15.75" spans="1:8">
      <c r="A7" s="40">
        <v>988.99</v>
      </c>
      <c r="B7" s="44">
        <v>1</v>
      </c>
      <c r="C7" s="45" t="s">
        <v>219</v>
      </c>
      <c r="D7" s="45" t="s">
        <v>219</v>
      </c>
      <c r="E7" s="45" t="s">
        <v>851</v>
      </c>
      <c r="F7" s="46" t="s">
        <v>1666</v>
      </c>
      <c r="G7" s="44">
        <v>1</v>
      </c>
      <c r="H7" s="12">
        <v>20250731</v>
      </c>
    </row>
    <row r="8" spans="1:8">
      <c r="A8" s="40">
        <v>988.99</v>
      </c>
      <c r="B8" s="47">
        <v>1</v>
      </c>
      <c r="C8" s="52" t="s">
        <v>8</v>
      </c>
      <c r="D8" s="49" t="s">
        <v>1667</v>
      </c>
      <c r="E8" s="53" t="s">
        <v>41</v>
      </c>
      <c r="F8" s="50" t="s">
        <v>1668</v>
      </c>
      <c r="G8" s="47">
        <v>1</v>
      </c>
      <c r="H8" s="12">
        <v>20250731</v>
      </c>
    </row>
    <row r="9" spans="1:8">
      <c r="A9" s="40">
        <v>988.9987</v>
      </c>
      <c r="B9" s="41">
        <v>2</v>
      </c>
      <c r="C9" s="42" t="s">
        <v>8</v>
      </c>
      <c r="D9" s="49" t="s">
        <v>49</v>
      </c>
      <c r="E9" s="49" t="s">
        <v>41</v>
      </c>
      <c r="F9" s="50" t="s">
        <v>1669</v>
      </c>
      <c r="G9" s="47">
        <v>1</v>
      </c>
      <c r="H9" s="12">
        <v>20250731</v>
      </c>
    </row>
    <row r="10" spans="1:8">
      <c r="A10" s="40">
        <v>989.0017</v>
      </c>
      <c r="B10" s="41">
        <v>2</v>
      </c>
      <c r="C10" s="42" t="s">
        <v>8</v>
      </c>
      <c r="D10" s="49" t="s">
        <v>9</v>
      </c>
      <c r="E10" s="49" t="s">
        <v>15</v>
      </c>
      <c r="F10" s="50" t="s">
        <v>1670</v>
      </c>
      <c r="G10" s="47">
        <v>0</v>
      </c>
      <c r="H10" s="12">
        <v>20250731</v>
      </c>
    </row>
    <row r="11" spans="1:8">
      <c r="A11" s="40">
        <v>989.0027</v>
      </c>
      <c r="B11" s="44">
        <v>2</v>
      </c>
      <c r="C11" s="45" t="s">
        <v>219</v>
      </c>
      <c r="D11" s="45" t="s">
        <v>219</v>
      </c>
      <c r="E11" s="45" t="s">
        <v>894</v>
      </c>
      <c r="F11" s="62" t="s">
        <v>1671</v>
      </c>
      <c r="G11" s="44">
        <v>1</v>
      </c>
      <c r="H11" s="12">
        <v>20250731</v>
      </c>
    </row>
    <row r="12" spans="1:8">
      <c r="A12" s="40">
        <v>989.0007</v>
      </c>
      <c r="B12" s="47">
        <v>2</v>
      </c>
      <c r="C12" s="52" t="s">
        <v>8</v>
      </c>
      <c r="D12" s="49" t="s">
        <v>26</v>
      </c>
      <c r="E12" s="49" t="s">
        <v>15</v>
      </c>
      <c r="F12" s="75" t="s">
        <v>1672</v>
      </c>
      <c r="G12" s="47">
        <v>1</v>
      </c>
      <c r="H12" s="12">
        <v>20250731</v>
      </c>
    </row>
    <row r="13" spans="1:8">
      <c r="A13" s="40">
        <v>988.9997</v>
      </c>
      <c r="B13" s="51">
        <v>2</v>
      </c>
      <c r="C13" s="52" t="s">
        <v>8</v>
      </c>
      <c r="D13" s="49" t="s">
        <v>49</v>
      </c>
      <c r="E13" s="56" t="s">
        <v>1673</v>
      </c>
      <c r="F13" s="50" t="s">
        <v>1674</v>
      </c>
      <c r="G13" s="47">
        <v>0</v>
      </c>
      <c r="H13" s="12">
        <v>20250731</v>
      </c>
    </row>
    <row r="14" spans="1:8">
      <c r="A14" s="40">
        <v>989.0087</v>
      </c>
      <c r="B14" s="41">
        <v>3</v>
      </c>
      <c r="C14" s="42" t="s">
        <v>8</v>
      </c>
      <c r="D14" s="49" t="s">
        <v>9</v>
      </c>
      <c r="E14" s="49" t="s">
        <v>15</v>
      </c>
      <c r="F14" s="50" t="s">
        <v>1675</v>
      </c>
      <c r="G14" s="47">
        <v>0</v>
      </c>
      <c r="H14" s="12">
        <v>20250731</v>
      </c>
    </row>
    <row r="15" spans="1:8">
      <c r="A15" s="40">
        <v>989.0047</v>
      </c>
      <c r="B15" s="41">
        <v>3</v>
      </c>
      <c r="C15" s="42" t="s">
        <v>8</v>
      </c>
      <c r="D15" s="49" t="s">
        <v>9</v>
      </c>
      <c r="E15" s="49" t="s">
        <v>33</v>
      </c>
      <c r="F15" s="50" t="s">
        <v>1676</v>
      </c>
      <c r="G15" s="47">
        <v>0</v>
      </c>
      <c r="H15" s="12">
        <v>20250731</v>
      </c>
    </row>
    <row r="16" spans="1:8">
      <c r="A16" s="40">
        <v>989.0047</v>
      </c>
      <c r="B16" s="47">
        <v>3</v>
      </c>
      <c r="C16" s="52" t="s">
        <v>25</v>
      </c>
      <c r="D16" s="49" t="s">
        <v>9</v>
      </c>
      <c r="E16" s="49" t="s">
        <v>470</v>
      </c>
      <c r="F16" s="50" t="s">
        <v>1677</v>
      </c>
      <c r="G16" s="47">
        <v>1</v>
      </c>
      <c r="H16" s="12">
        <v>20250731</v>
      </c>
    </row>
    <row r="17" spans="1:8">
      <c r="A17" s="40">
        <v>989.0047</v>
      </c>
      <c r="B17" s="47">
        <v>3</v>
      </c>
      <c r="C17" s="52" t="s">
        <v>8</v>
      </c>
      <c r="D17" s="49" t="s">
        <v>49</v>
      </c>
      <c r="E17" s="49" t="s">
        <v>41</v>
      </c>
      <c r="F17" s="50" t="s">
        <v>1678</v>
      </c>
      <c r="G17" s="47">
        <v>1</v>
      </c>
      <c r="H17" s="12">
        <v>20250731</v>
      </c>
    </row>
    <row r="18" spans="1:8">
      <c r="A18" s="40">
        <v>989.0244</v>
      </c>
      <c r="B18" s="44">
        <v>5</v>
      </c>
      <c r="C18" s="45" t="s">
        <v>219</v>
      </c>
      <c r="D18" s="45" t="s">
        <v>219</v>
      </c>
      <c r="E18" s="45" t="s">
        <v>894</v>
      </c>
      <c r="F18" s="62" t="s">
        <v>1679</v>
      </c>
      <c r="G18" s="44">
        <v>1</v>
      </c>
      <c r="H18" s="12">
        <v>20250731</v>
      </c>
    </row>
    <row r="19" spans="1:8">
      <c r="A19" s="40">
        <v>989.0269</v>
      </c>
      <c r="B19" s="44">
        <v>6</v>
      </c>
      <c r="C19" s="45" t="s">
        <v>219</v>
      </c>
      <c r="D19" s="45" t="s">
        <v>219</v>
      </c>
      <c r="E19" s="45" t="s">
        <v>894</v>
      </c>
      <c r="F19" s="62" t="s">
        <v>1680</v>
      </c>
      <c r="G19" s="44">
        <v>1</v>
      </c>
      <c r="H19" s="12">
        <v>20250731</v>
      </c>
    </row>
    <row r="20" spans="1:8">
      <c r="A20" s="40">
        <v>989.043</v>
      </c>
      <c r="B20" s="47">
        <v>8</v>
      </c>
      <c r="C20" s="52" t="s">
        <v>17</v>
      </c>
      <c r="D20" s="49" t="s">
        <v>177</v>
      </c>
      <c r="E20" s="53" t="s">
        <v>19</v>
      </c>
      <c r="F20" s="50" t="s">
        <v>1681</v>
      </c>
      <c r="G20" s="47">
        <v>1</v>
      </c>
      <c r="H20" s="12">
        <v>20250731</v>
      </c>
    </row>
    <row r="21" spans="1:8">
      <c r="A21" s="40">
        <v>989.0501</v>
      </c>
      <c r="B21" s="41">
        <v>9</v>
      </c>
      <c r="C21" s="42" t="s">
        <v>8</v>
      </c>
      <c r="D21" s="49" t="s">
        <v>9</v>
      </c>
      <c r="E21" s="49" t="s">
        <v>33</v>
      </c>
      <c r="F21" s="50" t="s">
        <v>1682</v>
      </c>
      <c r="G21" s="47">
        <v>0</v>
      </c>
      <c r="H21" s="12">
        <v>20250731</v>
      </c>
    </row>
    <row r="22" spans="1:8">
      <c r="A22" s="40">
        <v>989.0531</v>
      </c>
      <c r="B22" s="41">
        <v>9</v>
      </c>
      <c r="C22" s="42" t="s">
        <v>8</v>
      </c>
      <c r="D22" s="49" t="s">
        <v>9</v>
      </c>
      <c r="E22" s="49" t="s">
        <v>15</v>
      </c>
      <c r="F22" s="50" t="s">
        <v>1683</v>
      </c>
      <c r="G22" s="47">
        <v>0</v>
      </c>
      <c r="H22" s="12">
        <v>20250731</v>
      </c>
    </row>
    <row r="23" spans="1:8">
      <c r="A23" s="40">
        <v>989.0582</v>
      </c>
      <c r="B23" s="41">
        <v>10</v>
      </c>
      <c r="C23" s="42" t="s">
        <v>8</v>
      </c>
      <c r="D23" s="49" t="s">
        <v>9</v>
      </c>
      <c r="E23" s="49" t="s">
        <v>15</v>
      </c>
      <c r="F23" s="50" t="s">
        <v>1684</v>
      </c>
      <c r="G23" s="47">
        <v>0</v>
      </c>
      <c r="H23" s="12">
        <v>20250731</v>
      </c>
    </row>
    <row r="24" spans="1:8">
      <c r="A24" s="40">
        <v>989.0642</v>
      </c>
      <c r="B24" s="41">
        <v>10</v>
      </c>
      <c r="C24" s="42" t="s">
        <v>8</v>
      </c>
      <c r="D24" s="49" t="s">
        <v>40</v>
      </c>
      <c r="E24" s="49" t="s">
        <v>15</v>
      </c>
      <c r="F24" s="50" t="s">
        <v>1685</v>
      </c>
      <c r="G24" s="47">
        <v>1</v>
      </c>
      <c r="H24" s="12">
        <v>20250731</v>
      </c>
    </row>
    <row r="25" spans="1:8">
      <c r="A25" s="40">
        <v>989.0632</v>
      </c>
      <c r="B25" s="47">
        <v>10</v>
      </c>
      <c r="C25" s="52" t="s">
        <v>17</v>
      </c>
      <c r="D25" s="49" t="s">
        <v>177</v>
      </c>
      <c r="E25" s="53" t="s">
        <v>1205</v>
      </c>
      <c r="F25" s="50" t="s">
        <v>1686</v>
      </c>
      <c r="G25" s="47">
        <v>1</v>
      </c>
      <c r="H25" s="12">
        <v>20250731</v>
      </c>
    </row>
    <row r="26" spans="1:8">
      <c r="A26" s="40">
        <v>989.0663</v>
      </c>
      <c r="B26" s="41">
        <v>11</v>
      </c>
      <c r="C26" s="42" t="s">
        <v>8</v>
      </c>
      <c r="D26" s="49" t="s">
        <v>43</v>
      </c>
      <c r="E26" s="49" t="s">
        <v>33</v>
      </c>
      <c r="F26" s="50" t="s">
        <v>1687</v>
      </c>
      <c r="G26" s="44">
        <v>0</v>
      </c>
      <c r="H26" s="12">
        <v>20250731</v>
      </c>
    </row>
    <row r="27" spans="1:8">
      <c r="A27" s="40">
        <v>989.0683</v>
      </c>
      <c r="B27" s="47">
        <v>11</v>
      </c>
      <c r="C27" s="52" t="s">
        <v>17</v>
      </c>
      <c r="D27" s="49" t="s">
        <v>177</v>
      </c>
      <c r="E27" s="53" t="s">
        <v>1205</v>
      </c>
      <c r="F27" s="50" t="s">
        <v>1688</v>
      </c>
      <c r="G27" s="47">
        <v>1</v>
      </c>
      <c r="H27" s="12">
        <v>20250731</v>
      </c>
    </row>
    <row r="28" spans="1:8">
      <c r="A28" s="40">
        <v>989.0723</v>
      </c>
      <c r="B28" s="47">
        <v>11</v>
      </c>
      <c r="C28" s="52" t="s">
        <v>17</v>
      </c>
      <c r="D28" s="49" t="s">
        <v>177</v>
      </c>
      <c r="E28" s="53" t="s">
        <v>1205</v>
      </c>
      <c r="F28" s="50" t="s">
        <v>1689</v>
      </c>
      <c r="G28" s="47">
        <v>1</v>
      </c>
      <c r="H28" s="12">
        <v>20250731</v>
      </c>
    </row>
    <row r="29" spans="1:8">
      <c r="A29" s="40">
        <v>989.0745</v>
      </c>
      <c r="B29" s="41">
        <v>12</v>
      </c>
      <c r="C29" s="42" t="s">
        <v>8</v>
      </c>
      <c r="D29" s="49" t="s">
        <v>9</v>
      </c>
      <c r="E29" s="49" t="s">
        <v>33</v>
      </c>
      <c r="F29" s="50" t="s">
        <v>1690</v>
      </c>
      <c r="G29" s="47">
        <v>0</v>
      </c>
      <c r="H29" s="12">
        <v>20250731</v>
      </c>
    </row>
    <row r="30" spans="1:8">
      <c r="A30" s="40">
        <v>989.0745</v>
      </c>
      <c r="B30" s="41">
        <v>12</v>
      </c>
      <c r="C30" s="42" t="s">
        <v>8</v>
      </c>
      <c r="D30" s="49" t="s">
        <v>43</v>
      </c>
      <c r="E30" s="49" t="s">
        <v>15</v>
      </c>
      <c r="F30" s="50" t="s">
        <v>1691</v>
      </c>
      <c r="G30" s="47">
        <v>0</v>
      </c>
      <c r="H30" s="12">
        <v>20250731</v>
      </c>
    </row>
    <row r="31" spans="1:8">
      <c r="A31" s="40">
        <v>989.0825</v>
      </c>
      <c r="B31" s="41">
        <v>13</v>
      </c>
      <c r="C31" s="42" t="s">
        <v>8</v>
      </c>
      <c r="D31" s="49" t="s">
        <v>49</v>
      </c>
      <c r="E31" s="49" t="s">
        <v>33</v>
      </c>
      <c r="F31" s="50" t="s">
        <v>1692</v>
      </c>
      <c r="G31" s="47">
        <v>0</v>
      </c>
      <c r="H31" s="12">
        <v>20250731</v>
      </c>
    </row>
    <row r="32" spans="1:8">
      <c r="A32" s="40">
        <v>989.0907</v>
      </c>
      <c r="B32" s="41">
        <v>14</v>
      </c>
      <c r="C32" s="42" t="s">
        <v>8</v>
      </c>
      <c r="D32" s="49" t="s">
        <v>49</v>
      </c>
      <c r="E32" s="56" t="s">
        <v>1693</v>
      </c>
      <c r="F32" s="50" t="s">
        <v>1694</v>
      </c>
      <c r="G32" s="47">
        <v>0</v>
      </c>
      <c r="H32" s="12">
        <v>20250731</v>
      </c>
    </row>
    <row r="33" spans="1:8">
      <c r="A33" s="40">
        <v>989.0937</v>
      </c>
      <c r="B33" s="44">
        <v>14</v>
      </c>
      <c r="C33" s="45" t="s">
        <v>219</v>
      </c>
      <c r="D33" s="45" t="s">
        <v>219</v>
      </c>
      <c r="E33" s="45" t="s">
        <v>894</v>
      </c>
      <c r="F33" s="62" t="s">
        <v>1695</v>
      </c>
      <c r="G33" s="44">
        <v>1</v>
      </c>
      <c r="H33" s="12">
        <v>20250731</v>
      </c>
    </row>
    <row r="34" spans="1:8">
      <c r="A34" s="40">
        <v>989.0922</v>
      </c>
      <c r="B34" s="44">
        <v>14</v>
      </c>
      <c r="C34" s="45" t="s">
        <v>88</v>
      </c>
      <c r="D34" s="45" t="s">
        <v>18</v>
      </c>
      <c r="E34" s="45" t="s">
        <v>89</v>
      </c>
      <c r="F34" s="62" t="s">
        <v>1696</v>
      </c>
      <c r="G34" s="44">
        <v>1</v>
      </c>
      <c r="H34" s="12">
        <v>20250731</v>
      </c>
    </row>
    <row r="35" spans="1:8">
      <c r="A35" s="40">
        <v>989.0927</v>
      </c>
      <c r="B35" s="47">
        <v>14</v>
      </c>
      <c r="C35" s="52" t="s">
        <v>17</v>
      </c>
      <c r="D35" s="49" t="s">
        <v>177</v>
      </c>
      <c r="E35" s="53" t="s">
        <v>1205</v>
      </c>
      <c r="F35" s="50" t="s">
        <v>1688</v>
      </c>
      <c r="G35" s="47">
        <v>1</v>
      </c>
      <c r="H35" s="12">
        <v>20250731</v>
      </c>
    </row>
    <row r="36" spans="1:8">
      <c r="A36" s="40">
        <v>989.0988</v>
      </c>
      <c r="B36" s="41">
        <v>15</v>
      </c>
      <c r="C36" s="42" t="s">
        <v>8</v>
      </c>
      <c r="D36" s="49" t="s">
        <v>49</v>
      </c>
      <c r="E36" s="49" t="s">
        <v>33</v>
      </c>
      <c r="F36" s="50" t="s">
        <v>1697</v>
      </c>
      <c r="G36" s="47">
        <v>0</v>
      </c>
      <c r="H36" s="12">
        <v>20250731</v>
      </c>
    </row>
    <row r="37" spans="1:8">
      <c r="A37" s="40">
        <v>989.1069</v>
      </c>
      <c r="B37" s="41">
        <v>16</v>
      </c>
      <c r="C37" s="42" t="s">
        <v>8</v>
      </c>
      <c r="D37" s="49" t="s">
        <v>9</v>
      </c>
      <c r="E37" s="56" t="s">
        <v>1693</v>
      </c>
      <c r="F37" s="50" t="s">
        <v>1698</v>
      </c>
      <c r="G37" s="47">
        <v>1</v>
      </c>
      <c r="H37" s="12">
        <v>20250731</v>
      </c>
    </row>
    <row r="38" spans="1:8">
      <c r="A38" s="40">
        <v>989.1069</v>
      </c>
      <c r="B38" s="47">
        <v>16</v>
      </c>
      <c r="C38" s="52" t="s">
        <v>25</v>
      </c>
      <c r="D38" s="49" t="s">
        <v>43</v>
      </c>
      <c r="E38" s="49" t="s">
        <v>470</v>
      </c>
      <c r="F38" s="50" t="s">
        <v>1699</v>
      </c>
      <c r="G38" s="47">
        <v>1</v>
      </c>
      <c r="H38" s="12">
        <v>20250731</v>
      </c>
    </row>
    <row r="39" spans="1:8">
      <c r="A39" s="40">
        <v>989.1129</v>
      </c>
      <c r="B39" s="47">
        <v>16</v>
      </c>
      <c r="C39" s="52" t="s">
        <v>17</v>
      </c>
      <c r="D39" s="49" t="s">
        <v>177</v>
      </c>
      <c r="E39" s="53" t="s">
        <v>19</v>
      </c>
      <c r="F39" s="50" t="s">
        <v>1575</v>
      </c>
      <c r="G39" s="47">
        <v>1</v>
      </c>
      <c r="H39" s="12">
        <v>20250731</v>
      </c>
    </row>
    <row r="40" spans="1:8">
      <c r="A40" s="40">
        <v>989.115</v>
      </c>
      <c r="B40" s="41">
        <v>17</v>
      </c>
      <c r="C40" s="42" t="s">
        <v>8</v>
      </c>
      <c r="D40" s="49" t="s">
        <v>43</v>
      </c>
      <c r="E40" s="49" t="s">
        <v>15</v>
      </c>
      <c r="F40" s="50" t="s">
        <v>1700</v>
      </c>
      <c r="G40" s="47">
        <v>0</v>
      </c>
      <c r="H40" s="12">
        <v>20250731</v>
      </c>
    </row>
    <row r="41" spans="1:8">
      <c r="A41" s="40">
        <v>989.1231</v>
      </c>
      <c r="B41" s="41">
        <v>18</v>
      </c>
      <c r="C41" s="42" t="s">
        <v>8</v>
      </c>
      <c r="D41" s="49" t="s">
        <v>43</v>
      </c>
      <c r="E41" s="49" t="s">
        <v>33</v>
      </c>
      <c r="F41" s="50" t="s">
        <v>1701</v>
      </c>
      <c r="G41" s="47">
        <v>1</v>
      </c>
      <c r="H41" s="12">
        <v>20250731</v>
      </c>
    </row>
    <row r="42" spans="1:8">
      <c r="A42" s="40">
        <v>989.1231</v>
      </c>
      <c r="B42" s="44">
        <v>18</v>
      </c>
      <c r="C42" s="45" t="s">
        <v>219</v>
      </c>
      <c r="D42" s="45" t="s">
        <v>219</v>
      </c>
      <c r="E42" s="45" t="s">
        <v>33</v>
      </c>
      <c r="F42" s="62" t="s">
        <v>1702</v>
      </c>
      <c r="G42" s="44">
        <v>1</v>
      </c>
      <c r="H42" s="12">
        <v>20250731</v>
      </c>
    </row>
    <row r="43" spans="1:8">
      <c r="A43" s="40">
        <v>989.1231</v>
      </c>
      <c r="B43" s="47">
        <v>18</v>
      </c>
      <c r="C43" s="52" t="s">
        <v>25</v>
      </c>
      <c r="D43" s="49" t="s">
        <v>9</v>
      </c>
      <c r="E43" s="49" t="s">
        <v>470</v>
      </c>
      <c r="F43" s="50" t="s">
        <v>1703</v>
      </c>
      <c r="G43" s="47">
        <v>1</v>
      </c>
      <c r="H43" s="12">
        <v>20250731</v>
      </c>
    </row>
    <row r="44" spans="1:8">
      <c r="A44" s="40">
        <v>989.1382</v>
      </c>
      <c r="B44" s="44">
        <v>19</v>
      </c>
      <c r="C44" s="45" t="s">
        <v>88</v>
      </c>
      <c r="D44" s="45" t="s">
        <v>18</v>
      </c>
      <c r="E44" s="45" t="s">
        <v>89</v>
      </c>
      <c r="F44" s="62" t="s">
        <v>1704</v>
      </c>
      <c r="G44" s="44">
        <v>1</v>
      </c>
      <c r="H44" s="12">
        <v>20250731</v>
      </c>
    </row>
    <row r="45" ht="15.75" spans="1:8">
      <c r="A45" s="40">
        <v>989.1337</v>
      </c>
      <c r="B45" s="44">
        <v>19</v>
      </c>
      <c r="C45" s="45" t="s">
        <v>219</v>
      </c>
      <c r="D45" s="45" t="s">
        <v>219</v>
      </c>
      <c r="E45" s="45" t="s">
        <v>1468</v>
      </c>
      <c r="F45" s="46" t="s">
        <v>1705</v>
      </c>
      <c r="G45" s="44">
        <v>2</v>
      </c>
      <c r="H45" s="12">
        <v>20250731</v>
      </c>
    </row>
    <row r="46" spans="1:8">
      <c r="A46" s="40">
        <v>989.1312</v>
      </c>
      <c r="B46" s="47">
        <v>19</v>
      </c>
      <c r="C46" s="52" t="s">
        <v>25</v>
      </c>
      <c r="D46" s="49" t="s">
        <v>43</v>
      </c>
      <c r="E46" s="49" t="s">
        <v>470</v>
      </c>
      <c r="F46" s="50" t="s">
        <v>1706</v>
      </c>
      <c r="G46" s="47">
        <v>1</v>
      </c>
      <c r="H46" s="12">
        <v>20250731</v>
      </c>
    </row>
    <row r="47" spans="1:8">
      <c r="A47" s="40">
        <v>989.1463</v>
      </c>
      <c r="B47" s="44">
        <v>20</v>
      </c>
      <c r="C47" s="45" t="s">
        <v>219</v>
      </c>
      <c r="D47" s="45" t="s">
        <v>219</v>
      </c>
      <c r="E47" s="45" t="s">
        <v>894</v>
      </c>
      <c r="F47" s="62" t="s">
        <v>1707</v>
      </c>
      <c r="G47" s="44">
        <v>1</v>
      </c>
      <c r="H47" s="12">
        <v>20250731</v>
      </c>
    </row>
    <row r="48" spans="1:8">
      <c r="A48" s="40">
        <v>989.1474</v>
      </c>
      <c r="B48" s="47">
        <v>21</v>
      </c>
      <c r="C48" s="52" t="s">
        <v>25</v>
      </c>
      <c r="D48" s="49" t="s">
        <v>49</v>
      </c>
      <c r="E48" s="53" t="s">
        <v>470</v>
      </c>
      <c r="F48" s="50" t="s">
        <v>1708</v>
      </c>
      <c r="G48" s="47">
        <v>1</v>
      </c>
      <c r="H48" s="12">
        <v>20250731</v>
      </c>
    </row>
    <row r="49" spans="1:8">
      <c r="A49" s="40">
        <v>989.1555</v>
      </c>
      <c r="B49" s="41">
        <v>22</v>
      </c>
      <c r="C49" s="42" t="s">
        <v>8</v>
      </c>
      <c r="D49" s="49" t="s">
        <v>49</v>
      </c>
      <c r="E49" s="49" t="s">
        <v>33</v>
      </c>
      <c r="F49" s="50" t="s">
        <v>1709</v>
      </c>
      <c r="G49" s="47">
        <v>1</v>
      </c>
      <c r="H49" s="12">
        <v>20250731</v>
      </c>
    </row>
    <row r="50" spans="1:8">
      <c r="A50" s="40">
        <v>989.1636</v>
      </c>
      <c r="B50" s="41">
        <v>23</v>
      </c>
      <c r="C50" s="42" t="s">
        <v>8</v>
      </c>
      <c r="D50" s="49" t="s">
        <v>9</v>
      </c>
      <c r="E50" s="49" t="s">
        <v>33</v>
      </c>
      <c r="F50" s="50" t="s">
        <v>1710</v>
      </c>
      <c r="G50" s="47">
        <v>1</v>
      </c>
      <c r="H50" s="12">
        <v>20250731</v>
      </c>
    </row>
    <row r="51" spans="1:8">
      <c r="A51" s="40">
        <v>989.1636</v>
      </c>
      <c r="B51" s="47">
        <v>23</v>
      </c>
      <c r="C51" s="52" t="s">
        <v>25</v>
      </c>
      <c r="D51" s="49" t="s">
        <v>49</v>
      </c>
      <c r="E51" s="49" t="s">
        <v>470</v>
      </c>
      <c r="F51" s="50" t="s">
        <v>1711</v>
      </c>
      <c r="G51" s="47">
        <v>1</v>
      </c>
      <c r="H51" s="12">
        <v>20250731</v>
      </c>
    </row>
    <row r="52" spans="1:8">
      <c r="A52" s="40">
        <v>989.1772</v>
      </c>
      <c r="B52" s="44">
        <v>24</v>
      </c>
      <c r="C52" s="45" t="s">
        <v>219</v>
      </c>
      <c r="D52" s="45" t="s">
        <v>219</v>
      </c>
      <c r="E52" s="45" t="s">
        <v>894</v>
      </c>
      <c r="F52" s="62" t="s">
        <v>1712</v>
      </c>
      <c r="G52" s="44">
        <v>1</v>
      </c>
      <c r="H52" s="12">
        <v>20250731</v>
      </c>
    </row>
    <row r="53" spans="1:8">
      <c r="A53" s="40">
        <v>989.1798</v>
      </c>
      <c r="B53" s="47">
        <v>25</v>
      </c>
      <c r="C53" s="52" t="s">
        <v>25</v>
      </c>
      <c r="D53" s="49" t="s">
        <v>43</v>
      </c>
      <c r="E53" s="49" t="s">
        <v>470</v>
      </c>
      <c r="F53" s="50" t="s">
        <v>1713</v>
      </c>
      <c r="G53" s="47">
        <v>1</v>
      </c>
      <c r="H53" s="12">
        <v>20250731</v>
      </c>
    </row>
    <row r="54" spans="1:8">
      <c r="A54" s="40">
        <v>989.1853</v>
      </c>
      <c r="B54" s="47">
        <v>25</v>
      </c>
      <c r="C54" s="52" t="s">
        <v>25</v>
      </c>
      <c r="D54" s="49" t="s">
        <v>43</v>
      </c>
      <c r="E54" s="49" t="s">
        <v>470</v>
      </c>
      <c r="F54" s="50" t="s">
        <v>1714</v>
      </c>
      <c r="G54" s="47">
        <v>1</v>
      </c>
      <c r="H54" s="12">
        <v>20250731</v>
      </c>
    </row>
    <row r="55" spans="1:8">
      <c r="A55" s="40">
        <v>989.188</v>
      </c>
      <c r="B55" s="41">
        <v>26</v>
      </c>
      <c r="C55" s="42" t="s">
        <v>8</v>
      </c>
      <c r="D55" s="49" t="s">
        <v>49</v>
      </c>
      <c r="E55" s="49" t="s">
        <v>33</v>
      </c>
      <c r="F55" s="50" t="s">
        <v>1525</v>
      </c>
      <c r="G55" s="47">
        <v>1</v>
      </c>
      <c r="H55" s="12">
        <v>20250731</v>
      </c>
    </row>
    <row r="56" spans="1:8">
      <c r="A56" s="40">
        <v>989.188</v>
      </c>
      <c r="B56" s="41">
        <v>26</v>
      </c>
      <c r="C56" s="42" t="s">
        <v>8</v>
      </c>
      <c r="D56" s="49" t="s">
        <v>43</v>
      </c>
      <c r="E56" s="49" t="s">
        <v>41</v>
      </c>
      <c r="F56" s="50" t="s">
        <v>1715</v>
      </c>
      <c r="G56" s="47">
        <v>1</v>
      </c>
      <c r="H56" s="12">
        <v>20250731</v>
      </c>
    </row>
    <row r="57" spans="1:8">
      <c r="A57" s="40">
        <v>989.188</v>
      </c>
      <c r="B57" s="44">
        <v>26</v>
      </c>
      <c r="C57" s="45" t="s">
        <v>219</v>
      </c>
      <c r="D57" s="45" t="s">
        <v>219</v>
      </c>
      <c r="E57" s="45" t="s">
        <v>33</v>
      </c>
      <c r="F57" s="62" t="s">
        <v>1716</v>
      </c>
      <c r="G57" s="44">
        <v>1</v>
      </c>
      <c r="H57" s="12">
        <v>20250731</v>
      </c>
    </row>
    <row r="58" spans="1:8">
      <c r="A58" s="40">
        <v>989.193</v>
      </c>
      <c r="B58" s="47">
        <v>26</v>
      </c>
      <c r="C58" s="52" t="s">
        <v>17</v>
      </c>
      <c r="D58" s="49" t="s">
        <v>177</v>
      </c>
      <c r="E58" s="53" t="s">
        <v>1205</v>
      </c>
      <c r="F58" s="50" t="s">
        <v>1717</v>
      </c>
      <c r="G58" s="47">
        <v>1</v>
      </c>
      <c r="H58" s="12">
        <v>20250731</v>
      </c>
    </row>
    <row r="59" spans="1:8">
      <c r="A59" s="40">
        <v>989.1961</v>
      </c>
      <c r="B59" s="41">
        <v>27</v>
      </c>
      <c r="C59" s="42" t="s">
        <v>8</v>
      </c>
      <c r="D59" s="49" t="s">
        <v>49</v>
      </c>
      <c r="E59" s="49" t="s">
        <v>232</v>
      </c>
      <c r="F59" s="50" t="s">
        <v>1718</v>
      </c>
      <c r="G59" s="47">
        <v>1</v>
      </c>
      <c r="H59" s="12">
        <v>20250731</v>
      </c>
    </row>
    <row r="60" spans="1:8">
      <c r="A60" s="40">
        <v>989.2006</v>
      </c>
      <c r="B60" s="44">
        <v>27</v>
      </c>
      <c r="C60" s="45" t="s">
        <v>219</v>
      </c>
      <c r="D60" s="45" t="s">
        <v>219</v>
      </c>
      <c r="E60" s="45" t="s">
        <v>894</v>
      </c>
      <c r="F60" s="62" t="s">
        <v>1719</v>
      </c>
      <c r="G60" s="44">
        <v>1</v>
      </c>
      <c r="H60" s="12">
        <v>20250731</v>
      </c>
    </row>
    <row r="61" spans="1:8">
      <c r="A61" s="40">
        <v>989.1961</v>
      </c>
      <c r="B61" s="47">
        <v>27</v>
      </c>
      <c r="C61" s="52" t="s">
        <v>17</v>
      </c>
      <c r="D61" s="49" t="s">
        <v>177</v>
      </c>
      <c r="E61" s="53" t="s">
        <v>1205</v>
      </c>
      <c r="F61" s="50" t="s">
        <v>1720</v>
      </c>
      <c r="G61" s="47">
        <v>1</v>
      </c>
      <c r="H61" s="12">
        <v>20250731</v>
      </c>
    </row>
    <row r="62" ht="25.5" spans="1:8">
      <c r="A62" s="40">
        <v>989.2043</v>
      </c>
      <c r="B62" s="47">
        <v>28</v>
      </c>
      <c r="C62" s="52" t="s">
        <v>25</v>
      </c>
      <c r="D62" s="49" t="s">
        <v>1721</v>
      </c>
      <c r="E62" s="49" t="s">
        <v>470</v>
      </c>
      <c r="F62" s="50" t="s">
        <v>1722</v>
      </c>
      <c r="G62" s="47">
        <v>1</v>
      </c>
      <c r="H62" s="12">
        <v>20250731</v>
      </c>
    </row>
    <row r="63" spans="1:8">
      <c r="A63" s="40">
        <v>989.2203</v>
      </c>
      <c r="B63" s="44">
        <v>29</v>
      </c>
      <c r="C63" s="45" t="s">
        <v>88</v>
      </c>
      <c r="D63" s="45" t="s">
        <v>18</v>
      </c>
      <c r="E63" s="45" t="s">
        <v>89</v>
      </c>
      <c r="F63" s="62" t="s">
        <v>1723</v>
      </c>
      <c r="G63" s="44">
        <v>1</v>
      </c>
      <c r="H63" s="12">
        <v>20250731</v>
      </c>
    </row>
    <row r="64" spans="1:8">
      <c r="A64" s="40">
        <v>989.2123</v>
      </c>
      <c r="B64" s="47">
        <v>29</v>
      </c>
      <c r="C64" s="52" t="s">
        <v>25</v>
      </c>
      <c r="D64" s="49" t="s">
        <v>43</v>
      </c>
      <c r="E64" s="49" t="s">
        <v>470</v>
      </c>
      <c r="F64" s="50" t="s">
        <v>1724</v>
      </c>
      <c r="G64" s="47">
        <v>1</v>
      </c>
      <c r="H64" s="12">
        <v>20250731</v>
      </c>
    </row>
    <row r="65" spans="1:8">
      <c r="A65" s="40">
        <v>989.2163</v>
      </c>
      <c r="B65" s="47">
        <v>29</v>
      </c>
      <c r="C65" s="52" t="s">
        <v>17</v>
      </c>
      <c r="D65" s="49" t="s">
        <v>177</v>
      </c>
      <c r="E65" s="53" t="s">
        <v>1205</v>
      </c>
      <c r="F65" s="50" t="s">
        <v>1725</v>
      </c>
      <c r="G65" s="47">
        <v>1</v>
      </c>
      <c r="H65" s="12">
        <v>20250731</v>
      </c>
    </row>
    <row r="66" spans="1:8">
      <c r="A66" s="40">
        <v>989.2239</v>
      </c>
      <c r="B66" s="41">
        <v>30</v>
      </c>
      <c r="C66" s="42" t="s">
        <v>17</v>
      </c>
      <c r="D66" s="49" t="s">
        <v>18</v>
      </c>
      <c r="E66" s="49" t="s">
        <v>19</v>
      </c>
      <c r="F66" s="50" t="s">
        <v>1726</v>
      </c>
      <c r="G66" s="47">
        <v>1</v>
      </c>
      <c r="H66" s="12">
        <v>20250731</v>
      </c>
    </row>
    <row r="67" spans="1:8">
      <c r="A67" s="40">
        <v>989.2224</v>
      </c>
      <c r="B67" s="44">
        <v>30</v>
      </c>
      <c r="C67" s="45" t="s">
        <v>219</v>
      </c>
      <c r="D67" s="45" t="s">
        <v>219</v>
      </c>
      <c r="E67" s="45" t="s">
        <v>894</v>
      </c>
      <c r="F67" s="62" t="s">
        <v>1727</v>
      </c>
      <c r="G67" s="44">
        <v>1</v>
      </c>
      <c r="H67" s="12">
        <v>20250731</v>
      </c>
    </row>
    <row r="68" ht="25.5" spans="1:8">
      <c r="A68" s="40">
        <v>989.2204</v>
      </c>
      <c r="B68" s="47">
        <v>30</v>
      </c>
      <c r="C68" s="52" t="s">
        <v>25</v>
      </c>
      <c r="D68" s="49" t="s">
        <v>1728</v>
      </c>
      <c r="E68" s="49" t="s">
        <v>470</v>
      </c>
      <c r="F68" s="50" t="s">
        <v>1713</v>
      </c>
      <c r="G68" s="47">
        <v>1</v>
      </c>
      <c r="H68" s="12">
        <v>20250731</v>
      </c>
    </row>
    <row r="69" spans="1:8">
      <c r="A69" s="40">
        <v>989.2335</v>
      </c>
      <c r="B69" s="41">
        <v>31</v>
      </c>
      <c r="C69" s="42" t="s">
        <v>17</v>
      </c>
      <c r="D69" s="49" t="s">
        <v>18</v>
      </c>
      <c r="E69" s="49" t="s">
        <v>19</v>
      </c>
      <c r="F69" s="50" t="s">
        <v>1729</v>
      </c>
      <c r="G69" s="47">
        <v>1</v>
      </c>
      <c r="H69" s="12">
        <v>20250731</v>
      </c>
    </row>
    <row r="70" spans="1:8">
      <c r="A70" s="40">
        <v>989.2355</v>
      </c>
      <c r="B70" s="47">
        <v>31</v>
      </c>
      <c r="C70" s="52" t="s">
        <v>17</v>
      </c>
      <c r="D70" s="49" t="s">
        <v>177</v>
      </c>
      <c r="E70" s="53" t="s">
        <v>1205</v>
      </c>
      <c r="F70" s="50" t="s">
        <v>1730</v>
      </c>
      <c r="G70" s="47">
        <v>1</v>
      </c>
      <c r="H70" s="12">
        <v>20250731</v>
      </c>
    </row>
    <row r="71" spans="1:8">
      <c r="A71" s="40">
        <v>989.2285</v>
      </c>
      <c r="B71" s="47">
        <v>31</v>
      </c>
      <c r="C71" s="52" t="s">
        <v>25</v>
      </c>
      <c r="D71" s="49" t="s">
        <v>1474</v>
      </c>
      <c r="E71" s="53" t="s">
        <v>470</v>
      </c>
      <c r="F71" s="50" t="s">
        <v>1731</v>
      </c>
      <c r="G71" s="47">
        <v>1</v>
      </c>
      <c r="H71" s="12">
        <v>20250731</v>
      </c>
    </row>
    <row r="72" spans="1:8">
      <c r="A72" s="40">
        <v>989.2692</v>
      </c>
      <c r="B72" s="44">
        <v>35</v>
      </c>
      <c r="C72" s="45" t="s">
        <v>219</v>
      </c>
      <c r="D72" s="45" t="s">
        <v>219</v>
      </c>
      <c r="E72" s="45" t="s">
        <v>894</v>
      </c>
      <c r="F72" s="62" t="s">
        <v>1732</v>
      </c>
      <c r="G72" s="44">
        <v>1</v>
      </c>
      <c r="H72" s="12">
        <v>20250731</v>
      </c>
    </row>
    <row r="73" spans="1:8">
      <c r="A73" s="40">
        <v>989.2743</v>
      </c>
      <c r="B73" s="44">
        <v>36</v>
      </c>
      <c r="C73" s="45" t="s">
        <v>219</v>
      </c>
      <c r="D73" s="45" t="s">
        <v>219</v>
      </c>
      <c r="E73" s="45" t="s">
        <v>894</v>
      </c>
      <c r="F73" s="62" t="s">
        <v>1733</v>
      </c>
      <c r="G73" s="44">
        <v>1</v>
      </c>
      <c r="H73" s="12">
        <v>20250731</v>
      </c>
    </row>
    <row r="74" spans="1:8">
      <c r="A74" s="40">
        <v>989.2774</v>
      </c>
      <c r="B74" s="41">
        <v>37</v>
      </c>
      <c r="C74" s="42" t="s">
        <v>8</v>
      </c>
      <c r="D74" s="49" t="s">
        <v>49</v>
      </c>
      <c r="E74" s="49" t="s">
        <v>232</v>
      </c>
      <c r="F74" s="50" t="s">
        <v>1734</v>
      </c>
      <c r="G74" s="47">
        <v>1</v>
      </c>
      <c r="H74" s="12">
        <v>20250731</v>
      </c>
    </row>
    <row r="75" spans="1:8">
      <c r="A75" s="40">
        <v>989.302</v>
      </c>
      <c r="B75" s="41">
        <v>40</v>
      </c>
      <c r="C75" s="42" t="s">
        <v>8</v>
      </c>
      <c r="D75" s="49" t="s">
        <v>49</v>
      </c>
      <c r="E75" s="49" t="s">
        <v>33</v>
      </c>
      <c r="F75" s="50" t="s">
        <v>1735</v>
      </c>
      <c r="G75" s="47">
        <v>0</v>
      </c>
      <c r="H75" s="12">
        <v>20250731</v>
      </c>
    </row>
    <row r="76" ht="25.5" spans="1:8">
      <c r="A76" s="40">
        <v>989.302</v>
      </c>
      <c r="B76" s="47">
        <v>40</v>
      </c>
      <c r="C76" s="52" t="s">
        <v>25</v>
      </c>
      <c r="D76" s="49" t="s">
        <v>1736</v>
      </c>
      <c r="E76" s="49" t="s">
        <v>470</v>
      </c>
      <c r="F76" s="50" t="s">
        <v>1737</v>
      </c>
      <c r="G76" s="47">
        <v>1</v>
      </c>
      <c r="H76" s="12">
        <v>20250731</v>
      </c>
    </row>
    <row r="77" ht="15.75" spans="1:8">
      <c r="A77" s="40">
        <v>989.309</v>
      </c>
      <c r="B77" s="55">
        <v>40</v>
      </c>
      <c r="C77" s="56" t="s">
        <v>25</v>
      </c>
      <c r="D77" s="57" t="s">
        <v>43</v>
      </c>
      <c r="E77" s="57" t="s">
        <v>470</v>
      </c>
      <c r="F77" s="58" t="s">
        <v>1738</v>
      </c>
      <c r="G77" s="41">
        <v>1</v>
      </c>
      <c r="H77" s="12">
        <v>20250731</v>
      </c>
    </row>
    <row r="78" spans="1:8">
      <c r="A78" s="40">
        <v>989.3183</v>
      </c>
      <c r="B78" s="41">
        <v>42</v>
      </c>
      <c r="C78" s="42" t="s">
        <v>8</v>
      </c>
      <c r="D78" s="49" t="s">
        <v>49</v>
      </c>
      <c r="E78" s="49" t="s">
        <v>33</v>
      </c>
      <c r="F78" s="50" t="s">
        <v>1739</v>
      </c>
      <c r="G78" s="47">
        <v>0</v>
      </c>
      <c r="H78" s="12">
        <v>20250731</v>
      </c>
    </row>
    <row r="79" spans="1:8">
      <c r="A79" s="40">
        <v>989.3348</v>
      </c>
      <c r="B79" s="41">
        <v>44</v>
      </c>
      <c r="C79" s="42" t="s">
        <v>8</v>
      </c>
      <c r="D79" s="49" t="s">
        <v>9</v>
      </c>
      <c r="E79" s="49" t="s">
        <v>33</v>
      </c>
      <c r="F79" s="50" t="s">
        <v>1710</v>
      </c>
      <c r="G79" s="47">
        <v>1</v>
      </c>
      <c r="H79" s="12">
        <v>20250731</v>
      </c>
    </row>
    <row r="80" spans="1:8">
      <c r="A80" s="40">
        <v>989.3439</v>
      </c>
      <c r="B80" s="44">
        <v>45</v>
      </c>
      <c r="C80" s="45" t="s">
        <v>219</v>
      </c>
      <c r="D80" s="45" t="s">
        <v>219</v>
      </c>
      <c r="E80" s="45" t="s">
        <v>894</v>
      </c>
      <c r="F80" s="62" t="s">
        <v>1740</v>
      </c>
      <c r="G80" s="44">
        <v>1</v>
      </c>
      <c r="H80" s="12">
        <v>20250731</v>
      </c>
    </row>
    <row r="81" spans="1:8">
      <c r="A81" s="40">
        <v>989.3429</v>
      </c>
      <c r="B81" s="44">
        <v>45</v>
      </c>
      <c r="C81" s="45" t="s">
        <v>88</v>
      </c>
      <c r="D81" s="45" t="s">
        <v>18</v>
      </c>
      <c r="E81" s="45" t="s">
        <v>89</v>
      </c>
      <c r="F81" s="46" t="s">
        <v>1741</v>
      </c>
      <c r="G81" s="44">
        <v>1</v>
      </c>
      <c r="H81" s="12">
        <v>20250731</v>
      </c>
    </row>
    <row r="82" spans="1:8">
      <c r="A82" s="40">
        <v>989.3509</v>
      </c>
      <c r="B82" s="47">
        <v>46</v>
      </c>
      <c r="C82" s="52" t="s">
        <v>25</v>
      </c>
      <c r="D82" s="49" t="s">
        <v>9</v>
      </c>
      <c r="E82" s="49" t="s">
        <v>470</v>
      </c>
      <c r="F82" s="50" t="s">
        <v>1742</v>
      </c>
      <c r="G82" s="47">
        <v>1</v>
      </c>
      <c r="H82" s="12">
        <v>20250731</v>
      </c>
    </row>
    <row r="83" spans="1:8">
      <c r="A83" s="40">
        <v>989.3639</v>
      </c>
      <c r="B83" s="44">
        <v>47</v>
      </c>
      <c r="C83" s="45" t="s">
        <v>219</v>
      </c>
      <c r="D83" s="45" t="s">
        <v>219</v>
      </c>
      <c r="E83" s="45" t="s">
        <v>894</v>
      </c>
      <c r="F83" s="62" t="s">
        <v>1743</v>
      </c>
      <c r="G83" s="44">
        <v>1</v>
      </c>
      <c r="H83" s="12">
        <v>20250731</v>
      </c>
    </row>
    <row r="84" spans="1:8">
      <c r="A84" s="40">
        <v>989.3589</v>
      </c>
      <c r="B84" s="55">
        <v>47</v>
      </c>
      <c r="C84" s="56" t="s">
        <v>25</v>
      </c>
      <c r="D84" s="57" t="s">
        <v>1744</v>
      </c>
      <c r="E84" s="57" t="s">
        <v>470</v>
      </c>
      <c r="F84" s="58" t="s">
        <v>1745</v>
      </c>
      <c r="G84" s="41">
        <v>1</v>
      </c>
      <c r="H84" s="12">
        <v>20250731</v>
      </c>
    </row>
    <row r="85" spans="1:8">
      <c r="A85" s="40">
        <v>989.3669</v>
      </c>
      <c r="B85" s="41">
        <v>48</v>
      </c>
      <c r="C85" s="42" t="s">
        <v>8</v>
      </c>
      <c r="D85" s="49" t="s">
        <v>9</v>
      </c>
      <c r="E85" s="49" t="s">
        <v>232</v>
      </c>
      <c r="F85" s="50" t="s">
        <v>1746</v>
      </c>
      <c r="G85" s="47">
        <v>1</v>
      </c>
      <c r="H85" s="12">
        <v>20250731</v>
      </c>
    </row>
    <row r="86" spans="1:8">
      <c r="A86" s="40">
        <v>989.3669</v>
      </c>
      <c r="B86" s="47">
        <v>48</v>
      </c>
      <c r="C86" s="52" t="s">
        <v>25</v>
      </c>
      <c r="D86" s="49" t="s">
        <v>9</v>
      </c>
      <c r="E86" s="49" t="s">
        <v>470</v>
      </c>
      <c r="F86" s="50" t="s">
        <v>1747</v>
      </c>
      <c r="G86" s="47">
        <v>1</v>
      </c>
      <c r="H86" s="12">
        <v>20250731</v>
      </c>
    </row>
    <row r="87" spans="1:8">
      <c r="A87" s="40">
        <v>989.3779</v>
      </c>
      <c r="B87" s="47">
        <v>49</v>
      </c>
      <c r="C87" s="52" t="s">
        <v>17</v>
      </c>
      <c r="D87" s="49" t="s">
        <v>177</v>
      </c>
      <c r="E87" s="53" t="s">
        <v>1205</v>
      </c>
      <c r="F87" s="50" t="s">
        <v>1748</v>
      </c>
      <c r="G87" s="47">
        <v>1</v>
      </c>
      <c r="H87" s="12">
        <v>20250731</v>
      </c>
    </row>
    <row r="88" spans="1:8">
      <c r="A88" s="40">
        <v>989.3809</v>
      </c>
      <c r="B88" s="47">
        <v>49</v>
      </c>
      <c r="C88" s="52" t="s">
        <v>17</v>
      </c>
      <c r="D88" s="49" t="s">
        <v>177</v>
      </c>
      <c r="E88" s="53" t="s">
        <v>1205</v>
      </c>
      <c r="F88" s="50" t="s">
        <v>1689</v>
      </c>
      <c r="G88" s="47">
        <v>1</v>
      </c>
      <c r="H88" s="12">
        <v>20250731</v>
      </c>
    </row>
    <row r="89" spans="1:8">
      <c r="A89" s="40">
        <v>989.383</v>
      </c>
      <c r="B89" s="47">
        <v>50</v>
      </c>
      <c r="C89" s="52" t="s">
        <v>17</v>
      </c>
      <c r="D89" s="49" t="s">
        <v>177</v>
      </c>
      <c r="E89" s="53" t="s">
        <v>1205</v>
      </c>
      <c r="F89" s="50" t="s">
        <v>1720</v>
      </c>
      <c r="G89" s="47">
        <v>1</v>
      </c>
      <c r="H89" s="12">
        <v>20250731</v>
      </c>
    </row>
    <row r="90" spans="1:8">
      <c r="A90" s="40">
        <v>989.397</v>
      </c>
      <c r="B90" s="44">
        <v>51</v>
      </c>
      <c r="C90" s="45" t="s">
        <v>88</v>
      </c>
      <c r="D90" s="45" t="s">
        <v>18</v>
      </c>
      <c r="E90" s="45" t="s">
        <v>89</v>
      </c>
      <c r="F90" s="62" t="s">
        <v>1749</v>
      </c>
      <c r="G90" s="44">
        <v>1</v>
      </c>
      <c r="H90" s="12">
        <v>20250731</v>
      </c>
    </row>
    <row r="91" spans="1:8">
      <c r="A91" s="40">
        <v>989.4009</v>
      </c>
      <c r="B91" s="44">
        <v>52</v>
      </c>
      <c r="C91" s="45" t="s">
        <v>219</v>
      </c>
      <c r="D91" s="45" t="s">
        <v>219</v>
      </c>
      <c r="E91" s="45" t="s">
        <v>894</v>
      </c>
      <c r="F91" s="62" t="s">
        <v>1750</v>
      </c>
      <c r="G91" s="44">
        <v>1</v>
      </c>
      <c r="H91" s="12">
        <v>20250731</v>
      </c>
    </row>
    <row r="92" spans="1:8">
      <c r="A92" s="40">
        <v>989.3989</v>
      </c>
      <c r="B92" s="47">
        <v>52</v>
      </c>
      <c r="C92" s="52" t="s">
        <v>25</v>
      </c>
      <c r="D92" s="49" t="s">
        <v>9</v>
      </c>
      <c r="E92" s="49" t="s">
        <v>470</v>
      </c>
      <c r="F92" s="50" t="s">
        <v>1751</v>
      </c>
      <c r="G92" s="47">
        <v>1</v>
      </c>
      <c r="H92" s="12">
        <v>20250731</v>
      </c>
    </row>
    <row r="93" spans="1:8">
      <c r="A93" s="40">
        <v>989.4176</v>
      </c>
      <c r="B93" s="44">
        <v>54</v>
      </c>
      <c r="C93" s="45" t="s">
        <v>219</v>
      </c>
      <c r="D93" s="45" t="s">
        <v>219</v>
      </c>
      <c r="E93" s="45" t="s">
        <v>894</v>
      </c>
      <c r="F93" s="62" t="s">
        <v>1752</v>
      </c>
      <c r="G93" s="44">
        <v>1</v>
      </c>
      <c r="H93" s="12">
        <v>20250731</v>
      </c>
    </row>
    <row r="94" spans="1:8">
      <c r="A94" s="40">
        <v>989.4201</v>
      </c>
      <c r="B94" s="47">
        <v>54</v>
      </c>
      <c r="C94" s="52" t="s">
        <v>17</v>
      </c>
      <c r="D94" s="49" t="s">
        <v>177</v>
      </c>
      <c r="E94" s="53" t="s">
        <v>1205</v>
      </c>
      <c r="F94" s="50" t="s">
        <v>1717</v>
      </c>
      <c r="G94" s="47">
        <v>1</v>
      </c>
      <c r="H94" s="12">
        <v>20250731</v>
      </c>
    </row>
    <row r="95" spans="1:8">
      <c r="A95" s="40">
        <v>989.4293</v>
      </c>
      <c r="B95" s="41">
        <v>55</v>
      </c>
      <c r="C95" s="42" t="s">
        <v>8</v>
      </c>
      <c r="D95" s="49" t="s">
        <v>43</v>
      </c>
      <c r="E95" s="49" t="s">
        <v>41</v>
      </c>
      <c r="F95" s="50" t="s">
        <v>1753</v>
      </c>
      <c r="G95" s="47">
        <v>1</v>
      </c>
      <c r="H95" s="12">
        <v>20250731</v>
      </c>
    </row>
    <row r="96" spans="1:8">
      <c r="A96" s="40">
        <v>989.4233</v>
      </c>
      <c r="B96" s="44">
        <v>55</v>
      </c>
      <c r="C96" s="45" t="s">
        <v>88</v>
      </c>
      <c r="D96" s="45" t="s">
        <v>18</v>
      </c>
      <c r="E96" s="45" t="s">
        <v>1754</v>
      </c>
      <c r="F96" s="62" t="s">
        <v>1755</v>
      </c>
      <c r="G96" s="44">
        <v>1</v>
      </c>
      <c r="H96" s="12">
        <v>20250731</v>
      </c>
    </row>
    <row r="97" spans="1:8">
      <c r="A97" s="40">
        <v>989.4233</v>
      </c>
      <c r="B97" s="47">
        <v>55</v>
      </c>
      <c r="C97" s="52" t="s">
        <v>17</v>
      </c>
      <c r="D97" s="49" t="s">
        <v>177</v>
      </c>
      <c r="E97" s="53" t="s">
        <v>1205</v>
      </c>
      <c r="F97" s="50" t="s">
        <v>1720</v>
      </c>
      <c r="G97" s="47">
        <v>1</v>
      </c>
      <c r="H97" s="12">
        <v>20250731</v>
      </c>
    </row>
    <row r="98" spans="1:8">
      <c r="A98" s="40">
        <v>989.4294</v>
      </c>
      <c r="B98" s="47">
        <v>56</v>
      </c>
      <c r="C98" s="49" t="s">
        <v>8</v>
      </c>
      <c r="D98" s="56" t="s">
        <v>1756</v>
      </c>
      <c r="E98" s="49" t="s">
        <v>41</v>
      </c>
      <c r="F98" s="50" t="s">
        <v>1757</v>
      </c>
      <c r="G98" s="47">
        <v>1</v>
      </c>
      <c r="H98" s="12">
        <v>20250731</v>
      </c>
    </row>
  </sheetData>
  <autoFilter xmlns:etc="http://www.wps.cn/officeDocument/2017/etCustomData" ref="A1:H98" etc:filterBottomFollowUsedRange="0">
    <extLst/>
  </autoFilter>
  <sortState ref="A2:H105">
    <sortCondition ref="B2:B105"/>
  </sortState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2"/>
  <sheetViews>
    <sheetView topLeftCell="A55" workbookViewId="0">
      <selection activeCell="A2" sqref="A2:A71"/>
    </sheetView>
  </sheetViews>
  <sheetFormatPr defaultColWidth="9" defaultRowHeight="14.25" outlineLevelCol="7"/>
  <cols>
    <col min="2" max="2" width="9.125" style="4" customWidth="1"/>
    <col min="3" max="4" width="9" style="4"/>
    <col min="5" max="5" width="12.125" style="4" customWidth="1"/>
    <col min="6" max="6" width="71" customWidth="1"/>
    <col min="7" max="7" width="9.125" style="4" customWidth="1"/>
    <col min="8" max="8" width="9.5" customWidth="1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ht="15" spans="1:8">
      <c r="A2" s="18">
        <v>989.426</v>
      </c>
      <c r="B2" s="22">
        <v>0</v>
      </c>
      <c r="C2" s="12" t="s">
        <v>542</v>
      </c>
      <c r="D2" s="28" t="s">
        <v>1072</v>
      </c>
      <c r="E2" s="19" t="s">
        <v>1758</v>
      </c>
      <c r="F2" s="21" t="s">
        <v>1759</v>
      </c>
      <c r="G2" s="19">
        <v>1</v>
      </c>
      <c r="H2" s="12">
        <v>20240808</v>
      </c>
    </row>
    <row r="3" ht="15" spans="1:8">
      <c r="A3" s="18">
        <v>988.999</v>
      </c>
      <c r="B3" s="22">
        <v>0</v>
      </c>
      <c r="C3" s="28" t="s">
        <v>106</v>
      </c>
      <c r="D3" s="28" t="s">
        <v>107</v>
      </c>
      <c r="E3" s="20" t="s">
        <v>41</v>
      </c>
      <c r="F3" s="21" t="s">
        <v>1760</v>
      </c>
      <c r="G3" s="19">
        <v>1</v>
      </c>
      <c r="H3" s="12">
        <v>20240808</v>
      </c>
    </row>
    <row r="4" ht="15" spans="1:8">
      <c r="A4" s="18">
        <v>989.433</v>
      </c>
      <c r="B4" s="12">
        <v>1</v>
      </c>
      <c r="C4" s="12" t="s">
        <v>129</v>
      </c>
      <c r="D4" s="20" t="s">
        <v>49</v>
      </c>
      <c r="E4" s="19" t="s">
        <v>997</v>
      </c>
      <c r="F4" s="21" t="s">
        <v>1761</v>
      </c>
      <c r="G4" s="19">
        <v>1</v>
      </c>
      <c r="H4" s="12">
        <v>20240808</v>
      </c>
    </row>
    <row r="5" ht="15" spans="1:8">
      <c r="A5" s="18">
        <v>989.426</v>
      </c>
      <c r="B5" s="22">
        <v>1</v>
      </c>
      <c r="C5" s="23" t="s">
        <v>88</v>
      </c>
      <c r="D5" s="23" t="s">
        <v>177</v>
      </c>
      <c r="E5" s="23" t="s">
        <v>256</v>
      </c>
      <c r="F5" s="24" t="s">
        <v>1762</v>
      </c>
      <c r="G5" s="22">
        <v>1</v>
      </c>
      <c r="H5" s="12">
        <v>20240808</v>
      </c>
    </row>
    <row r="6" ht="15" spans="1:8">
      <c r="A6" s="18">
        <v>989.43</v>
      </c>
      <c r="B6" s="19">
        <v>1</v>
      </c>
      <c r="C6" s="65" t="s">
        <v>25</v>
      </c>
      <c r="D6" s="20" t="s">
        <v>43</v>
      </c>
      <c r="E6" s="136" t="s">
        <v>470</v>
      </c>
      <c r="F6" s="21" t="s">
        <v>1763</v>
      </c>
      <c r="G6" s="19">
        <v>1</v>
      </c>
      <c r="H6" s="15">
        <v>20240808</v>
      </c>
    </row>
    <row r="7" ht="15" spans="1:8">
      <c r="A7" s="18">
        <v>989.3799</v>
      </c>
      <c r="B7" s="19">
        <v>7</v>
      </c>
      <c r="C7" s="65" t="s">
        <v>25</v>
      </c>
      <c r="D7" s="20" t="s">
        <v>43</v>
      </c>
      <c r="E7" s="20" t="s">
        <v>470</v>
      </c>
      <c r="F7" s="63" t="s">
        <v>1764</v>
      </c>
      <c r="G7" s="19">
        <v>1</v>
      </c>
      <c r="H7" s="15">
        <v>20240808</v>
      </c>
    </row>
    <row r="8" ht="15.75" customHeight="1" spans="1:8">
      <c r="A8" s="18">
        <v>989.3565</v>
      </c>
      <c r="B8" s="12">
        <v>10</v>
      </c>
      <c r="C8" s="12" t="s">
        <v>129</v>
      </c>
      <c r="D8" s="19" t="s">
        <v>228</v>
      </c>
      <c r="E8" s="20" t="s">
        <v>33</v>
      </c>
      <c r="F8" s="21" t="s">
        <v>1765</v>
      </c>
      <c r="G8" s="19">
        <v>1</v>
      </c>
      <c r="H8" s="12">
        <v>20240808</v>
      </c>
    </row>
    <row r="9" ht="15.75" customHeight="1" spans="1:8">
      <c r="A9" s="18">
        <v>989.3565</v>
      </c>
      <c r="B9" s="19">
        <v>10</v>
      </c>
      <c r="C9" s="65" t="s">
        <v>25</v>
      </c>
      <c r="D9" s="20" t="s">
        <v>9</v>
      </c>
      <c r="E9" s="20" t="s">
        <v>470</v>
      </c>
      <c r="F9" s="63" t="s">
        <v>1766</v>
      </c>
      <c r="G9" s="19">
        <v>1</v>
      </c>
      <c r="H9" s="15">
        <v>20240808</v>
      </c>
    </row>
    <row r="10" ht="15.75" customHeight="1" spans="1:8">
      <c r="A10" s="18">
        <v>989.3487</v>
      </c>
      <c r="B10" s="12">
        <v>11</v>
      </c>
      <c r="C10" s="12" t="s">
        <v>129</v>
      </c>
      <c r="D10" s="19" t="s">
        <v>228</v>
      </c>
      <c r="E10" s="20" t="s">
        <v>33</v>
      </c>
      <c r="F10" s="21" t="s">
        <v>1767</v>
      </c>
      <c r="G10" s="19">
        <v>1</v>
      </c>
      <c r="H10" s="12">
        <v>20240808</v>
      </c>
    </row>
    <row r="11" ht="15.75" customHeight="1" spans="1:8">
      <c r="A11" s="18">
        <v>989.3409</v>
      </c>
      <c r="B11" s="12">
        <v>12</v>
      </c>
      <c r="C11" s="12" t="s">
        <v>129</v>
      </c>
      <c r="D11" s="19" t="s">
        <v>228</v>
      </c>
      <c r="E11" s="20" t="s">
        <v>33</v>
      </c>
      <c r="F11" s="21" t="s">
        <v>1765</v>
      </c>
      <c r="G11" s="19">
        <v>1</v>
      </c>
      <c r="H11" s="12">
        <v>20240808</v>
      </c>
    </row>
    <row r="12" ht="15.75" customHeight="1" spans="1:8">
      <c r="A12" s="18">
        <v>989.3409</v>
      </c>
      <c r="B12" s="19">
        <v>12</v>
      </c>
      <c r="C12" s="65" t="s">
        <v>25</v>
      </c>
      <c r="D12" s="20" t="s">
        <v>49</v>
      </c>
      <c r="E12" s="20" t="s">
        <v>470</v>
      </c>
      <c r="F12" s="63" t="s">
        <v>1768</v>
      </c>
      <c r="G12" s="19">
        <v>1</v>
      </c>
      <c r="H12" s="15">
        <v>20240808</v>
      </c>
    </row>
    <row r="13" ht="15" spans="1:8">
      <c r="A13" s="18">
        <v>989.3303</v>
      </c>
      <c r="B13" s="110">
        <v>14</v>
      </c>
      <c r="C13" s="25" t="s">
        <v>268</v>
      </c>
      <c r="D13" s="25" t="s">
        <v>364</v>
      </c>
      <c r="E13" s="25" t="s">
        <v>1205</v>
      </c>
      <c r="F13" s="118" t="s">
        <v>1769</v>
      </c>
      <c r="G13" s="122">
        <v>1</v>
      </c>
      <c r="H13" s="15">
        <v>20240808</v>
      </c>
    </row>
    <row r="14" ht="15" spans="1:8">
      <c r="A14" s="18">
        <v>989.3219</v>
      </c>
      <c r="B14" s="12">
        <v>15</v>
      </c>
      <c r="C14" s="28" t="s">
        <v>17</v>
      </c>
      <c r="D14" s="19" t="s">
        <v>1002</v>
      </c>
      <c r="E14" s="19" t="s">
        <v>1003</v>
      </c>
      <c r="F14" s="21" t="s">
        <v>1770</v>
      </c>
      <c r="G14" s="19">
        <v>1</v>
      </c>
      <c r="H14" s="12">
        <v>20240808</v>
      </c>
    </row>
    <row r="15" ht="15" spans="1:8">
      <c r="A15" s="18">
        <v>989.3194</v>
      </c>
      <c r="B15" s="110">
        <v>15</v>
      </c>
      <c r="C15" s="25" t="s">
        <v>268</v>
      </c>
      <c r="D15" s="25" t="s">
        <v>364</v>
      </c>
      <c r="E15" s="25" t="s">
        <v>1205</v>
      </c>
      <c r="F15" s="118" t="s">
        <v>1771</v>
      </c>
      <c r="G15" s="122">
        <v>1</v>
      </c>
      <c r="H15" s="12">
        <v>20240808</v>
      </c>
    </row>
    <row r="16" ht="15" spans="1:8">
      <c r="A16" s="18">
        <v>989.3116</v>
      </c>
      <c r="B16" s="12">
        <v>16</v>
      </c>
      <c r="C16" s="28" t="s">
        <v>17</v>
      </c>
      <c r="D16" s="19" t="s">
        <v>1002</v>
      </c>
      <c r="E16" s="19" t="s">
        <v>1003</v>
      </c>
      <c r="F16" s="21" t="s">
        <v>1772</v>
      </c>
      <c r="G16" s="19">
        <v>1</v>
      </c>
      <c r="H16" s="12">
        <v>20240808</v>
      </c>
    </row>
    <row r="17" ht="15" spans="1:8">
      <c r="A17" s="18">
        <v>989.3131</v>
      </c>
      <c r="B17" s="12">
        <v>16</v>
      </c>
      <c r="C17" s="28" t="s">
        <v>17</v>
      </c>
      <c r="D17" s="19" t="s">
        <v>1002</v>
      </c>
      <c r="E17" s="19" t="s">
        <v>1426</v>
      </c>
      <c r="F17" s="21" t="s">
        <v>1773</v>
      </c>
      <c r="G17" s="19">
        <v>1</v>
      </c>
      <c r="H17" s="12">
        <v>20240808</v>
      </c>
    </row>
    <row r="18" ht="15" spans="1:8">
      <c r="A18" s="18">
        <v>989.3146</v>
      </c>
      <c r="B18" s="12">
        <v>16</v>
      </c>
      <c r="C18" s="28" t="s">
        <v>17</v>
      </c>
      <c r="D18" s="19" t="s">
        <v>1002</v>
      </c>
      <c r="E18" s="19" t="s">
        <v>1426</v>
      </c>
      <c r="F18" s="21" t="s">
        <v>1774</v>
      </c>
      <c r="G18" s="19">
        <v>1</v>
      </c>
      <c r="H18" s="12">
        <v>20240808</v>
      </c>
    </row>
    <row r="19" ht="15" spans="1:8">
      <c r="A19" s="18">
        <v>989.3101</v>
      </c>
      <c r="B19" s="22">
        <v>16</v>
      </c>
      <c r="C19" s="23" t="s">
        <v>88</v>
      </c>
      <c r="D19" s="23" t="s">
        <v>177</v>
      </c>
      <c r="E19" s="23" t="s">
        <v>89</v>
      </c>
      <c r="F19" s="24" t="s">
        <v>1775</v>
      </c>
      <c r="G19" s="22">
        <v>1</v>
      </c>
      <c r="H19" s="12">
        <v>20240808</v>
      </c>
    </row>
    <row r="20" ht="15" spans="1:8">
      <c r="A20" s="18">
        <v>989.3116</v>
      </c>
      <c r="B20" s="110">
        <v>16</v>
      </c>
      <c r="C20" s="25" t="s">
        <v>268</v>
      </c>
      <c r="D20" s="25" t="s">
        <v>364</v>
      </c>
      <c r="E20" s="25" t="s">
        <v>1205</v>
      </c>
      <c r="F20" s="118" t="s">
        <v>1771</v>
      </c>
      <c r="G20" s="122">
        <v>1</v>
      </c>
      <c r="H20" s="15">
        <v>20240808</v>
      </c>
    </row>
    <row r="21" ht="15" spans="1:8">
      <c r="A21" s="18">
        <v>989.3126</v>
      </c>
      <c r="B21" s="110">
        <v>16</v>
      </c>
      <c r="C21" s="25" t="s">
        <v>268</v>
      </c>
      <c r="D21" s="25" t="s">
        <v>364</v>
      </c>
      <c r="E21" s="25" t="s">
        <v>1205</v>
      </c>
      <c r="F21" s="118" t="s">
        <v>1776</v>
      </c>
      <c r="G21" s="122">
        <v>1</v>
      </c>
      <c r="H21" s="15">
        <v>20240808</v>
      </c>
    </row>
    <row r="22" ht="15" spans="1:8">
      <c r="A22" s="18">
        <v>989.3018</v>
      </c>
      <c r="B22" s="12">
        <v>17</v>
      </c>
      <c r="C22" s="12" t="s">
        <v>129</v>
      </c>
      <c r="D22" s="19" t="s">
        <v>228</v>
      </c>
      <c r="E22" s="20" t="s">
        <v>33</v>
      </c>
      <c r="F22" s="21" t="s">
        <v>1765</v>
      </c>
      <c r="G22" s="19">
        <v>1</v>
      </c>
      <c r="H22" s="12">
        <v>20240808</v>
      </c>
    </row>
    <row r="23" ht="15" spans="1:8">
      <c r="A23" s="18">
        <v>989.3068</v>
      </c>
      <c r="B23" s="110">
        <v>17</v>
      </c>
      <c r="C23" s="25" t="s">
        <v>268</v>
      </c>
      <c r="D23" s="25" t="s">
        <v>364</v>
      </c>
      <c r="E23" s="25" t="s">
        <v>1205</v>
      </c>
      <c r="F23" s="118" t="s">
        <v>1769</v>
      </c>
      <c r="G23" s="122">
        <v>1</v>
      </c>
      <c r="H23" s="15">
        <v>20240808</v>
      </c>
    </row>
    <row r="24" ht="15" spans="1:8">
      <c r="A24" s="18">
        <v>989.2861</v>
      </c>
      <c r="B24" s="12">
        <v>19</v>
      </c>
      <c r="C24" s="12" t="s">
        <v>129</v>
      </c>
      <c r="D24" s="19" t="s">
        <v>228</v>
      </c>
      <c r="E24" s="20" t="s">
        <v>33</v>
      </c>
      <c r="F24" s="21" t="s">
        <v>1777</v>
      </c>
      <c r="G24" s="19">
        <v>1</v>
      </c>
      <c r="H24" s="12">
        <v>20240808</v>
      </c>
    </row>
    <row r="25" ht="15" spans="1:8">
      <c r="A25" s="18">
        <v>989.2891</v>
      </c>
      <c r="B25" s="110">
        <v>19</v>
      </c>
      <c r="C25" s="25" t="s">
        <v>268</v>
      </c>
      <c r="D25" s="25" t="s">
        <v>364</v>
      </c>
      <c r="E25" s="25" t="s">
        <v>1205</v>
      </c>
      <c r="F25" s="118" t="s">
        <v>1776</v>
      </c>
      <c r="G25" s="122">
        <v>1</v>
      </c>
      <c r="H25" s="15">
        <v>20240808</v>
      </c>
    </row>
    <row r="26" ht="15" spans="1:8">
      <c r="A26" s="18">
        <v>989.277</v>
      </c>
      <c r="B26" s="12">
        <v>21</v>
      </c>
      <c r="C26" s="28" t="s">
        <v>17</v>
      </c>
      <c r="D26" s="19" t="s">
        <v>1002</v>
      </c>
      <c r="E26" s="19" t="s">
        <v>1003</v>
      </c>
      <c r="F26" s="21" t="s">
        <v>1778</v>
      </c>
      <c r="G26" s="19">
        <v>1</v>
      </c>
      <c r="H26" s="12">
        <v>20240808</v>
      </c>
    </row>
    <row r="27" ht="15" spans="1:8">
      <c r="A27" s="18">
        <v>989.2705</v>
      </c>
      <c r="B27" s="12">
        <v>21</v>
      </c>
      <c r="C27" s="12" t="s">
        <v>129</v>
      </c>
      <c r="D27" s="19" t="s">
        <v>290</v>
      </c>
      <c r="E27" s="20" t="s">
        <v>33</v>
      </c>
      <c r="F27" s="21" t="s">
        <v>1779</v>
      </c>
      <c r="G27" s="19">
        <v>1</v>
      </c>
      <c r="H27" s="12">
        <v>20240808</v>
      </c>
    </row>
    <row r="28" ht="15" spans="1:8">
      <c r="A28" s="18">
        <v>989.2549</v>
      </c>
      <c r="B28" s="19">
        <v>23</v>
      </c>
      <c r="C28" s="65" t="s">
        <v>25</v>
      </c>
      <c r="D28" s="20" t="s">
        <v>49</v>
      </c>
      <c r="E28" s="20" t="s">
        <v>470</v>
      </c>
      <c r="F28" s="63" t="s">
        <v>1780</v>
      </c>
      <c r="G28" s="19">
        <v>1</v>
      </c>
      <c r="H28" s="15">
        <v>20240808</v>
      </c>
    </row>
    <row r="29" ht="15" spans="1:8">
      <c r="A29" s="18">
        <v>989.2409</v>
      </c>
      <c r="B29" s="12">
        <v>25</v>
      </c>
      <c r="C29" s="12" t="s">
        <v>129</v>
      </c>
      <c r="D29" s="19" t="s">
        <v>231</v>
      </c>
      <c r="E29" s="19" t="s">
        <v>997</v>
      </c>
      <c r="F29" s="21" t="s">
        <v>1781</v>
      </c>
      <c r="G29" s="19">
        <v>1</v>
      </c>
      <c r="H29" s="12">
        <v>20240808</v>
      </c>
    </row>
    <row r="30" ht="15" spans="1:8">
      <c r="A30" s="18">
        <v>989.2386</v>
      </c>
      <c r="B30" s="22">
        <v>26</v>
      </c>
      <c r="C30" s="23" t="s">
        <v>88</v>
      </c>
      <c r="D30" s="23" t="s">
        <v>177</v>
      </c>
      <c r="E30" s="23" t="s">
        <v>1782</v>
      </c>
      <c r="F30" s="24" t="s">
        <v>1783</v>
      </c>
      <c r="G30" s="22">
        <v>1</v>
      </c>
      <c r="H30" s="12">
        <v>20240808</v>
      </c>
    </row>
    <row r="31" ht="15" spans="1:8">
      <c r="A31" s="18">
        <v>989.2316</v>
      </c>
      <c r="B31" s="19">
        <v>26</v>
      </c>
      <c r="C31" s="65" t="s">
        <v>25</v>
      </c>
      <c r="D31" s="20" t="s">
        <v>43</v>
      </c>
      <c r="E31" s="136" t="s">
        <v>470</v>
      </c>
      <c r="F31" s="21" t="s">
        <v>1784</v>
      </c>
      <c r="G31" s="19">
        <v>1</v>
      </c>
      <c r="H31" s="12">
        <v>20240808</v>
      </c>
    </row>
    <row r="32" ht="15" spans="1:8">
      <c r="A32" s="18">
        <v>989.2241</v>
      </c>
      <c r="B32" s="12">
        <v>27</v>
      </c>
      <c r="C32" s="12" t="s">
        <v>129</v>
      </c>
      <c r="D32" s="19" t="s">
        <v>235</v>
      </c>
      <c r="E32" s="20" t="s">
        <v>15</v>
      </c>
      <c r="F32" s="21" t="s">
        <v>1785</v>
      </c>
      <c r="G32" s="19">
        <v>1</v>
      </c>
      <c r="H32" s="12">
        <v>20240808</v>
      </c>
    </row>
    <row r="33" ht="15" spans="1:8">
      <c r="A33" s="18">
        <v>989.2239</v>
      </c>
      <c r="B33" s="19">
        <v>27</v>
      </c>
      <c r="C33" s="65" t="s">
        <v>25</v>
      </c>
      <c r="D33" s="20" t="s">
        <v>49</v>
      </c>
      <c r="E33" s="20" t="s">
        <v>470</v>
      </c>
      <c r="F33" s="21" t="s">
        <v>1768</v>
      </c>
      <c r="G33" s="19">
        <v>1</v>
      </c>
      <c r="H33" s="15">
        <v>20240808</v>
      </c>
    </row>
    <row r="34" ht="15" spans="1:8">
      <c r="A34" s="18">
        <v>989.2177</v>
      </c>
      <c r="B34" s="12">
        <v>28</v>
      </c>
      <c r="C34" s="28" t="s">
        <v>17</v>
      </c>
      <c r="D34" s="19" t="s">
        <v>1002</v>
      </c>
      <c r="E34" s="19" t="s">
        <v>1426</v>
      </c>
      <c r="F34" s="21" t="s">
        <v>1786</v>
      </c>
      <c r="G34" s="19">
        <v>1</v>
      </c>
      <c r="H34" s="12">
        <v>20240808</v>
      </c>
    </row>
    <row r="35" ht="15" spans="1:8">
      <c r="A35" s="18">
        <v>989.2092</v>
      </c>
      <c r="B35" s="12">
        <v>30</v>
      </c>
      <c r="C35" s="12" t="s">
        <v>129</v>
      </c>
      <c r="D35" s="19" t="s">
        <v>290</v>
      </c>
      <c r="E35" s="20" t="s">
        <v>15</v>
      </c>
      <c r="F35" s="21" t="s">
        <v>1787</v>
      </c>
      <c r="G35" s="19">
        <v>1</v>
      </c>
      <c r="H35" s="12">
        <v>20240808</v>
      </c>
    </row>
    <row r="36" ht="15" spans="1:8">
      <c r="A36" s="18">
        <v>989.2022</v>
      </c>
      <c r="B36" s="12">
        <v>30</v>
      </c>
      <c r="C36" s="12" t="s">
        <v>129</v>
      </c>
      <c r="D36" s="19" t="s">
        <v>290</v>
      </c>
      <c r="E36" s="20" t="s">
        <v>33</v>
      </c>
      <c r="F36" s="21" t="s">
        <v>1788</v>
      </c>
      <c r="G36" s="19">
        <v>1</v>
      </c>
      <c r="H36" s="12">
        <v>20240808</v>
      </c>
    </row>
    <row r="37" ht="15" spans="1:8">
      <c r="A37" s="18">
        <v>989.2042</v>
      </c>
      <c r="B37" s="110">
        <v>30</v>
      </c>
      <c r="C37" s="25" t="s">
        <v>268</v>
      </c>
      <c r="D37" s="25" t="s">
        <v>364</v>
      </c>
      <c r="E37" s="25" t="s">
        <v>1205</v>
      </c>
      <c r="F37" s="118" t="s">
        <v>1771</v>
      </c>
      <c r="G37" s="122">
        <v>1</v>
      </c>
      <c r="H37" s="15">
        <v>20240808</v>
      </c>
    </row>
    <row r="38" ht="15" spans="1:8">
      <c r="A38" s="18">
        <v>989.2052</v>
      </c>
      <c r="B38" s="110">
        <v>30</v>
      </c>
      <c r="C38" s="25" t="s">
        <v>268</v>
      </c>
      <c r="D38" s="25" t="s">
        <v>364</v>
      </c>
      <c r="E38" s="25" t="s">
        <v>1205</v>
      </c>
      <c r="F38" s="118" t="s">
        <v>1776</v>
      </c>
      <c r="G38" s="122">
        <v>1</v>
      </c>
      <c r="H38" s="15">
        <v>20240808</v>
      </c>
    </row>
    <row r="39" ht="15" spans="1:8">
      <c r="A39" s="18">
        <v>989.1954</v>
      </c>
      <c r="B39" s="110">
        <v>31</v>
      </c>
      <c r="C39" s="25" t="s">
        <v>268</v>
      </c>
      <c r="D39" s="25" t="s">
        <v>364</v>
      </c>
      <c r="E39" s="25" t="s">
        <v>1205</v>
      </c>
      <c r="F39" s="118" t="s">
        <v>1789</v>
      </c>
      <c r="G39" s="122">
        <v>1</v>
      </c>
      <c r="H39" s="15">
        <v>20240808</v>
      </c>
    </row>
    <row r="40" ht="15" spans="1:8">
      <c r="A40" s="18">
        <v>989.1984</v>
      </c>
      <c r="B40" s="110">
        <v>31</v>
      </c>
      <c r="C40" s="25" t="s">
        <v>268</v>
      </c>
      <c r="D40" s="25" t="s">
        <v>364</v>
      </c>
      <c r="E40" s="25" t="s">
        <v>1205</v>
      </c>
      <c r="F40" s="118" t="s">
        <v>1790</v>
      </c>
      <c r="G40" s="122">
        <v>1</v>
      </c>
      <c r="H40" s="15">
        <v>20240808</v>
      </c>
    </row>
    <row r="41" ht="15" spans="1:8">
      <c r="A41" s="18">
        <v>989.1788</v>
      </c>
      <c r="B41" s="12">
        <v>33</v>
      </c>
      <c r="C41" s="12" t="s">
        <v>129</v>
      </c>
      <c r="D41" s="19" t="s">
        <v>235</v>
      </c>
      <c r="E41" s="20" t="s">
        <v>33</v>
      </c>
      <c r="F41" s="21" t="s">
        <v>1765</v>
      </c>
      <c r="G41" s="19">
        <v>1</v>
      </c>
      <c r="H41" s="12">
        <v>20240808</v>
      </c>
    </row>
    <row r="42" ht="15" spans="1:8">
      <c r="A42" s="18">
        <v>989.1788</v>
      </c>
      <c r="B42" s="22">
        <v>33</v>
      </c>
      <c r="C42" s="23" t="s">
        <v>88</v>
      </c>
      <c r="D42" s="23" t="s">
        <v>177</v>
      </c>
      <c r="E42" s="23" t="s">
        <v>89</v>
      </c>
      <c r="F42" s="24" t="s">
        <v>1791</v>
      </c>
      <c r="G42" s="22">
        <v>1</v>
      </c>
      <c r="H42" s="12">
        <v>20240808</v>
      </c>
    </row>
    <row r="43" ht="15" spans="1:8">
      <c r="A43" s="18">
        <v>989.172</v>
      </c>
      <c r="B43" s="110">
        <v>34</v>
      </c>
      <c r="C43" s="25" t="s">
        <v>268</v>
      </c>
      <c r="D43" s="25" t="s">
        <v>364</v>
      </c>
      <c r="E43" s="25" t="s">
        <v>1205</v>
      </c>
      <c r="F43" s="118" t="s">
        <v>1789</v>
      </c>
      <c r="G43" s="122">
        <v>1</v>
      </c>
      <c r="H43" s="12">
        <v>20240808</v>
      </c>
    </row>
    <row r="44" ht="15" spans="1:8">
      <c r="A44" s="18">
        <v>989.176</v>
      </c>
      <c r="B44" s="110">
        <v>34</v>
      </c>
      <c r="C44" s="25" t="s">
        <v>268</v>
      </c>
      <c r="D44" s="25" t="s">
        <v>364</v>
      </c>
      <c r="E44" s="25" t="s">
        <v>1205</v>
      </c>
      <c r="F44" s="118" t="s">
        <v>1769</v>
      </c>
      <c r="G44" s="122">
        <v>1</v>
      </c>
      <c r="H44" s="15">
        <v>20240808</v>
      </c>
    </row>
    <row r="45" ht="15" spans="1:8">
      <c r="A45" s="18">
        <v>989.1632</v>
      </c>
      <c r="B45" s="19">
        <v>35</v>
      </c>
      <c r="C45" s="65" t="s">
        <v>25</v>
      </c>
      <c r="D45" s="64" t="s">
        <v>1224</v>
      </c>
      <c r="E45" s="20" t="s">
        <v>470</v>
      </c>
      <c r="F45" s="63" t="s">
        <v>1792</v>
      </c>
      <c r="G45" s="19">
        <v>1</v>
      </c>
      <c r="H45" s="15">
        <v>20240808</v>
      </c>
    </row>
    <row r="46" ht="15" spans="1:8">
      <c r="A46" s="18">
        <v>989.1602</v>
      </c>
      <c r="B46" s="110">
        <v>36</v>
      </c>
      <c r="C46" s="25" t="s">
        <v>268</v>
      </c>
      <c r="D46" s="25" t="s">
        <v>364</v>
      </c>
      <c r="E46" s="25" t="s">
        <v>1205</v>
      </c>
      <c r="F46" s="118" t="s">
        <v>1793</v>
      </c>
      <c r="G46" s="122">
        <v>1</v>
      </c>
      <c r="H46" s="15">
        <v>20240808</v>
      </c>
    </row>
    <row r="47" ht="15" spans="1:8">
      <c r="A47" s="18">
        <v>989.1514</v>
      </c>
      <c r="B47" s="110">
        <v>37</v>
      </c>
      <c r="C47" s="25" t="s">
        <v>268</v>
      </c>
      <c r="D47" s="25" t="s">
        <v>364</v>
      </c>
      <c r="E47" s="25" t="s">
        <v>1205</v>
      </c>
      <c r="F47" s="118" t="s">
        <v>1790</v>
      </c>
      <c r="G47" s="122">
        <v>1</v>
      </c>
      <c r="H47" s="15">
        <v>20240808</v>
      </c>
    </row>
    <row r="48" ht="15" spans="1:8">
      <c r="A48" s="18">
        <v>989.1396</v>
      </c>
      <c r="B48" s="12">
        <v>38</v>
      </c>
      <c r="C48" s="12" t="s">
        <v>129</v>
      </c>
      <c r="D48" s="19" t="s">
        <v>228</v>
      </c>
      <c r="E48" s="19" t="s">
        <v>997</v>
      </c>
      <c r="F48" s="21" t="s">
        <v>739</v>
      </c>
      <c r="G48" s="19">
        <v>1</v>
      </c>
      <c r="H48" s="12">
        <v>20240808</v>
      </c>
    </row>
    <row r="49" ht="15" spans="1:8">
      <c r="A49" s="18">
        <v>989.1396</v>
      </c>
      <c r="B49" s="19">
        <v>38</v>
      </c>
      <c r="C49" s="65" t="s">
        <v>25</v>
      </c>
      <c r="D49" s="20" t="s">
        <v>49</v>
      </c>
      <c r="E49" s="20" t="s">
        <v>470</v>
      </c>
      <c r="F49" s="21" t="s">
        <v>1768</v>
      </c>
      <c r="G49" s="19">
        <v>1</v>
      </c>
      <c r="H49" s="15">
        <v>20240808</v>
      </c>
    </row>
    <row r="50" ht="15" spans="1:8">
      <c r="A50" s="18">
        <v>989.1319</v>
      </c>
      <c r="B50" s="12">
        <v>39</v>
      </c>
      <c r="C50" s="12" t="s">
        <v>129</v>
      </c>
      <c r="D50" s="19" t="s">
        <v>228</v>
      </c>
      <c r="E50" s="20" t="s">
        <v>33</v>
      </c>
      <c r="F50" s="21" t="s">
        <v>1794</v>
      </c>
      <c r="G50" s="19">
        <v>1</v>
      </c>
      <c r="H50" s="12">
        <v>20240808</v>
      </c>
    </row>
    <row r="51" ht="15" spans="1:8">
      <c r="A51" s="18">
        <v>989.1241</v>
      </c>
      <c r="B51" s="19">
        <v>40</v>
      </c>
      <c r="C51" s="65" t="s">
        <v>25</v>
      </c>
      <c r="D51" s="20" t="s">
        <v>43</v>
      </c>
      <c r="E51" s="136" t="s">
        <v>470</v>
      </c>
      <c r="F51" s="21" t="s">
        <v>1795</v>
      </c>
      <c r="G51" s="19">
        <v>1</v>
      </c>
      <c r="H51" s="12">
        <v>20240808</v>
      </c>
    </row>
    <row r="52" ht="15" spans="1:8">
      <c r="A52" s="18">
        <v>989.1086</v>
      </c>
      <c r="B52" s="12">
        <v>42</v>
      </c>
      <c r="C52" s="12" t="s">
        <v>129</v>
      </c>
      <c r="D52" s="19" t="s">
        <v>235</v>
      </c>
      <c r="E52" s="20" t="s">
        <v>33</v>
      </c>
      <c r="F52" s="21" t="s">
        <v>1796</v>
      </c>
      <c r="G52" s="19">
        <v>1</v>
      </c>
      <c r="H52" s="12">
        <v>20240808</v>
      </c>
    </row>
    <row r="53" ht="15" spans="1:8">
      <c r="A53" s="18">
        <v>989.0931</v>
      </c>
      <c r="B53" s="12">
        <v>44</v>
      </c>
      <c r="C53" s="12" t="s">
        <v>129</v>
      </c>
      <c r="D53" s="19" t="s">
        <v>290</v>
      </c>
      <c r="E53" s="20" t="s">
        <v>33</v>
      </c>
      <c r="F53" s="21" t="s">
        <v>1797</v>
      </c>
      <c r="G53" s="19">
        <v>1</v>
      </c>
      <c r="H53" s="12">
        <v>20240808</v>
      </c>
    </row>
    <row r="54" ht="15" spans="1:8">
      <c r="A54" s="18">
        <v>989.0931</v>
      </c>
      <c r="B54" s="19">
        <v>44</v>
      </c>
      <c r="C54" s="65" t="s">
        <v>25</v>
      </c>
      <c r="D54" s="20" t="s">
        <v>43</v>
      </c>
      <c r="E54" s="136" t="s">
        <v>470</v>
      </c>
      <c r="F54" s="21" t="s">
        <v>1795</v>
      </c>
      <c r="G54" s="19">
        <v>1</v>
      </c>
      <c r="H54" s="15">
        <v>20240808</v>
      </c>
    </row>
    <row r="55" ht="15" spans="1:8">
      <c r="A55" s="18">
        <v>989.0461</v>
      </c>
      <c r="B55" s="19">
        <v>50</v>
      </c>
      <c r="C55" s="65" t="s">
        <v>25</v>
      </c>
      <c r="D55" s="20" t="s">
        <v>9</v>
      </c>
      <c r="E55" s="20" t="s">
        <v>470</v>
      </c>
      <c r="F55" s="21" t="s">
        <v>1798</v>
      </c>
      <c r="G55" s="19">
        <v>1</v>
      </c>
      <c r="H55" s="15">
        <v>20240808</v>
      </c>
    </row>
    <row r="56" ht="15" spans="1:8">
      <c r="A56" s="18">
        <v>989.0491</v>
      </c>
      <c r="B56" s="110">
        <v>50</v>
      </c>
      <c r="C56" s="25" t="s">
        <v>268</v>
      </c>
      <c r="D56" s="25" t="s">
        <v>364</v>
      </c>
      <c r="E56" s="25" t="s">
        <v>1205</v>
      </c>
      <c r="F56" s="118" t="s">
        <v>1776</v>
      </c>
      <c r="G56" s="122">
        <v>1</v>
      </c>
      <c r="H56" s="15">
        <v>20240808</v>
      </c>
    </row>
    <row r="57" ht="15" spans="1:8">
      <c r="A57" s="18">
        <v>989.0511</v>
      </c>
      <c r="B57" s="110">
        <v>50</v>
      </c>
      <c r="C57" s="25" t="s">
        <v>268</v>
      </c>
      <c r="D57" s="25" t="s">
        <v>364</v>
      </c>
      <c r="E57" s="25" t="s">
        <v>1205</v>
      </c>
      <c r="F57" s="118" t="s">
        <v>1769</v>
      </c>
      <c r="G57" s="122">
        <v>1</v>
      </c>
      <c r="H57" s="15">
        <v>20240808</v>
      </c>
    </row>
    <row r="58" ht="15" spans="1:8">
      <c r="A58" s="18">
        <v>989.0385</v>
      </c>
      <c r="B58" s="12">
        <v>51</v>
      </c>
      <c r="C58" s="12" t="s">
        <v>129</v>
      </c>
      <c r="D58" s="19" t="s">
        <v>235</v>
      </c>
      <c r="E58" s="20" t="s">
        <v>15</v>
      </c>
      <c r="F58" s="21" t="s">
        <v>966</v>
      </c>
      <c r="G58" s="19">
        <v>1</v>
      </c>
      <c r="H58" s="12">
        <v>20240808</v>
      </c>
    </row>
    <row r="59" ht="15" spans="1:8">
      <c r="A59" s="18">
        <v>989.0383</v>
      </c>
      <c r="B59" s="19">
        <v>51</v>
      </c>
      <c r="C59" s="65" t="s">
        <v>25</v>
      </c>
      <c r="D59" s="20" t="s">
        <v>43</v>
      </c>
      <c r="E59" s="136" t="s">
        <v>470</v>
      </c>
      <c r="F59" s="21" t="s">
        <v>1799</v>
      </c>
      <c r="G59" s="19">
        <v>1</v>
      </c>
      <c r="H59" s="15">
        <v>20240808</v>
      </c>
    </row>
    <row r="60" ht="15" spans="1:8">
      <c r="A60" s="18">
        <v>989.0225</v>
      </c>
      <c r="B60" s="19">
        <v>53</v>
      </c>
      <c r="C60" s="65" t="s">
        <v>25</v>
      </c>
      <c r="D60" s="20" t="s">
        <v>43</v>
      </c>
      <c r="E60" s="136" t="s">
        <v>470</v>
      </c>
      <c r="F60" s="21" t="s">
        <v>1800</v>
      </c>
      <c r="G60" s="19">
        <v>1</v>
      </c>
      <c r="H60" s="12">
        <v>20240808</v>
      </c>
    </row>
    <row r="61" ht="15" spans="1:8">
      <c r="A61" s="18">
        <v>989.0146</v>
      </c>
      <c r="B61" s="12">
        <v>54</v>
      </c>
      <c r="C61" s="12" t="s">
        <v>129</v>
      </c>
      <c r="D61" s="19" t="s">
        <v>228</v>
      </c>
      <c r="E61" s="20" t="s">
        <v>33</v>
      </c>
      <c r="F61" s="21" t="s">
        <v>1765</v>
      </c>
      <c r="G61" s="19">
        <v>1</v>
      </c>
      <c r="H61" s="12">
        <v>20240808</v>
      </c>
    </row>
    <row r="62" ht="15" spans="1:8">
      <c r="A62" s="18">
        <v>989.0186</v>
      </c>
      <c r="B62" s="12">
        <v>54</v>
      </c>
      <c r="C62" s="12" t="s">
        <v>129</v>
      </c>
      <c r="D62" s="19" t="s">
        <v>235</v>
      </c>
      <c r="E62" s="19" t="s">
        <v>997</v>
      </c>
      <c r="F62" s="21" t="s">
        <v>1801</v>
      </c>
      <c r="G62" s="19">
        <v>1</v>
      </c>
      <c r="H62" s="12">
        <v>20240808</v>
      </c>
    </row>
    <row r="63" ht="15" spans="1:8">
      <c r="A63" s="18">
        <v>989.0146</v>
      </c>
      <c r="B63" s="19">
        <v>54</v>
      </c>
      <c r="C63" s="65" t="s">
        <v>25</v>
      </c>
      <c r="D63" s="20" t="s">
        <v>43</v>
      </c>
      <c r="E63" s="136" t="s">
        <v>470</v>
      </c>
      <c r="F63" s="21" t="s">
        <v>1802</v>
      </c>
      <c r="G63" s="19">
        <v>1</v>
      </c>
      <c r="H63" s="15">
        <v>20240808</v>
      </c>
    </row>
    <row r="64" ht="15" spans="1:8">
      <c r="A64" s="18">
        <v>989.0103</v>
      </c>
      <c r="B64" s="110">
        <v>55</v>
      </c>
      <c r="C64" s="25" t="s">
        <v>268</v>
      </c>
      <c r="D64" s="25" t="s">
        <v>364</v>
      </c>
      <c r="E64" s="25" t="s">
        <v>1205</v>
      </c>
      <c r="F64" s="118" t="s">
        <v>1803</v>
      </c>
      <c r="G64" s="122">
        <v>1</v>
      </c>
      <c r="H64" s="15">
        <v>20240808</v>
      </c>
    </row>
    <row r="65" ht="15" spans="1:8">
      <c r="A65" s="18">
        <v>989.0138</v>
      </c>
      <c r="B65" s="19">
        <v>55</v>
      </c>
      <c r="C65" s="20" t="s">
        <v>8</v>
      </c>
      <c r="D65" s="20" t="s">
        <v>49</v>
      </c>
      <c r="E65" s="20" t="s">
        <v>41</v>
      </c>
      <c r="F65" s="63" t="s">
        <v>1804</v>
      </c>
      <c r="G65" s="19">
        <v>1</v>
      </c>
      <c r="H65" s="15">
        <v>20240808</v>
      </c>
    </row>
    <row r="66" ht="27" spans="1:8">
      <c r="A66" s="18">
        <v>989.426</v>
      </c>
      <c r="B66" s="15" t="s">
        <v>94</v>
      </c>
      <c r="C66" s="22" t="s">
        <v>170</v>
      </c>
      <c r="D66" s="22" t="s">
        <v>170</v>
      </c>
      <c r="E66" s="22" t="s">
        <v>172</v>
      </c>
      <c r="F66" s="31" t="s">
        <v>222</v>
      </c>
      <c r="G66" s="22">
        <v>1</v>
      </c>
      <c r="H66" s="15">
        <v>20240808</v>
      </c>
    </row>
    <row r="67" ht="27" spans="1:8">
      <c r="A67" s="18">
        <v>989.349</v>
      </c>
      <c r="B67" s="15" t="s">
        <v>99</v>
      </c>
      <c r="C67" s="22" t="s">
        <v>170</v>
      </c>
      <c r="D67" s="22" t="s">
        <v>170</v>
      </c>
      <c r="E67" s="22" t="s">
        <v>172</v>
      </c>
      <c r="F67" s="31" t="s">
        <v>222</v>
      </c>
      <c r="G67" s="22">
        <v>1</v>
      </c>
      <c r="H67" s="15">
        <v>20240808</v>
      </c>
    </row>
    <row r="68" ht="27" spans="1:8">
      <c r="A68" s="18">
        <v>989.271</v>
      </c>
      <c r="B68" s="15" t="s">
        <v>100</v>
      </c>
      <c r="C68" s="22" t="s">
        <v>170</v>
      </c>
      <c r="D68" s="22" t="s">
        <v>170</v>
      </c>
      <c r="E68" s="22" t="s">
        <v>172</v>
      </c>
      <c r="F68" s="31" t="s">
        <v>222</v>
      </c>
      <c r="G68" s="22">
        <v>1</v>
      </c>
      <c r="H68" s="15">
        <v>20240808</v>
      </c>
    </row>
    <row r="69" ht="27" spans="1:8">
      <c r="A69" s="18">
        <v>989.194</v>
      </c>
      <c r="B69" s="15" t="s">
        <v>101</v>
      </c>
      <c r="C69" s="22" t="s">
        <v>170</v>
      </c>
      <c r="D69" s="22" t="s">
        <v>170</v>
      </c>
      <c r="E69" s="22" t="s">
        <v>172</v>
      </c>
      <c r="F69" s="31" t="s">
        <v>222</v>
      </c>
      <c r="G69" s="22">
        <v>1</v>
      </c>
      <c r="H69" s="15">
        <v>20240808</v>
      </c>
    </row>
    <row r="70" ht="27" spans="1:8">
      <c r="A70" s="18">
        <v>989.116</v>
      </c>
      <c r="B70" s="15" t="s">
        <v>102</v>
      </c>
      <c r="C70" s="22" t="s">
        <v>170</v>
      </c>
      <c r="D70" s="22" t="s">
        <v>170</v>
      </c>
      <c r="E70" s="22" t="s">
        <v>172</v>
      </c>
      <c r="F70" s="31" t="s">
        <v>222</v>
      </c>
      <c r="G70" s="22">
        <v>1</v>
      </c>
      <c r="H70" s="15">
        <v>20240808</v>
      </c>
    </row>
    <row r="71" ht="27" spans="1:8">
      <c r="A71" s="18">
        <v>989.038</v>
      </c>
      <c r="B71" s="15" t="s">
        <v>1805</v>
      </c>
      <c r="C71" s="22" t="s">
        <v>170</v>
      </c>
      <c r="D71" s="22" t="s">
        <v>170</v>
      </c>
      <c r="E71" s="22" t="s">
        <v>172</v>
      </c>
      <c r="F71" s="31" t="s">
        <v>222</v>
      </c>
      <c r="G71" s="22">
        <v>1</v>
      </c>
      <c r="H71" s="15">
        <v>20240808</v>
      </c>
    </row>
    <row r="72" ht="15" spans="1:8">
      <c r="B72" s="23" t="s">
        <v>92</v>
      </c>
      <c r="C72" s="23" t="s">
        <v>219</v>
      </c>
      <c r="D72" s="23" t="s">
        <v>219</v>
      </c>
      <c r="E72" s="23" t="s">
        <v>91</v>
      </c>
      <c r="F72" s="24" t="s">
        <v>1229</v>
      </c>
      <c r="G72" s="22">
        <v>0</v>
      </c>
      <c r="H72" s="12">
        <v>20240808</v>
      </c>
    </row>
  </sheetData>
  <autoFilter xmlns:etc="http://www.wps.cn/officeDocument/2017/etCustomData" ref="A1:H72" etc:filterBottomFollowUsedRange="0">
    <extLst/>
  </autoFilter>
  <sortState ref="A2:H71">
    <sortCondition ref="B2:B71"/>
  </sortState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86"/>
  <sheetViews>
    <sheetView topLeftCell="A59" workbookViewId="0">
      <selection activeCell="H72" sqref="H72:H79"/>
    </sheetView>
  </sheetViews>
  <sheetFormatPr defaultColWidth="9" defaultRowHeight="15" outlineLevelCol="7"/>
  <cols>
    <col min="1" max="1" width="9" style="16"/>
    <col min="2" max="2" width="9.125" style="12" customWidth="1"/>
    <col min="3" max="4" width="9" style="12"/>
    <col min="5" max="5" width="10.875" style="12" customWidth="1"/>
    <col min="6" max="6" width="72.375" style="39" customWidth="1"/>
    <col min="7" max="7" width="9.125" style="12" customWidth="1"/>
    <col min="8" max="8" width="9.5" style="16" customWidth="1"/>
    <col min="9" max="16384" width="9" style="16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customFormat="1" spans="1:8">
      <c r="A2" s="40">
        <v>989.51</v>
      </c>
      <c r="B2" s="47">
        <v>0</v>
      </c>
      <c r="C2" s="52" t="s">
        <v>106</v>
      </c>
      <c r="D2" s="53" t="s">
        <v>451</v>
      </c>
      <c r="E2" s="49" t="s">
        <v>1439</v>
      </c>
      <c r="F2" s="50" t="s">
        <v>1806</v>
      </c>
      <c r="G2" s="47">
        <v>1</v>
      </c>
      <c r="H2" s="15">
        <v>20250731</v>
      </c>
    </row>
    <row r="3" customFormat="1" spans="1:8">
      <c r="A3" s="40">
        <v>989.51</v>
      </c>
      <c r="B3" s="41">
        <v>0</v>
      </c>
      <c r="C3" s="42" t="s">
        <v>765</v>
      </c>
      <c r="D3" s="42" t="s">
        <v>1072</v>
      </c>
      <c r="E3" s="49" t="s">
        <v>1807</v>
      </c>
      <c r="F3" s="50" t="s">
        <v>1808</v>
      </c>
      <c r="G3" s="47">
        <v>0</v>
      </c>
      <c r="H3" s="15">
        <v>20250731</v>
      </c>
    </row>
    <row r="4" customFormat="1" spans="1:8">
      <c r="A4" s="40">
        <v>990.07</v>
      </c>
      <c r="B4" s="41">
        <v>0</v>
      </c>
      <c r="C4" s="42" t="s">
        <v>765</v>
      </c>
      <c r="D4" s="42" t="s">
        <v>105</v>
      </c>
      <c r="E4" s="49" t="s">
        <v>1807</v>
      </c>
      <c r="F4" s="50" t="s">
        <v>1809</v>
      </c>
      <c r="G4" s="47">
        <v>2</v>
      </c>
      <c r="H4" s="15">
        <v>20250731</v>
      </c>
    </row>
    <row r="5" customFormat="1" spans="1:8">
      <c r="A5" s="40">
        <v>990.07</v>
      </c>
      <c r="B5" s="47">
        <v>0</v>
      </c>
      <c r="C5" s="52" t="s">
        <v>106</v>
      </c>
      <c r="D5" s="53" t="s">
        <v>107</v>
      </c>
      <c r="E5" s="49" t="s">
        <v>1357</v>
      </c>
      <c r="F5" s="50" t="s">
        <v>1810</v>
      </c>
      <c r="G5" s="47">
        <v>0</v>
      </c>
      <c r="H5" s="15">
        <v>20250731</v>
      </c>
    </row>
    <row r="6" spans="1:8">
      <c r="A6" s="40">
        <v>989.51</v>
      </c>
      <c r="B6" s="41">
        <v>1</v>
      </c>
      <c r="C6" s="42" t="s">
        <v>8</v>
      </c>
      <c r="D6" s="49" t="s">
        <v>49</v>
      </c>
      <c r="E6" s="49" t="s">
        <v>41</v>
      </c>
      <c r="F6" s="50" t="s">
        <v>1570</v>
      </c>
      <c r="G6" s="47">
        <v>1</v>
      </c>
      <c r="H6" s="15">
        <v>20250731</v>
      </c>
    </row>
    <row r="7" customFormat="1" spans="1:8">
      <c r="A7" s="40">
        <v>989.51</v>
      </c>
      <c r="B7" s="47">
        <v>1</v>
      </c>
      <c r="C7" s="52" t="s">
        <v>17</v>
      </c>
      <c r="D7" s="49" t="s">
        <v>177</v>
      </c>
      <c r="E7" s="53" t="s">
        <v>1811</v>
      </c>
      <c r="F7" s="50" t="s">
        <v>1812</v>
      </c>
      <c r="G7" s="54">
        <v>1</v>
      </c>
      <c r="H7" s="15">
        <v>20250731</v>
      </c>
    </row>
    <row r="8" spans="1:8">
      <c r="A8" s="40">
        <v>989.5179</v>
      </c>
      <c r="B8" s="41">
        <v>2</v>
      </c>
      <c r="C8" s="42" t="s">
        <v>8</v>
      </c>
      <c r="D8" s="49" t="s">
        <v>49</v>
      </c>
      <c r="E8" s="49" t="s">
        <v>41</v>
      </c>
      <c r="F8" s="50" t="s">
        <v>1813</v>
      </c>
      <c r="G8" s="47">
        <v>1</v>
      </c>
      <c r="H8" s="15">
        <v>20250731</v>
      </c>
    </row>
    <row r="9" spans="1:8">
      <c r="A9" s="40">
        <v>989.5298</v>
      </c>
      <c r="B9" s="41">
        <v>3</v>
      </c>
      <c r="C9" s="42" t="s">
        <v>8</v>
      </c>
      <c r="D9" s="49" t="s">
        <v>40</v>
      </c>
      <c r="E9" s="49" t="s">
        <v>15</v>
      </c>
      <c r="F9" s="50" t="s">
        <v>1814</v>
      </c>
      <c r="G9" s="47">
        <v>1</v>
      </c>
      <c r="H9" s="15">
        <v>20250731</v>
      </c>
    </row>
    <row r="10" spans="1:8">
      <c r="A10" s="40">
        <v>989.5288</v>
      </c>
      <c r="B10" s="47">
        <v>3</v>
      </c>
      <c r="C10" s="52" t="s">
        <v>8</v>
      </c>
      <c r="D10" s="49" t="s">
        <v>26</v>
      </c>
      <c r="E10" s="49" t="s">
        <v>15</v>
      </c>
      <c r="F10" s="50" t="s">
        <v>1815</v>
      </c>
      <c r="G10" s="47">
        <v>1</v>
      </c>
      <c r="H10" s="15">
        <v>20250731</v>
      </c>
    </row>
    <row r="11" spans="1:8">
      <c r="A11" s="40">
        <v>989.5338</v>
      </c>
      <c r="B11" s="47">
        <v>3</v>
      </c>
      <c r="C11" s="52" t="s">
        <v>8</v>
      </c>
      <c r="D11" s="49" t="s">
        <v>26</v>
      </c>
      <c r="E11" s="49" t="s">
        <v>15</v>
      </c>
      <c r="F11" s="50" t="s">
        <v>1816</v>
      </c>
      <c r="G11" s="47">
        <v>1</v>
      </c>
      <c r="H11" s="15">
        <v>20250731</v>
      </c>
    </row>
    <row r="12" customFormat="1" spans="1:8">
      <c r="A12" s="40">
        <v>989.5422</v>
      </c>
      <c r="B12" s="47">
        <v>5</v>
      </c>
      <c r="C12" s="52" t="s">
        <v>25</v>
      </c>
      <c r="D12" s="49" t="s">
        <v>49</v>
      </c>
      <c r="E12" s="49" t="s">
        <v>470</v>
      </c>
      <c r="F12" s="50" t="s">
        <v>1817</v>
      </c>
      <c r="G12" s="47">
        <v>1</v>
      </c>
      <c r="H12" s="15">
        <v>20250731</v>
      </c>
    </row>
    <row r="13" customFormat="1" spans="1:8">
      <c r="A13" s="40">
        <v>989.5622</v>
      </c>
      <c r="B13" s="44">
        <v>7</v>
      </c>
      <c r="C13" s="45" t="s">
        <v>88</v>
      </c>
      <c r="D13" s="45" t="s">
        <v>18</v>
      </c>
      <c r="E13" s="45" t="s">
        <v>256</v>
      </c>
      <c r="F13" s="46" t="s">
        <v>1818</v>
      </c>
      <c r="G13" s="44">
        <v>1</v>
      </c>
      <c r="H13" s="15">
        <v>20250731</v>
      </c>
    </row>
    <row r="14" customFormat="1" spans="1:8">
      <c r="A14" s="40">
        <v>989.5862</v>
      </c>
      <c r="B14" s="44">
        <v>10</v>
      </c>
      <c r="C14" s="45" t="s">
        <v>219</v>
      </c>
      <c r="D14" s="45" t="s">
        <v>219</v>
      </c>
      <c r="E14" s="45" t="s">
        <v>894</v>
      </c>
      <c r="F14" s="46" t="s">
        <v>1819</v>
      </c>
      <c r="G14" s="44">
        <v>1</v>
      </c>
      <c r="H14" s="15">
        <v>20250731</v>
      </c>
    </row>
    <row r="15" customFormat="1" spans="1:8">
      <c r="A15" s="40">
        <v>989.6051</v>
      </c>
      <c r="B15" s="44">
        <v>12</v>
      </c>
      <c r="C15" s="45" t="s">
        <v>219</v>
      </c>
      <c r="D15" s="45" t="s">
        <v>219</v>
      </c>
      <c r="E15" s="45" t="s">
        <v>894</v>
      </c>
      <c r="F15" s="46" t="s">
        <v>1820</v>
      </c>
      <c r="G15" s="44">
        <v>1</v>
      </c>
      <c r="H15" s="15">
        <v>20250731</v>
      </c>
    </row>
    <row r="16" customFormat="1" spans="1:8">
      <c r="A16" s="40">
        <v>989.6082</v>
      </c>
      <c r="B16" s="44">
        <v>13</v>
      </c>
      <c r="C16" s="45" t="s">
        <v>88</v>
      </c>
      <c r="D16" s="45" t="s">
        <v>18</v>
      </c>
      <c r="E16" s="45" t="s">
        <v>256</v>
      </c>
      <c r="F16" s="46" t="s">
        <v>1821</v>
      </c>
      <c r="G16" s="44">
        <v>1</v>
      </c>
      <c r="H16" s="15">
        <v>20250731</v>
      </c>
    </row>
    <row r="17" customFormat="1" spans="1:8">
      <c r="A17" s="40">
        <v>989.6092</v>
      </c>
      <c r="B17" s="47">
        <v>13</v>
      </c>
      <c r="C17" s="52" t="s">
        <v>17</v>
      </c>
      <c r="D17" s="49" t="s">
        <v>177</v>
      </c>
      <c r="E17" s="53" t="s">
        <v>1205</v>
      </c>
      <c r="F17" s="50" t="s">
        <v>1822</v>
      </c>
      <c r="G17" s="54">
        <v>1</v>
      </c>
      <c r="H17" s="15">
        <v>20250731</v>
      </c>
    </row>
    <row r="18" customFormat="1" spans="1:8">
      <c r="A18" s="40">
        <v>989.6153</v>
      </c>
      <c r="B18" s="44">
        <v>14</v>
      </c>
      <c r="C18" s="45" t="s">
        <v>219</v>
      </c>
      <c r="D18" s="45" t="s">
        <v>219</v>
      </c>
      <c r="E18" s="45" t="s">
        <v>894</v>
      </c>
      <c r="F18" s="46" t="s">
        <v>1823</v>
      </c>
      <c r="G18" s="44">
        <v>1</v>
      </c>
      <c r="H18" s="15">
        <v>20250731</v>
      </c>
    </row>
    <row r="19" customFormat="1" spans="1:8">
      <c r="A19" s="40">
        <v>989.6203</v>
      </c>
      <c r="B19" s="44">
        <v>14</v>
      </c>
      <c r="C19" s="45" t="s">
        <v>88</v>
      </c>
      <c r="D19" s="45" t="s">
        <v>18</v>
      </c>
      <c r="E19" s="45" t="s">
        <v>89</v>
      </c>
      <c r="F19" s="46" t="s">
        <v>1824</v>
      </c>
      <c r="G19" s="44">
        <v>1</v>
      </c>
      <c r="H19" s="15">
        <v>20250731</v>
      </c>
    </row>
    <row r="20" customFormat="1" spans="1:8">
      <c r="A20" s="40">
        <v>989.6153</v>
      </c>
      <c r="B20" s="47">
        <v>14</v>
      </c>
      <c r="C20" s="52" t="s">
        <v>17</v>
      </c>
      <c r="D20" s="49" t="s">
        <v>177</v>
      </c>
      <c r="E20" s="53" t="s">
        <v>1205</v>
      </c>
      <c r="F20" s="50" t="s">
        <v>1825</v>
      </c>
      <c r="G20" s="54">
        <v>1</v>
      </c>
      <c r="H20" s="15">
        <v>20250731</v>
      </c>
    </row>
    <row r="21" spans="1:8">
      <c r="A21" s="40">
        <v>989.6153</v>
      </c>
      <c r="B21" s="47">
        <v>14</v>
      </c>
      <c r="C21" s="52" t="s">
        <v>8</v>
      </c>
      <c r="D21" s="49" t="s">
        <v>26</v>
      </c>
      <c r="E21" s="49" t="s">
        <v>15</v>
      </c>
      <c r="F21" s="50" t="s">
        <v>1826</v>
      </c>
      <c r="G21" s="47">
        <v>1</v>
      </c>
      <c r="H21" s="15">
        <v>20250731</v>
      </c>
    </row>
    <row r="22" customFormat="1" spans="1:8">
      <c r="A22" s="40">
        <v>989.6305</v>
      </c>
      <c r="B22" s="47">
        <v>15</v>
      </c>
      <c r="C22" s="52" t="s">
        <v>17</v>
      </c>
      <c r="D22" s="49" t="s">
        <v>177</v>
      </c>
      <c r="E22" s="53" t="s">
        <v>1205</v>
      </c>
      <c r="F22" s="50" t="s">
        <v>1827</v>
      </c>
      <c r="G22" s="54">
        <v>1</v>
      </c>
      <c r="H22" s="15">
        <v>20250731</v>
      </c>
    </row>
    <row r="23" customFormat="1" spans="1:8">
      <c r="A23" s="40">
        <v>989.6314</v>
      </c>
      <c r="B23" s="47">
        <v>16</v>
      </c>
      <c r="C23" s="52" t="s">
        <v>25</v>
      </c>
      <c r="D23" s="49" t="s">
        <v>49</v>
      </c>
      <c r="E23" s="49" t="s">
        <v>470</v>
      </c>
      <c r="F23" s="50" t="s">
        <v>1828</v>
      </c>
      <c r="G23" s="47">
        <v>1</v>
      </c>
      <c r="H23" s="15">
        <v>20250731</v>
      </c>
    </row>
    <row r="24" spans="1:8">
      <c r="A24" s="40">
        <v>989.6396</v>
      </c>
      <c r="B24" s="41">
        <v>17</v>
      </c>
      <c r="C24" s="42" t="s">
        <v>8</v>
      </c>
      <c r="D24" s="49" t="s">
        <v>49</v>
      </c>
      <c r="E24" s="49" t="s">
        <v>33</v>
      </c>
      <c r="F24" s="50" t="s">
        <v>1829</v>
      </c>
      <c r="G24" s="47">
        <v>0</v>
      </c>
      <c r="H24" s="15">
        <v>20250731</v>
      </c>
    </row>
    <row r="25" customFormat="1" spans="1:8">
      <c r="A25" s="40">
        <v>989.6411</v>
      </c>
      <c r="B25" s="44">
        <v>17</v>
      </c>
      <c r="C25" s="45" t="s">
        <v>219</v>
      </c>
      <c r="D25" s="45" t="s">
        <v>219</v>
      </c>
      <c r="E25" s="45" t="s">
        <v>33</v>
      </c>
      <c r="F25" s="46" t="s">
        <v>1830</v>
      </c>
      <c r="G25" s="44">
        <v>1</v>
      </c>
      <c r="H25" s="15">
        <v>20250731</v>
      </c>
    </row>
    <row r="26" customFormat="1" spans="1:8">
      <c r="A26" s="40">
        <v>989.6396</v>
      </c>
      <c r="B26" s="47">
        <v>17</v>
      </c>
      <c r="C26" s="52" t="s">
        <v>25</v>
      </c>
      <c r="D26" s="49" t="s">
        <v>9</v>
      </c>
      <c r="E26" s="49" t="s">
        <v>470</v>
      </c>
      <c r="F26" s="77" t="s">
        <v>1831</v>
      </c>
      <c r="G26" s="47">
        <v>1</v>
      </c>
      <c r="H26" s="15">
        <v>20250731</v>
      </c>
    </row>
    <row r="27" customFormat="1" spans="1:8">
      <c r="A27" s="40">
        <v>989.6446</v>
      </c>
      <c r="B27" s="47">
        <v>17</v>
      </c>
      <c r="C27" s="52" t="s">
        <v>17</v>
      </c>
      <c r="D27" s="49" t="s">
        <v>177</v>
      </c>
      <c r="E27" s="53" t="s">
        <v>1205</v>
      </c>
      <c r="F27" s="50" t="s">
        <v>1832</v>
      </c>
      <c r="G27" s="54">
        <v>1</v>
      </c>
      <c r="H27" s="15">
        <v>20250731</v>
      </c>
    </row>
    <row r="28" spans="1:8">
      <c r="A28" s="40">
        <v>989.6477</v>
      </c>
      <c r="B28" s="41">
        <v>18</v>
      </c>
      <c r="C28" s="42" t="s">
        <v>8</v>
      </c>
      <c r="D28" s="49" t="s">
        <v>49</v>
      </c>
      <c r="E28" s="49" t="s">
        <v>33</v>
      </c>
      <c r="F28" s="50" t="s">
        <v>1833</v>
      </c>
      <c r="G28" s="47">
        <v>0</v>
      </c>
      <c r="H28" s="15">
        <v>20250731</v>
      </c>
    </row>
    <row r="29" customFormat="1" spans="1:8">
      <c r="A29" s="40">
        <v>989.6502</v>
      </c>
      <c r="B29" s="44">
        <v>18</v>
      </c>
      <c r="C29" s="45" t="s">
        <v>219</v>
      </c>
      <c r="D29" s="45" t="s">
        <v>219</v>
      </c>
      <c r="E29" s="45" t="s">
        <v>894</v>
      </c>
      <c r="F29" s="46" t="s">
        <v>1834</v>
      </c>
      <c r="G29" s="44">
        <v>1</v>
      </c>
      <c r="H29" s="15">
        <v>20250731</v>
      </c>
    </row>
    <row r="30" customFormat="1" spans="1:8">
      <c r="A30" s="40">
        <v>989.6552</v>
      </c>
      <c r="B30" s="44">
        <v>18</v>
      </c>
      <c r="C30" s="45" t="s">
        <v>219</v>
      </c>
      <c r="D30" s="45" t="s">
        <v>219</v>
      </c>
      <c r="E30" s="45" t="s">
        <v>894</v>
      </c>
      <c r="F30" s="46" t="s">
        <v>1835</v>
      </c>
      <c r="G30" s="44">
        <v>1</v>
      </c>
      <c r="H30" s="15">
        <v>20250731</v>
      </c>
    </row>
    <row r="31" customFormat="1" spans="1:8">
      <c r="A31" s="40">
        <v>989.6512</v>
      </c>
      <c r="B31" s="44">
        <v>18</v>
      </c>
      <c r="C31" s="45" t="s">
        <v>17</v>
      </c>
      <c r="D31" s="45" t="s">
        <v>18</v>
      </c>
      <c r="E31" s="45" t="s">
        <v>292</v>
      </c>
      <c r="F31" s="46" t="s">
        <v>1836</v>
      </c>
      <c r="G31" s="44">
        <v>1</v>
      </c>
      <c r="H31" s="15">
        <v>20250731</v>
      </c>
    </row>
    <row r="32" spans="1:8">
      <c r="A32" s="40">
        <v>989.664</v>
      </c>
      <c r="B32" s="41">
        <v>20</v>
      </c>
      <c r="C32" s="42" t="s">
        <v>8</v>
      </c>
      <c r="D32" s="49" t="s">
        <v>9</v>
      </c>
      <c r="E32" s="49" t="s">
        <v>33</v>
      </c>
      <c r="F32" s="50" t="s">
        <v>1837</v>
      </c>
      <c r="G32" s="47">
        <v>1</v>
      </c>
      <c r="H32" s="15">
        <v>20250731</v>
      </c>
    </row>
    <row r="33" customFormat="1" spans="1:8">
      <c r="A33" s="40">
        <v>989.671</v>
      </c>
      <c r="B33" s="44">
        <v>20</v>
      </c>
      <c r="C33" s="45" t="s">
        <v>88</v>
      </c>
      <c r="D33" s="45" t="s">
        <v>18</v>
      </c>
      <c r="E33" s="45" t="s">
        <v>89</v>
      </c>
      <c r="F33" s="46" t="s">
        <v>1838</v>
      </c>
      <c r="G33" s="44">
        <v>1</v>
      </c>
      <c r="H33" s="15">
        <v>20250731</v>
      </c>
    </row>
    <row r="34" customFormat="1" spans="1:8">
      <c r="A34" s="40">
        <v>989.6736</v>
      </c>
      <c r="B34" s="44">
        <v>21</v>
      </c>
      <c r="C34" s="45" t="s">
        <v>219</v>
      </c>
      <c r="D34" s="45" t="s">
        <v>219</v>
      </c>
      <c r="E34" s="45" t="s">
        <v>894</v>
      </c>
      <c r="F34" s="46" t="s">
        <v>1839</v>
      </c>
      <c r="G34" s="44">
        <v>1</v>
      </c>
      <c r="H34" s="15">
        <v>20250731</v>
      </c>
    </row>
    <row r="35" customFormat="1" spans="1:8">
      <c r="A35" s="40">
        <v>989.6802</v>
      </c>
      <c r="B35" s="44">
        <v>22</v>
      </c>
      <c r="C35" s="45" t="s">
        <v>17</v>
      </c>
      <c r="D35" s="45" t="s">
        <v>18</v>
      </c>
      <c r="E35" s="45" t="s">
        <v>292</v>
      </c>
      <c r="F35" s="46" t="s">
        <v>1840</v>
      </c>
      <c r="G35" s="44">
        <v>1</v>
      </c>
      <c r="H35" s="15">
        <v>20250731</v>
      </c>
    </row>
    <row r="36" customFormat="1" spans="1:8">
      <c r="A36" s="40">
        <v>989.6802</v>
      </c>
      <c r="B36" s="47">
        <v>22</v>
      </c>
      <c r="C36" s="52" t="s">
        <v>25</v>
      </c>
      <c r="D36" s="49" t="s">
        <v>9</v>
      </c>
      <c r="E36" s="49" t="s">
        <v>470</v>
      </c>
      <c r="F36" s="50" t="s">
        <v>1841</v>
      </c>
      <c r="G36" s="47">
        <v>1</v>
      </c>
      <c r="H36" s="15">
        <v>20250731</v>
      </c>
    </row>
    <row r="37" customFormat="1" ht="40.5" spans="1:8">
      <c r="A37" s="40">
        <v>989.697</v>
      </c>
      <c r="B37" s="41">
        <v>24</v>
      </c>
      <c r="C37" s="45" t="s">
        <v>878</v>
      </c>
      <c r="D37" s="49" t="s">
        <v>18</v>
      </c>
      <c r="E37" s="49" t="s">
        <v>38</v>
      </c>
      <c r="F37" s="50" t="s">
        <v>1842</v>
      </c>
      <c r="G37" s="47">
        <v>1</v>
      </c>
      <c r="H37" s="15">
        <v>20250731</v>
      </c>
    </row>
    <row r="38" customFormat="1" spans="1:8">
      <c r="A38" s="40">
        <v>989.7047</v>
      </c>
      <c r="B38" s="44">
        <v>25</v>
      </c>
      <c r="C38" s="45" t="s">
        <v>219</v>
      </c>
      <c r="D38" s="45" t="s">
        <v>219</v>
      </c>
      <c r="E38" s="45" t="s">
        <v>894</v>
      </c>
      <c r="F38" s="46" t="s">
        <v>1843</v>
      </c>
      <c r="G38" s="44">
        <v>1</v>
      </c>
      <c r="H38" s="15">
        <v>20250731</v>
      </c>
    </row>
    <row r="39" spans="1:8">
      <c r="A39" s="40">
        <v>989.713</v>
      </c>
      <c r="B39" s="41">
        <v>26</v>
      </c>
      <c r="C39" s="42" t="s">
        <v>8</v>
      </c>
      <c r="D39" s="49" t="s">
        <v>9</v>
      </c>
      <c r="E39" s="49" t="s">
        <v>33</v>
      </c>
      <c r="F39" s="50" t="s">
        <v>1525</v>
      </c>
      <c r="G39" s="47">
        <v>1</v>
      </c>
      <c r="H39" s="15">
        <v>20250731</v>
      </c>
    </row>
    <row r="40" customFormat="1" spans="1:8">
      <c r="A40" s="40">
        <v>989.721</v>
      </c>
      <c r="B40" s="44">
        <v>27</v>
      </c>
      <c r="C40" s="45" t="s">
        <v>88</v>
      </c>
      <c r="D40" s="45" t="s">
        <v>18</v>
      </c>
      <c r="E40" s="45" t="s">
        <v>89</v>
      </c>
      <c r="F40" s="46" t="s">
        <v>1844</v>
      </c>
      <c r="G40" s="44">
        <v>1</v>
      </c>
      <c r="H40" s="15">
        <v>20250731</v>
      </c>
    </row>
    <row r="41" customFormat="1" spans="1:8">
      <c r="A41" s="40">
        <v>989.721</v>
      </c>
      <c r="B41" s="51">
        <v>27</v>
      </c>
      <c r="C41" s="52" t="s">
        <v>25</v>
      </c>
      <c r="D41" s="49" t="s">
        <v>49</v>
      </c>
      <c r="E41" s="49" t="s">
        <v>470</v>
      </c>
      <c r="F41" s="50" t="s">
        <v>1845</v>
      </c>
      <c r="G41" s="47">
        <v>1</v>
      </c>
      <c r="H41" s="15">
        <v>20250731</v>
      </c>
    </row>
    <row r="42" customFormat="1" spans="1:8">
      <c r="A42" s="40">
        <v>989.7327</v>
      </c>
      <c r="B42" s="44">
        <v>28</v>
      </c>
      <c r="C42" s="45" t="s">
        <v>219</v>
      </c>
      <c r="D42" s="45" t="s">
        <v>219</v>
      </c>
      <c r="E42" s="45" t="s">
        <v>894</v>
      </c>
      <c r="F42" s="46" t="s">
        <v>1819</v>
      </c>
      <c r="G42" s="44">
        <v>1</v>
      </c>
      <c r="H42" s="15">
        <v>20250731</v>
      </c>
    </row>
    <row r="43" customFormat="1" spans="1:8">
      <c r="A43" s="40">
        <v>989.7372</v>
      </c>
      <c r="B43" s="47">
        <v>29</v>
      </c>
      <c r="C43" s="52" t="s">
        <v>25</v>
      </c>
      <c r="D43" s="49" t="s">
        <v>49</v>
      </c>
      <c r="E43" s="49" t="s">
        <v>470</v>
      </c>
      <c r="F43" s="50" t="s">
        <v>1846</v>
      </c>
      <c r="G43" s="47">
        <v>1</v>
      </c>
      <c r="H43" s="15">
        <v>20250731</v>
      </c>
    </row>
    <row r="44" customFormat="1" spans="1:8">
      <c r="A44" s="40">
        <v>989.7603</v>
      </c>
      <c r="B44" s="44">
        <v>31</v>
      </c>
      <c r="C44" s="45" t="s">
        <v>17</v>
      </c>
      <c r="D44" s="45" t="s">
        <v>18</v>
      </c>
      <c r="E44" s="45" t="s">
        <v>292</v>
      </c>
      <c r="F44" s="46" t="s">
        <v>1847</v>
      </c>
      <c r="G44" s="44">
        <v>1</v>
      </c>
      <c r="H44" s="15">
        <v>20250731</v>
      </c>
    </row>
    <row r="45" customFormat="1" spans="1:8">
      <c r="A45" s="40">
        <v>989.7703</v>
      </c>
      <c r="B45" s="44">
        <v>33</v>
      </c>
      <c r="C45" s="45" t="s">
        <v>219</v>
      </c>
      <c r="D45" s="45" t="s">
        <v>219</v>
      </c>
      <c r="E45" s="45" t="s">
        <v>894</v>
      </c>
      <c r="F45" s="46" t="s">
        <v>1848</v>
      </c>
      <c r="G45" s="44">
        <v>1</v>
      </c>
      <c r="H45" s="15">
        <v>20250731</v>
      </c>
    </row>
    <row r="46" customFormat="1" spans="1:8">
      <c r="A46" s="40">
        <v>989.7905</v>
      </c>
      <c r="B46" s="47">
        <v>35</v>
      </c>
      <c r="C46" s="52" t="s">
        <v>17</v>
      </c>
      <c r="D46" s="49" t="s">
        <v>177</v>
      </c>
      <c r="E46" s="53" t="s">
        <v>1205</v>
      </c>
      <c r="F46" s="50" t="s">
        <v>1849</v>
      </c>
      <c r="G46" s="54">
        <v>1</v>
      </c>
      <c r="H46" s="15">
        <v>20250731</v>
      </c>
    </row>
    <row r="47" customFormat="1" spans="1:8">
      <c r="A47" s="40">
        <v>989.8041</v>
      </c>
      <c r="B47" s="44">
        <v>37</v>
      </c>
      <c r="C47" s="45" t="s">
        <v>219</v>
      </c>
      <c r="D47" s="45" t="s">
        <v>219</v>
      </c>
      <c r="E47" s="45" t="s">
        <v>894</v>
      </c>
      <c r="F47" s="46" t="s">
        <v>1850</v>
      </c>
      <c r="G47" s="44">
        <v>1</v>
      </c>
      <c r="H47" s="15">
        <v>20250731</v>
      </c>
    </row>
    <row r="48" customFormat="1" spans="1:8">
      <c r="A48" s="40">
        <v>989.8066</v>
      </c>
      <c r="B48" s="47">
        <v>37</v>
      </c>
      <c r="C48" s="52" t="s">
        <v>17</v>
      </c>
      <c r="D48" s="49" t="s">
        <v>177</v>
      </c>
      <c r="E48" s="53" t="s">
        <v>19</v>
      </c>
      <c r="F48" s="50" t="s">
        <v>1851</v>
      </c>
      <c r="G48" s="54">
        <v>1</v>
      </c>
      <c r="H48" s="15">
        <v>20250731</v>
      </c>
    </row>
    <row r="49" spans="1:8">
      <c r="A49" s="40">
        <v>989.8167</v>
      </c>
      <c r="B49" s="41">
        <v>38</v>
      </c>
      <c r="C49" s="42" t="s">
        <v>8</v>
      </c>
      <c r="D49" s="49" t="s">
        <v>9</v>
      </c>
      <c r="E49" s="49" t="s">
        <v>33</v>
      </c>
      <c r="F49" s="50" t="s">
        <v>1852</v>
      </c>
      <c r="G49" s="47">
        <v>1</v>
      </c>
      <c r="H49" s="15">
        <v>20250731</v>
      </c>
    </row>
    <row r="50" customFormat="1" spans="1:8">
      <c r="A50" s="40">
        <v>989.8107</v>
      </c>
      <c r="B50" s="44">
        <v>38</v>
      </c>
      <c r="C50" s="45" t="s">
        <v>17</v>
      </c>
      <c r="D50" s="45" t="s">
        <v>18</v>
      </c>
      <c r="E50" s="45" t="s">
        <v>19</v>
      </c>
      <c r="F50" s="46" t="s">
        <v>1853</v>
      </c>
      <c r="G50" s="44">
        <v>1</v>
      </c>
      <c r="H50" s="15">
        <v>20250731</v>
      </c>
    </row>
    <row r="51" customFormat="1" spans="1:8">
      <c r="A51" s="40">
        <v>989.836</v>
      </c>
      <c r="B51" s="44">
        <v>41</v>
      </c>
      <c r="C51" s="45" t="s">
        <v>219</v>
      </c>
      <c r="D51" s="45" t="s">
        <v>219</v>
      </c>
      <c r="E51" s="45" t="s">
        <v>894</v>
      </c>
      <c r="F51" s="46" t="s">
        <v>1854</v>
      </c>
      <c r="G51" s="44">
        <v>1</v>
      </c>
      <c r="H51" s="15">
        <v>20250731</v>
      </c>
    </row>
    <row r="52" customFormat="1" spans="1:8">
      <c r="A52" s="40">
        <v>989.834</v>
      </c>
      <c r="B52" s="47">
        <v>41</v>
      </c>
      <c r="C52" s="52" t="s">
        <v>25</v>
      </c>
      <c r="D52" s="49" t="s">
        <v>26</v>
      </c>
      <c r="E52" s="49" t="s">
        <v>1540</v>
      </c>
      <c r="F52" s="50" t="s">
        <v>1855</v>
      </c>
      <c r="G52" s="47">
        <v>1</v>
      </c>
      <c r="H52" s="15">
        <v>20250731</v>
      </c>
    </row>
    <row r="53" customFormat="1" spans="1:8">
      <c r="A53" s="40">
        <v>989.837</v>
      </c>
      <c r="B53" s="47">
        <v>41</v>
      </c>
      <c r="C53" s="52" t="s">
        <v>17</v>
      </c>
      <c r="D53" s="49" t="s">
        <v>177</v>
      </c>
      <c r="E53" s="53" t="s">
        <v>1205</v>
      </c>
      <c r="F53" s="50" t="s">
        <v>1856</v>
      </c>
      <c r="G53" s="54">
        <v>1</v>
      </c>
      <c r="H53" s="15">
        <v>20250731</v>
      </c>
    </row>
    <row r="54" customFormat="1" spans="1:8">
      <c r="A54" s="40">
        <v>989.856</v>
      </c>
      <c r="B54" s="44">
        <v>43</v>
      </c>
      <c r="C54" s="45" t="s">
        <v>219</v>
      </c>
      <c r="D54" s="45" t="s">
        <v>219</v>
      </c>
      <c r="E54" s="45" t="s">
        <v>894</v>
      </c>
      <c r="F54" s="46" t="s">
        <v>1820</v>
      </c>
      <c r="G54" s="44">
        <v>1</v>
      </c>
      <c r="H54" s="15">
        <v>20250731</v>
      </c>
    </row>
    <row r="55" spans="1:8">
      <c r="A55" s="40">
        <v>989.8742</v>
      </c>
      <c r="B55" s="41">
        <v>45</v>
      </c>
      <c r="C55" s="42" t="s">
        <v>8</v>
      </c>
      <c r="D55" s="49" t="s">
        <v>9</v>
      </c>
      <c r="E55" s="49" t="s">
        <v>15</v>
      </c>
      <c r="F55" s="50" t="s">
        <v>1857</v>
      </c>
      <c r="G55" s="47">
        <v>1</v>
      </c>
      <c r="H55" s="15">
        <v>20250731</v>
      </c>
    </row>
    <row r="56" customFormat="1" spans="1:8">
      <c r="A56" s="40">
        <v>989.8712</v>
      </c>
      <c r="B56" s="44">
        <v>45</v>
      </c>
      <c r="C56" s="45" t="s">
        <v>88</v>
      </c>
      <c r="D56" s="45" t="s">
        <v>18</v>
      </c>
      <c r="E56" s="45" t="s">
        <v>89</v>
      </c>
      <c r="F56" s="46" t="s">
        <v>1824</v>
      </c>
      <c r="G56" s="44">
        <v>1</v>
      </c>
      <c r="H56" s="15">
        <v>20250731</v>
      </c>
    </row>
    <row r="57" customFormat="1" spans="1:8">
      <c r="A57" s="40">
        <v>989.8727</v>
      </c>
      <c r="B57" s="44">
        <v>45</v>
      </c>
      <c r="C57" s="45" t="s">
        <v>17</v>
      </c>
      <c r="D57" s="45" t="s">
        <v>18</v>
      </c>
      <c r="E57" s="45" t="s">
        <v>292</v>
      </c>
      <c r="F57" s="46" t="s">
        <v>1858</v>
      </c>
      <c r="G57" s="44">
        <v>1</v>
      </c>
      <c r="H57" s="15">
        <v>20250731</v>
      </c>
    </row>
    <row r="58" customFormat="1" spans="1:8">
      <c r="A58" s="40">
        <v>989.8662</v>
      </c>
      <c r="B58" s="51">
        <v>45</v>
      </c>
      <c r="C58" s="52" t="s">
        <v>25</v>
      </c>
      <c r="D58" s="49" t="s">
        <v>43</v>
      </c>
      <c r="E58" s="49" t="s">
        <v>470</v>
      </c>
      <c r="F58" s="50" t="s">
        <v>1859</v>
      </c>
      <c r="G58" s="47">
        <v>1</v>
      </c>
      <c r="H58" s="15">
        <v>20250731</v>
      </c>
    </row>
    <row r="59" customFormat="1" spans="1:8">
      <c r="A59" s="40">
        <v>989.8785</v>
      </c>
      <c r="B59" s="44">
        <v>46</v>
      </c>
      <c r="C59" s="45" t="s">
        <v>17</v>
      </c>
      <c r="D59" s="45" t="s">
        <v>18</v>
      </c>
      <c r="E59" s="45" t="s">
        <v>292</v>
      </c>
      <c r="F59" s="46" t="s">
        <v>1860</v>
      </c>
      <c r="G59" s="44">
        <v>1</v>
      </c>
      <c r="H59" s="15">
        <v>20250731</v>
      </c>
    </row>
    <row r="60" customFormat="1" spans="1:8">
      <c r="A60" s="40">
        <v>989.8745</v>
      </c>
      <c r="B60" s="47">
        <v>46</v>
      </c>
      <c r="C60" s="52" t="s">
        <v>25</v>
      </c>
      <c r="D60" s="49" t="s">
        <v>49</v>
      </c>
      <c r="E60" s="49" t="s">
        <v>470</v>
      </c>
      <c r="F60" s="50" t="s">
        <v>1861</v>
      </c>
      <c r="G60" s="47">
        <v>1</v>
      </c>
      <c r="H60" s="15">
        <v>20250731</v>
      </c>
    </row>
    <row r="61" customFormat="1" spans="1:8">
      <c r="A61" s="40">
        <v>989.8825</v>
      </c>
      <c r="B61" s="51">
        <v>47</v>
      </c>
      <c r="C61" s="52" t="s">
        <v>25</v>
      </c>
      <c r="D61" s="49" t="s">
        <v>49</v>
      </c>
      <c r="E61" s="49" t="s">
        <v>470</v>
      </c>
      <c r="F61" s="50" t="s">
        <v>1862</v>
      </c>
      <c r="G61" s="47">
        <v>1</v>
      </c>
      <c r="H61" s="15">
        <v>20250731</v>
      </c>
    </row>
    <row r="62" spans="1:8">
      <c r="A62" s="40">
        <v>989.8907</v>
      </c>
      <c r="B62" s="41">
        <v>48</v>
      </c>
      <c r="C62" s="42" t="s">
        <v>8</v>
      </c>
      <c r="D62" s="49" t="s">
        <v>49</v>
      </c>
      <c r="E62" s="49" t="s">
        <v>33</v>
      </c>
      <c r="F62" s="50" t="s">
        <v>1863</v>
      </c>
      <c r="G62" s="44">
        <v>1</v>
      </c>
      <c r="H62" s="15">
        <v>20250731</v>
      </c>
    </row>
    <row r="63" customFormat="1" spans="1:8">
      <c r="A63" s="40">
        <v>989.8947</v>
      </c>
      <c r="B63" s="47">
        <v>48</v>
      </c>
      <c r="C63" s="52" t="s">
        <v>17</v>
      </c>
      <c r="D63" s="49" t="s">
        <v>177</v>
      </c>
      <c r="E63" s="53" t="s">
        <v>19</v>
      </c>
      <c r="F63" s="50" t="s">
        <v>1864</v>
      </c>
      <c r="G63" s="54">
        <v>1</v>
      </c>
      <c r="H63" s="15">
        <v>20250731</v>
      </c>
    </row>
    <row r="64" spans="1:8">
      <c r="A64" s="40">
        <v>989.9148</v>
      </c>
      <c r="B64" s="41">
        <v>51</v>
      </c>
      <c r="C64" s="42" t="s">
        <v>8</v>
      </c>
      <c r="D64" s="49" t="s">
        <v>9</v>
      </c>
      <c r="E64" s="49" t="s">
        <v>33</v>
      </c>
      <c r="F64" s="50" t="s">
        <v>1865</v>
      </c>
      <c r="G64" s="47">
        <v>1</v>
      </c>
      <c r="H64" s="15">
        <v>20250731</v>
      </c>
    </row>
    <row r="65" customFormat="1" spans="1:8">
      <c r="A65" s="40">
        <v>989.9229</v>
      </c>
      <c r="B65" s="44">
        <v>52</v>
      </c>
      <c r="C65" s="45" t="s">
        <v>17</v>
      </c>
      <c r="D65" s="45" t="s">
        <v>18</v>
      </c>
      <c r="E65" s="45" t="s">
        <v>292</v>
      </c>
      <c r="F65" s="46" t="s">
        <v>1840</v>
      </c>
      <c r="G65" s="44">
        <v>1</v>
      </c>
      <c r="H65" s="15">
        <v>20250731</v>
      </c>
    </row>
    <row r="66" customFormat="1" spans="1:8">
      <c r="A66" s="40">
        <v>989.9473</v>
      </c>
      <c r="B66" s="47">
        <v>55</v>
      </c>
      <c r="C66" s="52" t="s">
        <v>25</v>
      </c>
      <c r="D66" s="49" t="s">
        <v>49</v>
      </c>
      <c r="E66" s="49" t="s">
        <v>470</v>
      </c>
      <c r="F66" s="50" t="s">
        <v>1817</v>
      </c>
      <c r="G66" s="47">
        <v>1</v>
      </c>
      <c r="H66" s="15">
        <v>20250731</v>
      </c>
    </row>
    <row r="67" customFormat="1" spans="1:8">
      <c r="A67" s="40">
        <v>989.9655</v>
      </c>
      <c r="B67" s="47">
        <v>57</v>
      </c>
      <c r="C67" s="52" t="s">
        <v>17</v>
      </c>
      <c r="D67" s="49" t="s">
        <v>177</v>
      </c>
      <c r="E67" s="53" t="s">
        <v>1205</v>
      </c>
      <c r="F67" s="50" t="s">
        <v>1688</v>
      </c>
      <c r="G67" s="54">
        <v>1</v>
      </c>
      <c r="H67" s="15">
        <v>20250731</v>
      </c>
    </row>
    <row r="68" customFormat="1" spans="1:8">
      <c r="A68" s="40">
        <v>989.9768</v>
      </c>
      <c r="B68" s="44">
        <v>58</v>
      </c>
      <c r="C68" s="45" t="s">
        <v>88</v>
      </c>
      <c r="D68" s="45" t="s">
        <v>18</v>
      </c>
      <c r="E68" s="45" t="s">
        <v>89</v>
      </c>
      <c r="F68" s="46" t="s">
        <v>1824</v>
      </c>
      <c r="G68" s="44">
        <v>1</v>
      </c>
      <c r="H68" s="15">
        <v>20250731</v>
      </c>
    </row>
    <row r="69" customFormat="1" spans="1:8">
      <c r="A69" s="40">
        <v>989.9838</v>
      </c>
      <c r="B69" s="47">
        <v>59</v>
      </c>
      <c r="C69" s="52" t="s">
        <v>17</v>
      </c>
      <c r="D69" s="49" t="s">
        <v>177</v>
      </c>
      <c r="E69" s="53" t="s">
        <v>1205</v>
      </c>
      <c r="F69" s="50" t="s">
        <v>1866</v>
      </c>
      <c r="G69" s="54">
        <v>1</v>
      </c>
      <c r="H69" s="15">
        <v>20250731</v>
      </c>
    </row>
    <row r="70" customFormat="1" spans="1:8">
      <c r="A70" s="40">
        <v>990.0011</v>
      </c>
      <c r="B70" s="44">
        <v>61</v>
      </c>
      <c r="C70" s="45" t="s">
        <v>17</v>
      </c>
      <c r="D70" s="45" t="s">
        <v>18</v>
      </c>
      <c r="E70" s="45" t="s">
        <v>292</v>
      </c>
      <c r="F70" s="46" t="s">
        <v>1867</v>
      </c>
      <c r="G70" s="44">
        <v>1</v>
      </c>
      <c r="H70" s="15">
        <v>20250731</v>
      </c>
    </row>
    <row r="71" customFormat="1" spans="1:8">
      <c r="A71" s="40">
        <v>990.0182</v>
      </c>
      <c r="B71" s="47">
        <v>63</v>
      </c>
      <c r="C71" s="52" t="s">
        <v>17</v>
      </c>
      <c r="D71" s="49" t="s">
        <v>177</v>
      </c>
      <c r="E71" s="53" t="s">
        <v>1205</v>
      </c>
      <c r="F71" s="50" t="s">
        <v>1868</v>
      </c>
      <c r="G71" s="54">
        <v>1</v>
      </c>
      <c r="H71" s="15">
        <v>20250731</v>
      </c>
    </row>
    <row r="72" spans="1:8">
      <c r="A72" s="40">
        <v>990.0433</v>
      </c>
      <c r="B72" s="41">
        <v>66</v>
      </c>
      <c r="C72" s="42" t="s">
        <v>8</v>
      </c>
      <c r="D72" s="49" t="s">
        <v>49</v>
      </c>
      <c r="E72" s="56" t="s">
        <v>33</v>
      </c>
      <c r="F72" s="50" t="s">
        <v>1869</v>
      </c>
      <c r="G72" s="47">
        <v>0</v>
      </c>
      <c r="H72" s="15">
        <v>20250731</v>
      </c>
    </row>
    <row r="73" customFormat="1" spans="1:8">
      <c r="A73" s="40">
        <v>990.0413</v>
      </c>
      <c r="B73" s="47">
        <v>66</v>
      </c>
      <c r="C73" s="52" t="s">
        <v>17</v>
      </c>
      <c r="D73" s="49" t="s">
        <v>177</v>
      </c>
      <c r="E73" s="53" t="s">
        <v>1870</v>
      </c>
      <c r="F73" s="50" t="s">
        <v>1871</v>
      </c>
      <c r="G73" s="54">
        <v>1</v>
      </c>
      <c r="H73" s="15">
        <v>20250731</v>
      </c>
    </row>
    <row r="74" customFormat="1" spans="1:8">
      <c r="A74" s="40">
        <v>990.0451</v>
      </c>
      <c r="B74" s="44">
        <v>67</v>
      </c>
      <c r="C74" s="45" t="s">
        <v>219</v>
      </c>
      <c r="D74" s="45" t="s">
        <v>219</v>
      </c>
      <c r="E74" s="45" t="s">
        <v>894</v>
      </c>
      <c r="F74" s="46" t="s">
        <v>1872</v>
      </c>
      <c r="G74" s="44">
        <v>1</v>
      </c>
      <c r="H74" s="15">
        <v>20250731</v>
      </c>
    </row>
    <row r="75" spans="1:8">
      <c r="A75" s="40">
        <v>990.0548</v>
      </c>
      <c r="B75" s="41">
        <v>69</v>
      </c>
      <c r="C75" s="42" t="s">
        <v>8</v>
      </c>
      <c r="D75" s="49" t="s">
        <v>49</v>
      </c>
      <c r="E75" s="49" t="s">
        <v>41</v>
      </c>
      <c r="F75" s="50" t="s">
        <v>1449</v>
      </c>
      <c r="G75" s="47">
        <v>1</v>
      </c>
      <c r="H75" s="15">
        <v>20250731</v>
      </c>
    </row>
    <row r="76" spans="1:8">
      <c r="A76" s="40">
        <v>990.0622</v>
      </c>
      <c r="B76" s="41">
        <v>70</v>
      </c>
      <c r="C76" s="42" t="s">
        <v>8</v>
      </c>
      <c r="D76" s="49" t="s">
        <v>49</v>
      </c>
      <c r="E76" s="49" t="s">
        <v>41</v>
      </c>
      <c r="F76" s="50" t="s">
        <v>1873</v>
      </c>
      <c r="G76" s="47">
        <v>1</v>
      </c>
      <c r="H76" s="15">
        <v>20250731</v>
      </c>
    </row>
    <row r="77" customFormat="1" spans="1:8">
      <c r="A77" s="40">
        <v>990.0712</v>
      </c>
      <c r="B77" s="44">
        <v>70</v>
      </c>
      <c r="C77" s="45" t="s">
        <v>88</v>
      </c>
      <c r="D77" s="45" t="s">
        <v>18</v>
      </c>
      <c r="E77" s="45" t="s">
        <v>89</v>
      </c>
      <c r="F77" s="46" t="s">
        <v>1874</v>
      </c>
      <c r="G77" s="44">
        <v>1</v>
      </c>
      <c r="H77" s="15">
        <v>20250731</v>
      </c>
    </row>
    <row r="78" customFormat="1" spans="1:8">
      <c r="A78" s="40">
        <v>990.0672</v>
      </c>
      <c r="B78" s="44">
        <v>70</v>
      </c>
      <c r="C78" s="45" t="s">
        <v>17</v>
      </c>
      <c r="D78" s="45" t="s">
        <v>18</v>
      </c>
      <c r="E78" s="45" t="s">
        <v>292</v>
      </c>
      <c r="F78" s="46" t="s">
        <v>1867</v>
      </c>
      <c r="G78" s="44">
        <v>1</v>
      </c>
      <c r="H78" s="15">
        <v>20250731</v>
      </c>
    </row>
    <row r="79" spans="1:8">
      <c r="A79" s="40">
        <v>990.0642</v>
      </c>
      <c r="B79" s="47">
        <v>70</v>
      </c>
      <c r="C79" s="52" t="s">
        <v>8</v>
      </c>
      <c r="D79" s="49" t="s">
        <v>49</v>
      </c>
      <c r="E79" s="49" t="s">
        <v>41</v>
      </c>
      <c r="F79" s="50" t="s">
        <v>1875</v>
      </c>
      <c r="G79" s="47">
        <v>1</v>
      </c>
      <c r="H79" s="15">
        <v>20250731</v>
      </c>
    </row>
    <row r="80" customFormat="1" ht="27" spans="1:8">
      <c r="A80" s="40">
        <v>989.51</v>
      </c>
      <c r="B80" s="41" t="s">
        <v>94</v>
      </c>
      <c r="C80" s="45" t="s">
        <v>95</v>
      </c>
      <c r="D80" s="45" t="s">
        <v>95</v>
      </c>
      <c r="E80" s="45" t="s">
        <v>97</v>
      </c>
      <c r="F80" s="46" t="s">
        <v>1577</v>
      </c>
      <c r="G80" s="44">
        <v>1</v>
      </c>
      <c r="H80" s="15">
        <v>20250731</v>
      </c>
    </row>
    <row r="81" customFormat="1" ht="27" spans="1:8">
      <c r="A81" s="40">
        <v>989.591</v>
      </c>
      <c r="B81" s="41" t="s">
        <v>99</v>
      </c>
      <c r="C81" s="45" t="s">
        <v>95</v>
      </c>
      <c r="D81" s="45" t="s">
        <v>95</v>
      </c>
      <c r="E81" s="45" t="s">
        <v>97</v>
      </c>
      <c r="F81" s="46" t="s">
        <v>1577</v>
      </c>
      <c r="G81" s="44">
        <v>1</v>
      </c>
      <c r="H81" s="15">
        <v>20250731</v>
      </c>
    </row>
    <row r="82" customFormat="1" ht="27" spans="1:8">
      <c r="A82" s="40">
        <v>989.672</v>
      </c>
      <c r="B82" s="41" t="s">
        <v>100</v>
      </c>
      <c r="C82" s="45" t="s">
        <v>95</v>
      </c>
      <c r="D82" s="45" t="s">
        <v>95</v>
      </c>
      <c r="E82" s="45" t="s">
        <v>97</v>
      </c>
      <c r="F82" s="46" t="s">
        <v>1577</v>
      </c>
      <c r="G82" s="44">
        <v>1</v>
      </c>
      <c r="H82" s="15">
        <v>20250731</v>
      </c>
    </row>
    <row r="83" customFormat="1" ht="27" spans="1:8">
      <c r="A83" s="40">
        <v>989.753</v>
      </c>
      <c r="B83" s="41" t="s">
        <v>101</v>
      </c>
      <c r="C83" s="45" t="s">
        <v>95</v>
      </c>
      <c r="D83" s="45" t="s">
        <v>95</v>
      </c>
      <c r="E83" s="45" t="s">
        <v>97</v>
      </c>
      <c r="F83" s="46" t="s">
        <v>1577</v>
      </c>
      <c r="G83" s="44">
        <v>1</v>
      </c>
      <c r="H83" s="15">
        <v>20250731</v>
      </c>
    </row>
    <row r="84" customFormat="1" ht="27" spans="1:8">
      <c r="A84" s="40">
        <v>989.834</v>
      </c>
      <c r="B84" s="41" t="s">
        <v>102</v>
      </c>
      <c r="C84" s="45" t="s">
        <v>95</v>
      </c>
      <c r="D84" s="45" t="s">
        <v>95</v>
      </c>
      <c r="E84" s="45" t="s">
        <v>97</v>
      </c>
      <c r="F84" s="46" t="s">
        <v>1577</v>
      </c>
      <c r="G84" s="44">
        <v>1</v>
      </c>
      <c r="H84" s="15">
        <v>20250731</v>
      </c>
    </row>
    <row r="85" customFormat="1" ht="27" spans="1:8">
      <c r="A85" s="40">
        <v>989.915</v>
      </c>
      <c r="B85" s="41" t="s">
        <v>103</v>
      </c>
      <c r="C85" s="45" t="s">
        <v>95</v>
      </c>
      <c r="D85" s="45" t="s">
        <v>95</v>
      </c>
      <c r="E85" s="45" t="s">
        <v>97</v>
      </c>
      <c r="F85" s="46" t="s">
        <v>1577</v>
      </c>
      <c r="G85" s="44">
        <v>1</v>
      </c>
      <c r="H85" s="15">
        <v>20250731</v>
      </c>
    </row>
    <row r="86" customFormat="1" ht="27" spans="1:8">
      <c r="A86" s="40">
        <v>989.996</v>
      </c>
      <c r="B86" s="41" t="s">
        <v>223</v>
      </c>
      <c r="C86" s="45" t="s">
        <v>95</v>
      </c>
      <c r="D86" s="45" t="s">
        <v>95</v>
      </c>
      <c r="E86" s="45" t="s">
        <v>97</v>
      </c>
      <c r="F86" s="46" t="s">
        <v>1577</v>
      </c>
      <c r="G86" s="44">
        <v>1</v>
      </c>
      <c r="H86" s="15">
        <v>20250731</v>
      </c>
    </row>
  </sheetData>
  <autoFilter xmlns:etc="http://www.wps.cn/officeDocument/2017/etCustomData" ref="A1:H86" etc:filterBottomFollowUsedRange="0">
    <extLst/>
  </autoFilter>
  <sortState ref="A2:H87">
    <sortCondition ref="B2:B87"/>
  </sortState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9"/>
  <sheetViews>
    <sheetView workbookViewId="0">
      <selection activeCell="K11" sqref="K11"/>
    </sheetView>
  </sheetViews>
  <sheetFormatPr defaultColWidth="9" defaultRowHeight="15" outlineLevelCol="7"/>
  <cols>
    <col min="1" max="1" width="9" style="16"/>
    <col min="2" max="4" width="9" style="12"/>
    <col min="5" max="5" width="12.5" style="12" customWidth="1"/>
    <col min="6" max="6" width="85.875" style="16" customWidth="1"/>
    <col min="7" max="7" width="9" style="12"/>
    <col min="8" max="8" width="9.5" style="16" customWidth="1"/>
    <col min="9" max="16384" width="9" style="16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customFormat="1" spans="1:8">
      <c r="A2" s="141">
        <v>989.527</v>
      </c>
      <c r="B2" s="12">
        <v>0</v>
      </c>
      <c r="C2" s="12" t="s">
        <v>542</v>
      </c>
      <c r="D2" s="28" t="s">
        <v>105</v>
      </c>
      <c r="E2" s="19" t="s">
        <v>771</v>
      </c>
      <c r="F2" s="21" t="s">
        <v>1876</v>
      </c>
      <c r="G2" s="19">
        <v>1</v>
      </c>
      <c r="H2" s="12">
        <v>20240809</v>
      </c>
    </row>
    <row r="3" customFormat="1" spans="1:8">
      <c r="A3" s="141">
        <v>990.082</v>
      </c>
      <c r="B3" s="12">
        <v>0</v>
      </c>
      <c r="C3" s="28" t="s">
        <v>106</v>
      </c>
      <c r="D3" s="28" t="s">
        <v>451</v>
      </c>
      <c r="E3" s="20" t="s">
        <v>1357</v>
      </c>
      <c r="F3" s="21" t="s">
        <v>1877</v>
      </c>
      <c r="G3" s="19">
        <v>0</v>
      </c>
      <c r="H3" s="12">
        <v>20240809</v>
      </c>
    </row>
    <row r="4" spans="1:8">
      <c r="A4" s="18">
        <v>990.09</v>
      </c>
      <c r="B4" s="12">
        <v>1</v>
      </c>
      <c r="C4" s="12" t="s">
        <v>129</v>
      </c>
      <c r="D4" s="19" t="s">
        <v>235</v>
      </c>
      <c r="E4" s="19" t="s">
        <v>997</v>
      </c>
      <c r="F4" s="21" t="s">
        <v>1878</v>
      </c>
      <c r="G4" s="19">
        <v>1</v>
      </c>
      <c r="H4" s="12">
        <v>20240809</v>
      </c>
    </row>
    <row r="5" spans="1:8">
      <c r="A5" s="18">
        <v>990.09</v>
      </c>
      <c r="B5" s="12">
        <v>1</v>
      </c>
      <c r="C5" s="12" t="s">
        <v>129</v>
      </c>
      <c r="D5" s="19" t="s">
        <v>228</v>
      </c>
      <c r="E5" s="19" t="s">
        <v>997</v>
      </c>
      <c r="F5" s="21" t="s">
        <v>1879</v>
      </c>
      <c r="G5" s="19">
        <v>1</v>
      </c>
      <c r="H5" s="12">
        <v>20240809</v>
      </c>
    </row>
    <row r="6" customFormat="1" spans="1:8">
      <c r="A6" s="18">
        <v>990.082</v>
      </c>
      <c r="B6" s="22">
        <v>1</v>
      </c>
      <c r="C6" s="23" t="s">
        <v>88</v>
      </c>
      <c r="D6" s="23" t="s">
        <v>177</v>
      </c>
      <c r="E6" s="23" t="s">
        <v>256</v>
      </c>
      <c r="F6" s="24" t="s">
        <v>1880</v>
      </c>
      <c r="G6" s="22">
        <v>1</v>
      </c>
      <c r="H6" s="12">
        <v>20240809</v>
      </c>
    </row>
    <row r="7" spans="1:8">
      <c r="A7" s="18">
        <v>990.084</v>
      </c>
      <c r="B7" s="19">
        <v>1</v>
      </c>
      <c r="C7" s="26" t="s">
        <v>1653</v>
      </c>
      <c r="D7" s="19" t="s">
        <v>228</v>
      </c>
      <c r="E7" s="19" t="s">
        <v>997</v>
      </c>
      <c r="F7" s="21" t="s">
        <v>1881</v>
      </c>
      <c r="G7" s="19">
        <v>1</v>
      </c>
      <c r="H7" s="17">
        <v>20240809</v>
      </c>
    </row>
    <row r="8" spans="1:8">
      <c r="A8" s="18">
        <v>990.0703</v>
      </c>
      <c r="B8" s="12">
        <v>3</v>
      </c>
      <c r="C8" s="12" t="s">
        <v>129</v>
      </c>
      <c r="D8" s="19" t="s">
        <v>235</v>
      </c>
      <c r="E8" s="19" t="s">
        <v>997</v>
      </c>
      <c r="F8" s="21" t="s">
        <v>1882</v>
      </c>
      <c r="G8" s="19">
        <v>1</v>
      </c>
      <c r="H8" s="12">
        <v>20240809</v>
      </c>
    </row>
    <row r="9" spans="1:8">
      <c r="A9" s="18">
        <v>990.0663</v>
      </c>
      <c r="B9" s="12">
        <v>3</v>
      </c>
      <c r="C9" s="12" t="s">
        <v>129</v>
      </c>
      <c r="D9" s="19" t="s">
        <v>228</v>
      </c>
      <c r="E9" s="19" t="s">
        <v>997</v>
      </c>
      <c r="F9" s="21" t="s">
        <v>252</v>
      </c>
      <c r="G9" s="19">
        <v>1</v>
      </c>
      <c r="H9" s="12">
        <v>20240809</v>
      </c>
    </row>
    <row r="10" spans="1:8">
      <c r="A10" s="18">
        <v>990.0614</v>
      </c>
      <c r="B10" s="12">
        <v>4</v>
      </c>
      <c r="C10" s="12" t="s">
        <v>129</v>
      </c>
      <c r="D10" s="19" t="s">
        <v>235</v>
      </c>
      <c r="E10" s="19" t="s">
        <v>689</v>
      </c>
      <c r="F10" s="21" t="s">
        <v>1883</v>
      </c>
      <c r="G10" s="19">
        <v>0</v>
      </c>
      <c r="H10" s="12">
        <v>20240809</v>
      </c>
    </row>
    <row r="11" spans="1:8">
      <c r="A11" s="18">
        <v>990.0567</v>
      </c>
      <c r="B11" s="12">
        <v>5</v>
      </c>
      <c r="C11" s="12" t="s">
        <v>129</v>
      </c>
      <c r="D11" s="19" t="s">
        <v>290</v>
      </c>
      <c r="E11" s="19" t="s">
        <v>689</v>
      </c>
      <c r="F11" s="21" t="s">
        <v>1884</v>
      </c>
      <c r="G11" s="19">
        <v>0</v>
      </c>
      <c r="H11" s="12">
        <v>20240809</v>
      </c>
    </row>
    <row r="12" customFormat="1" spans="1:8">
      <c r="A12" s="18">
        <v>990.0587</v>
      </c>
      <c r="B12" s="19">
        <v>5</v>
      </c>
      <c r="C12" s="65" t="s">
        <v>25</v>
      </c>
      <c r="D12" s="20" t="s">
        <v>26</v>
      </c>
      <c r="E12" s="136" t="s">
        <v>27</v>
      </c>
      <c r="F12" s="21" t="s">
        <v>1885</v>
      </c>
      <c r="G12" s="17">
        <v>1</v>
      </c>
      <c r="H12" s="17">
        <v>20240809</v>
      </c>
    </row>
    <row r="13" spans="1:8">
      <c r="A13" s="18">
        <v>990.0242</v>
      </c>
      <c r="B13" s="12">
        <v>9</v>
      </c>
      <c r="C13" s="12" t="s">
        <v>129</v>
      </c>
      <c r="D13" s="19" t="s">
        <v>235</v>
      </c>
      <c r="E13" s="19" t="s">
        <v>689</v>
      </c>
      <c r="F13" s="21" t="s">
        <v>1886</v>
      </c>
      <c r="G13" s="19">
        <v>0</v>
      </c>
      <c r="H13" s="12">
        <v>20240809</v>
      </c>
    </row>
    <row r="14" customFormat="1" spans="1:8">
      <c r="A14" s="18">
        <v>990.0172</v>
      </c>
      <c r="B14" s="19">
        <v>10</v>
      </c>
      <c r="C14" s="65" t="s">
        <v>25</v>
      </c>
      <c r="D14" s="20" t="s">
        <v>26</v>
      </c>
      <c r="E14" s="20" t="s">
        <v>27</v>
      </c>
      <c r="F14" s="21" t="s">
        <v>1887</v>
      </c>
      <c r="G14" s="19">
        <v>1</v>
      </c>
      <c r="H14" s="17">
        <v>20240809</v>
      </c>
    </row>
    <row r="15" customFormat="1" spans="1:8">
      <c r="A15" s="18">
        <v>990.0101</v>
      </c>
      <c r="B15" s="12">
        <v>11</v>
      </c>
      <c r="C15" s="12" t="s">
        <v>340</v>
      </c>
      <c r="D15" s="12" t="s">
        <v>341</v>
      </c>
      <c r="E15" s="19" t="s">
        <v>1888</v>
      </c>
      <c r="F15" s="21" t="s">
        <v>1206</v>
      </c>
      <c r="G15" s="19">
        <v>1</v>
      </c>
      <c r="H15" s="12">
        <v>20240809</v>
      </c>
    </row>
    <row r="16" spans="1:8">
      <c r="A16" s="18">
        <v>990.0081</v>
      </c>
      <c r="B16" s="12">
        <v>11</v>
      </c>
      <c r="C16" s="12" t="s">
        <v>129</v>
      </c>
      <c r="D16" s="19" t="s">
        <v>235</v>
      </c>
      <c r="E16" s="19" t="s">
        <v>689</v>
      </c>
      <c r="F16" s="21" t="s">
        <v>1889</v>
      </c>
      <c r="G16" s="19">
        <v>0</v>
      </c>
      <c r="H16" s="12">
        <v>20240809</v>
      </c>
    </row>
    <row r="17" customFormat="1" ht="38.25" spans="1:8">
      <c r="A17" s="18">
        <v>990.0081</v>
      </c>
      <c r="B17" s="12">
        <v>11</v>
      </c>
      <c r="C17" s="65" t="s">
        <v>878</v>
      </c>
      <c r="D17" s="20" t="s">
        <v>177</v>
      </c>
      <c r="E17" s="28" t="s">
        <v>1614</v>
      </c>
      <c r="F17" s="16" t="s">
        <v>1890</v>
      </c>
      <c r="G17" s="37">
        <v>1</v>
      </c>
      <c r="H17" s="17">
        <v>20240809</v>
      </c>
    </row>
    <row r="18" spans="1:8">
      <c r="A18" s="18">
        <v>989.9965</v>
      </c>
      <c r="B18" s="12">
        <v>13</v>
      </c>
      <c r="C18" s="12" t="s">
        <v>340</v>
      </c>
      <c r="D18" s="12" t="s">
        <v>341</v>
      </c>
      <c r="E18" s="19" t="s">
        <v>1426</v>
      </c>
      <c r="F18" s="21" t="s">
        <v>1891</v>
      </c>
      <c r="G18" s="19">
        <v>1</v>
      </c>
      <c r="H18" s="12">
        <v>20240809</v>
      </c>
    </row>
    <row r="19" customFormat="1" spans="1:8">
      <c r="A19" s="18">
        <v>989.9678</v>
      </c>
      <c r="B19" s="12">
        <v>16</v>
      </c>
      <c r="C19" s="12" t="s">
        <v>129</v>
      </c>
      <c r="D19" s="19" t="s">
        <v>290</v>
      </c>
      <c r="E19" s="19" t="s">
        <v>689</v>
      </c>
      <c r="F19" s="21" t="s">
        <v>1892</v>
      </c>
      <c r="G19" s="19">
        <v>0</v>
      </c>
      <c r="H19" s="12">
        <v>20240809</v>
      </c>
    </row>
    <row r="20" spans="1:8">
      <c r="A20" s="18">
        <v>989.9652</v>
      </c>
      <c r="B20" s="12">
        <v>17</v>
      </c>
      <c r="C20" s="12" t="s">
        <v>340</v>
      </c>
      <c r="D20" s="12" t="s">
        <v>341</v>
      </c>
      <c r="E20" s="19" t="s">
        <v>1888</v>
      </c>
      <c r="F20" s="21" t="s">
        <v>1893</v>
      </c>
      <c r="G20" s="19">
        <v>1</v>
      </c>
      <c r="H20" s="12">
        <v>20240809</v>
      </c>
    </row>
    <row r="21" spans="1:8">
      <c r="A21" s="18">
        <v>989.9597</v>
      </c>
      <c r="B21" s="12">
        <v>17</v>
      </c>
      <c r="C21" s="12" t="s">
        <v>129</v>
      </c>
      <c r="D21" s="19" t="s">
        <v>228</v>
      </c>
      <c r="E21" s="19" t="s">
        <v>689</v>
      </c>
      <c r="F21" s="21" t="s">
        <v>1894</v>
      </c>
      <c r="G21" s="19">
        <v>0</v>
      </c>
      <c r="H21" s="12">
        <v>20240809</v>
      </c>
    </row>
    <row r="22" spans="1:8">
      <c r="A22" s="18">
        <v>989.9516</v>
      </c>
      <c r="B22" s="12">
        <v>18</v>
      </c>
      <c r="C22" s="12" t="s">
        <v>129</v>
      </c>
      <c r="D22" s="19" t="s">
        <v>228</v>
      </c>
      <c r="E22" s="19" t="s">
        <v>997</v>
      </c>
      <c r="F22" s="21" t="s">
        <v>1895</v>
      </c>
      <c r="G22" s="19">
        <v>1</v>
      </c>
      <c r="H22" s="12">
        <v>20240809</v>
      </c>
    </row>
    <row r="23" spans="1:8">
      <c r="A23" s="18">
        <v>989.9355</v>
      </c>
      <c r="B23" s="12">
        <v>20</v>
      </c>
      <c r="C23" s="12" t="s">
        <v>129</v>
      </c>
      <c r="D23" s="19" t="s">
        <v>235</v>
      </c>
      <c r="E23" s="19" t="s">
        <v>716</v>
      </c>
      <c r="F23" s="21" t="s">
        <v>1896</v>
      </c>
      <c r="G23" s="19">
        <v>0</v>
      </c>
      <c r="H23" s="12">
        <v>20240809</v>
      </c>
    </row>
    <row r="24" customFormat="1" spans="1:8">
      <c r="A24" s="18">
        <v>989.9355</v>
      </c>
      <c r="B24" s="12">
        <v>20</v>
      </c>
      <c r="C24" s="12" t="s">
        <v>129</v>
      </c>
      <c r="D24" s="19" t="s">
        <v>290</v>
      </c>
      <c r="E24" s="19" t="s">
        <v>689</v>
      </c>
      <c r="F24" s="21" t="s">
        <v>744</v>
      </c>
      <c r="G24" s="19">
        <v>0</v>
      </c>
      <c r="H24" s="12">
        <v>20240809</v>
      </c>
    </row>
    <row r="25" spans="1:8">
      <c r="A25" s="18">
        <v>989.9228</v>
      </c>
      <c r="B25" s="12">
        <v>22</v>
      </c>
      <c r="C25" s="12" t="s">
        <v>340</v>
      </c>
      <c r="D25" s="12" t="s">
        <v>341</v>
      </c>
      <c r="E25" s="19" t="s">
        <v>1888</v>
      </c>
      <c r="F25" s="21" t="s">
        <v>1897</v>
      </c>
      <c r="G25" s="19">
        <v>1</v>
      </c>
      <c r="H25" s="12">
        <v>20240809</v>
      </c>
    </row>
    <row r="26" spans="1:8">
      <c r="A26" s="18">
        <v>989.9193</v>
      </c>
      <c r="B26" s="12">
        <v>22</v>
      </c>
      <c r="C26" s="12" t="s">
        <v>129</v>
      </c>
      <c r="D26" s="19" t="s">
        <v>290</v>
      </c>
      <c r="E26" s="19" t="s">
        <v>689</v>
      </c>
      <c r="F26" s="21" t="s">
        <v>1898</v>
      </c>
      <c r="G26" s="19">
        <v>1</v>
      </c>
      <c r="H26" s="12">
        <v>20240809</v>
      </c>
    </row>
    <row r="27" spans="1:8">
      <c r="A27" s="18">
        <v>989.9112</v>
      </c>
      <c r="B27" s="12">
        <v>23</v>
      </c>
      <c r="C27" s="12" t="s">
        <v>129</v>
      </c>
      <c r="D27" s="19" t="s">
        <v>228</v>
      </c>
      <c r="E27" s="19" t="s">
        <v>689</v>
      </c>
      <c r="F27" s="21" t="s">
        <v>900</v>
      </c>
      <c r="G27" s="19">
        <v>0</v>
      </c>
      <c r="H27" s="12">
        <v>20240809</v>
      </c>
    </row>
    <row r="28" spans="1:8">
      <c r="A28" s="18">
        <v>989.9033</v>
      </c>
      <c r="B28" s="12">
        <v>24</v>
      </c>
      <c r="C28" s="12" t="s">
        <v>129</v>
      </c>
      <c r="D28" s="19" t="s">
        <v>290</v>
      </c>
      <c r="E28" s="19" t="s">
        <v>1616</v>
      </c>
      <c r="F28" s="21" t="s">
        <v>1617</v>
      </c>
      <c r="G28" s="19">
        <v>0</v>
      </c>
      <c r="H28" s="12">
        <v>20240809</v>
      </c>
    </row>
    <row r="29" spans="1:8">
      <c r="A29" s="18">
        <v>989.9073</v>
      </c>
      <c r="B29" s="12">
        <v>24</v>
      </c>
      <c r="C29" s="12" t="s">
        <v>129</v>
      </c>
      <c r="D29" s="19" t="s">
        <v>235</v>
      </c>
      <c r="E29" s="19" t="s">
        <v>716</v>
      </c>
      <c r="F29" s="21" t="s">
        <v>1899</v>
      </c>
      <c r="G29" s="19">
        <v>1</v>
      </c>
      <c r="H29" s="12">
        <v>20240809</v>
      </c>
    </row>
    <row r="30" spans="1:8">
      <c r="A30" s="18">
        <v>989.8991</v>
      </c>
      <c r="B30" s="12">
        <v>25</v>
      </c>
      <c r="C30" s="12" t="s">
        <v>129</v>
      </c>
      <c r="D30" s="19" t="s">
        <v>228</v>
      </c>
      <c r="E30" s="19" t="s">
        <v>716</v>
      </c>
      <c r="F30" s="21" t="s">
        <v>1900</v>
      </c>
      <c r="G30" s="19">
        <v>0</v>
      </c>
      <c r="H30" s="12">
        <v>20240809</v>
      </c>
    </row>
    <row r="31" customFormat="1" spans="1:8">
      <c r="A31" s="18">
        <v>989.887</v>
      </c>
      <c r="B31" s="12">
        <v>26</v>
      </c>
      <c r="C31" s="12" t="s">
        <v>129</v>
      </c>
      <c r="D31" s="19" t="s">
        <v>235</v>
      </c>
      <c r="E31" s="19" t="s">
        <v>716</v>
      </c>
      <c r="F31" s="21" t="s">
        <v>1901</v>
      </c>
      <c r="G31" s="19">
        <v>0</v>
      </c>
      <c r="H31" s="12">
        <v>20240809</v>
      </c>
    </row>
    <row r="32" customFormat="1" spans="1:8">
      <c r="A32" s="18">
        <v>989.8738</v>
      </c>
      <c r="B32" s="19">
        <v>28</v>
      </c>
      <c r="C32" s="26" t="s">
        <v>1902</v>
      </c>
      <c r="D32" s="19" t="s">
        <v>1903</v>
      </c>
      <c r="E32" s="19" t="s">
        <v>1888</v>
      </c>
      <c r="F32" s="21" t="s">
        <v>1904</v>
      </c>
      <c r="G32" s="19">
        <v>1</v>
      </c>
      <c r="H32" s="17">
        <v>20240809</v>
      </c>
    </row>
    <row r="33" spans="1:8">
      <c r="A33" s="18">
        <v>989.8687</v>
      </c>
      <c r="B33" s="22">
        <v>29</v>
      </c>
      <c r="C33" s="23" t="s">
        <v>88</v>
      </c>
      <c r="D33" s="23" t="s">
        <v>177</v>
      </c>
      <c r="E33" s="23" t="s">
        <v>89</v>
      </c>
      <c r="F33" s="24" t="s">
        <v>1905</v>
      </c>
      <c r="G33" s="22">
        <v>1</v>
      </c>
      <c r="H33" s="12">
        <v>20240809</v>
      </c>
    </row>
    <row r="34" customFormat="1" spans="1:8">
      <c r="A34" s="18">
        <v>989.8385</v>
      </c>
      <c r="B34" s="12">
        <v>32</v>
      </c>
      <c r="C34" s="12" t="s">
        <v>129</v>
      </c>
      <c r="D34" s="19" t="s">
        <v>228</v>
      </c>
      <c r="E34" s="19" t="s">
        <v>689</v>
      </c>
      <c r="F34" s="21" t="s">
        <v>1906</v>
      </c>
      <c r="G34" s="19">
        <v>0</v>
      </c>
      <c r="H34" s="12">
        <v>20240809</v>
      </c>
    </row>
    <row r="35" spans="1:8">
      <c r="A35" s="18">
        <v>989.8385</v>
      </c>
      <c r="B35" s="19">
        <v>32</v>
      </c>
      <c r="C35" s="26" t="s">
        <v>1902</v>
      </c>
      <c r="D35" s="19" t="s">
        <v>1903</v>
      </c>
      <c r="E35" s="19" t="s">
        <v>1888</v>
      </c>
      <c r="F35" s="21" t="s">
        <v>1907</v>
      </c>
      <c r="G35" s="19">
        <v>1</v>
      </c>
      <c r="H35" s="17">
        <v>20240809</v>
      </c>
    </row>
    <row r="36" customFormat="1" spans="1:8">
      <c r="A36" s="18">
        <v>989.8304</v>
      </c>
      <c r="B36" s="12">
        <v>33</v>
      </c>
      <c r="C36" s="12" t="s">
        <v>129</v>
      </c>
      <c r="D36" s="19" t="s">
        <v>290</v>
      </c>
      <c r="E36" s="19" t="s">
        <v>689</v>
      </c>
      <c r="F36" s="21" t="s">
        <v>1898</v>
      </c>
      <c r="G36" s="19">
        <v>1</v>
      </c>
      <c r="H36" s="12">
        <v>20240809</v>
      </c>
    </row>
    <row r="37" spans="1:8">
      <c r="A37" s="18">
        <v>989.8283</v>
      </c>
      <c r="B37" s="22">
        <v>34</v>
      </c>
      <c r="C37" s="23" t="s">
        <v>88</v>
      </c>
      <c r="D37" s="23" t="s">
        <v>177</v>
      </c>
      <c r="E37" s="23" t="s">
        <v>89</v>
      </c>
      <c r="F37" s="24" t="s">
        <v>1905</v>
      </c>
      <c r="G37" s="22">
        <v>1</v>
      </c>
      <c r="H37" s="12">
        <v>20240809</v>
      </c>
    </row>
    <row r="38" spans="1:8">
      <c r="A38" s="18">
        <v>989.8144</v>
      </c>
      <c r="B38" s="12">
        <v>35</v>
      </c>
      <c r="C38" s="12" t="s">
        <v>129</v>
      </c>
      <c r="D38" s="19" t="s">
        <v>228</v>
      </c>
      <c r="E38" s="19" t="s">
        <v>689</v>
      </c>
      <c r="F38" s="21" t="s">
        <v>1908</v>
      </c>
      <c r="G38" s="19">
        <v>0</v>
      </c>
      <c r="H38" s="12">
        <v>20240809</v>
      </c>
    </row>
    <row r="39" spans="1:8">
      <c r="A39" s="18">
        <v>989.8062</v>
      </c>
      <c r="B39" s="12">
        <v>36</v>
      </c>
      <c r="C39" s="12" t="s">
        <v>129</v>
      </c>
      <c r="D39" s="19" t="s">
        <v>290</v>
      </c>
      <c r="E39" s="19" t="s">
        <v>689</v>
      </c>
      <c r="F39" s="21" t="s">
        <v>1909</v>
      </c>
      <c r="G39" s="19">
        <v>0</v>
      </c>
      <c r="H39" s="12">
        <v>20240809</v>
      </c>
    </row>
    <row r="40" customFormat="1" spans="1:8">
      <c r="A40" s="18">
        <v>989.7981</v>
      </c>
      <c r="B40" s="12">
        <v>37</v>
      </c>
      <c r="C40" s="12" t="s">
        <v>129</v>
      </c>
      <c r="D40" s="19" t="s">
        <v>290</v>
      </c>
      <c r="E40" s="19" t="s">
        <v>1616</v>
      </c>
      <c r="F40" s="21" t="s">
        <v>1910</v>
      </c>
      <c r="G40" s="19">
        <v>1</v>
      </c>
      <c r="H40" s="12">
        <v>20240809</v>
      </c>
    </row>
    <row r="41" spans="1:8">
      <c r="A41" s="18">
        <v>989.8021</v>
      </c>
      <c r="B41" s="19">
        <v>37</v>
      </c>
      <c r="C41" s="26" t="s">
        <v>1902</v>
      </c>
      <c r="D41" s="19" t="s">
        <v>1903</v>
      </c>
      <c r="E41" s="19" t="s">
        <v>1888</v>
      </c>
      <c r="F41" s="21" t="s">
        <v>1911</v>
      </c>
      <c r="G41" s="19">
        <v>1</v>
      </c>
      <c r="H41" s="17">
        <v>20240809</v>
      </c>
    </row>
    <row r="42" customFormat="1" spans="1:8">
      <c r="A42" s="18">
        <v>989.7929</v>
      </c>
      <c r="B42" s="12">
        <v>38</v>
      </c>
      <c r="C42" s="12" t="s">
        <v>129</v>
      </c>
      <c r="D42" s="19" t="s">
        <v>290</v>
      </c>
      <c r="E42" s="19" t="s">
        <v>689</v>
      </c>
      <c r="F42" s="21" t="s">
        <v>1898</v>
      </c>
      <c r="G42" s="19">
        <v>1</v>
      </c>
      <c r="H42" s="12">
        <v>20240809</v>
      </c>
    </row>
    <row r="43" spans="1:8">
      <c r="A43" s="18">
        <v>989.7939</v>
      </c>
      <c r="B43" s="19">
        <v>38</v>
      </c>
      <c r="C43" s="26" t="s">
        <v>1902</v>
      </c>
      <c r="D43" s="19" t="s">
        <v>1903</v>
      </c>
      <c r="E43" s="19" t="s">
        <v>1888</v>
      </c>
      <c r="F43" s="21" t="s">
        <v>1912</v>
      </c>
      <c r="G43" s="19">
        <v>1</v>
      </c>
      <c r="H43" s="17">
        <v>20240809</v>
      </c>
    </row>
    <row r="44" customFormat="1" spans="1:8">
      <c r="A44" s="18">
        <v>989.7852</v>
      </c>
      <c r="B44" s="12">
        <v>39</v>
      </c>
      <c r="C44" s="12" t="s">
        <v>129</v>
      </c>
      <c r="D44" s="19" t="s">
        <v>235</v>
      </c>
      <c r="E44" s="19" t="s">
        <v>716</v>
      </c>
      <c r="F44" s="21" t="s">
        <v>1913</v>
      </c>
      <c r="G44" s="19">
        <v>1</v>
      </c>
      <c r="H44" s="12">
        <v>20240809</v>
      </c>
    </row>
    <row r="45" spans="1:8">
      <c r="A45" s="18">
        <v>989.7859</v>
      </c>
      <c r="B45" s="19">
        <v>39</v>
      </c>
      <c r="C45" s="26" t="s">
        <v>1902</v>
      </c>
      <c r="D45" s="19" t="s">
        <v>1903</v>
      </c>
      <c r="E45" s="20" t="s">
        <v>19</v>
      </c>
      <c r="F45" s="21" t="s">
        <v>1914</v>
      </c>
      <c r="G45" s="19">
        <v>1</v>
      </c>
      <c r="H45" s="17">
        <v>20240809</v>
      </c>
    </row>
    <row r="46" customFormat="1" spans="1:8">
      <c r="A46" s="18">
        <v>989.7767</v>
      </c>
      <c r="B46" s="12">
        <v>40</v>
      </c>
      <c r="C46" s="12" t="s">
        <v>129</v>
      </c>
      <c r="D46" s="19" t="s">
        <v>228</v>
      </c>
      <c r="E46" s="19" t="s">
        <v>689</v>
      </c>
      <c r="F46" s="21" t="s">
        <v>1915</v>
      </c>
      <c r="G46" s="19">
        <v>1</v>
      </c>
      <c r="H46" s="12">
        <v>20240809</v>
      </c>
    </row>
    <row r="47" spans="1:8">
      <c r="A47" s="18">
        <v>989.7767</v>
      </c>
      <c r="B47" s="19">
        <v>40</v>
      </c>
      <c r="C47" s="26" t="s">
        <v>1902</v>
      </c>
      <c r="D47" s="19" t="s">
        <v>1903</v>
      </c>
      <c r="E47" s="19" t="s">
        <v>1888</v>
      </c>
      <c r="F47" s="21" t="s">
        <v>1907</v>
      </c>
      <c r="G47" s="19">
        <v>1</v>
      </c>
      <c r="H47" s="17">
        <v>20240809</v>
      </c>
    </row>
    <row r="48" spans="1:8">
      <c r="A48" s="18">
        <v>989.7687</v>
      </c>
      <c r="B48" s="12">
        <v>41</v>
      </c>
      <c r="C48" s="12" t="s">
        <v>129</v>
      </c>
      <c r="D48" s="19" t="s">
        <v>290</v>
      </c>
      <c r="E48" s="19" t="s">
        <v>689</v>
      </c>
      <c r="F48" s="21" t="s">
        <v>1898</v>
      </c>
      <c r="G48" s="19">
        <v>1</v>
      </c>
      <c r="H48" s="12">
        <v>20240809</v>
      </c>
    </row>
    <row r="49" spans="1:8">
      <c r="A49" s="18">
        <v>989.7606</v>
      </c>
      <c r="B49" s="12">
        <v>42</v>
      </c>
      <c r="C49" s="12" t="s">
        <v>129</v>
      </c>
      <c r="D49" s="19" t="s">
        <v>228</v>
      </c>
      <c r="E49" s="19" t="s">
        <v>716</v>
      </c>
      <c r="F49" s="21" t="s">
        <v>1916</v>
      </c>
      <c r="G49" s="19">
        <v>0</v>
      </c>
      <c r="H49" s="12">
        <v>20240809</v>
      </c>
    </row>
    <row r="50" customFormat="1" spans="1:8">
      <c r="A50" s="18">
        <v>989.7606</v>
      </c>
      <c r="B50" s="12">
        <v>42</v>
      </c>
      <c r="C50" s="12" t="s">
        <v>129</v>
      </c>
      <c r="D50" s="19" t="s">
        <v>290</v>
      </c>
      <c r="E50" s="19" t="s">
        <v>689</v>
      </c>
      <c r="F50" s="21" t="s">
        <v>1917</v>
      </c>
      <c r="G50" s="19">
        <v>1</v>
      </c>
      <c r="H50" s="12">
        <v>20240809</v>
      </c>
    </row>
    <row r="51" spans="1:8">
      <c r="A51" s="18">
        <v>989.7666</v>
      </c>
      <c r="B51" s="22">
        <v>42</v>
      </c>
      <c r="C51" s="23" t="s">
        <v>88</v>
      </c>
      <c r="D51" s="23" t="s">
        <v>177</v>
      </c>
      <c r="E51" s="23" t="s">
        <v>89</v>
      </c>
      <c r="F51" s="24" t="s">
        <v>1905</v>
      </c>
      <c r="G51" s="22">
        <v>1</v>
      </c>
      <c r="H51" s="12">
        <v>20240809</v>
      </c>
    </row>
    <row r="52" customFormat="1" spans="1:8">
      <c r="A52" s="18">
        <v>989.7606</v>
      </c>
      <c r="B52" s="19">
        <v>42</v>
      </c>
      <c r="C52" s="26" t="s">
        <v>1653</v>
      </c>
      <c r="D52" s="19" t="s">
        <v>228</v>
      </c>
      <c r="E52" s="19" t="s">
        <v>716</v>
      </c>
      <c r="F52" s="21" t="s">
        <v>1918</v>
      </c>
      <c r="G52" s="19">
        <v>1</v>
      </c>
      <c r="H52" s="17">
        <v>20240809</v>
      </c>
    </row>
    <row r="53" spans="1:8">
      <c r="A53" s="18">
        <v>989.7606</v>
      </c>
      <c r="B53" s="19">
        <v>42</v>
      </c>
      <c r="C53" s="26" t="s">
        <v>1902</v>
      </c>
      <c r="D53" s="19" t="s">
        <v>1903</v>
      </c>
      <c r="E53" s="19" t="s">
        <v>1888</v>
      </c>
      <c r="F53" s="21" t="s">
        <v>1907</v>
      </c>
      <c r="G53" s="19">
        <v>1</v>
      </c>
      <c r="H53" s="17">
        <v>20240809</v>
      </c>
    </row>
    <row r="54" customFormat="1" spans="1:8">
      <c r="A54" s="18">
        <v>989.7445</v>
      </c>
      <c r="B54" s="12">
        <v>44</v>
      </c>
      <c r="C54" s="12" t="s">
        <v>129</v>
      </c>
      <c r="D54" s="19" t="s">
        <v>228</v>
      </c>
      <c r="E54" s="19" t="s">
        <v>689</v>
      </c>
      <c r="F54" s="21" t="s">
        <v>1919</v>
      </c>
      <c r="G54" s="19">
        <v>1</v>
      </c>
      <c r="H54" s="12">
        <v>20240809</v>
      </c>
    </row>
    <row r="55" customFormat="1" spans="1:8">
      <c r="A55" s="18">
        <v>989.7485</v>
      </c>
      <c r="B55" s="19">
        <v>44</v>
      </c>
      <c r="C55" s="65" t="s">
        <v>25</v>
      </c>
      <c r="D55" s="20" t="s">
        <v>49</v>
      </c>
      <c r="E55" s="20" t="s">
        <v>470</v>
      </c>
      <c r="F55" s="21" t="s">
        <v>1920</v>
      </c>
      <c r="G55" s="19">
        <v>1</v>
      </c>
      <c r="H55" s="17">
        <v>20240809</v>
      </c>
    </row>
    <row r="56" customFormat="1" spans="1:8">
      <c r="A56" s="18">
        <v>989.7425</v>
      </c>
      <c r="B56" s="19">
        <v>45</v>
      </c>
      <c r="C56" s="65" t="s">
        <v>25</v>
      </c>
      <c r="D56" s="20" t="s">
        <v>43</v>
      </c>
      <c r="E56" s="20" t="s">
        <v>470</v>
      </c>
      <c r="F56" s="21" t="s">
        <v>1921</v>
      </c>
      <c r="G56" s="17">
        <v>1</v>
      </c>
      <c r="H56" s="17">
        <v>20240809</v>
      </c>
    </row>
    <row r="57" customFormat="1" spans="1:8">
      <c r="A57" s="18">
        <v>989.7299</v>
      </c>
      <c r="B57" s="12">
        <v>46</v>
      </c>
      <c r="C57" s="12" t="s">
        <v>340</v>
      </c>
      <c r="D57" s="12" t="s">
        <v>341</v>
      </c>
      <c r="E57" s="19" t="s">
        <v>1426</v>
      </c>
      <c r="F57" s="21" t="s">
        <v>1786</v>
      </c>
      <c r="G57" s="19">
        <v>1</v>
      </c>
      <c r="H57" s="12">
        <v>20240809</v>
      </c>
    </row>
    <row r="58" spans="1:8">
      <c r="A58" s="18">
        <v>989.7284</v>
      </c>
      <c r="B58" s="19">
        <v>46</v>
      </c>
      <c r="C58" s="26" t="s">
        <v>1902</v>
      </c>
      <c r="D58" s="19" t="s">
        <v>1903</v>
      </c>
      <c r="E58" s="19" t="s">
        <v>1888</v>
      </c>
      <c r="F58" s="21" t="s">
        <v>1907</v>
      </c>
      <c r="G58" s="19">
        <v>1</v>
      </c>
      <c r="H58" s="17">
        <v>20240809</v>
      </c>
    </row>
    <row r="59" customFormat="1" spans="1:8">
      <c r="A59" s="18">
        <v>989.7041</v>
      </c>
      <c r="B59" s="12">
        <v>49</v>
      </c>
      <c r="C59" s="12" t="s">
        <v>129</v>
      </c>
      <c r="D59" s="19" t="s">
        <v>290</v>
      </c>
      <c r="E59" s="19" t="s">
        <v>1616</v>
      </c>
      <c r="F59" s="21" t="s">
        <v>1617</v>
      </c>
      <c r="G59" s="19">
        <v>0</v>
      </c>
      <c r="H59" s="12">
        <v>20240809</v>
      </c>
    </row>
    <row r="60" spans="1:8">
      <c r="A60" s="18">
        <v>989.7081</v>
      </c>
      <c r="B60" s="19">
        <v>49</v>
      </c>
      <c r="C60" s="26" t="s">
        <v>1902</v>
      </c>
      <c r="D60" s="19" t="s">
        <v>1903</v>
      </c>
      <c r="E60" s="19" t="s">
        <v>1888</v>
      </c>
      <c r="F60" s="21" t="s">
        <v>1922</v>
      </c>
      <c r="G60" s="19">
        <v>1</v>
      </c>
      <c r="H60" s="17">
        <v>20240809</v>
      </c>
    </row>
    <row r="61" spans="1:8">
      <c r="A61" s="18">
        <v>989.6961</v>
      </c>
      <c r="B61" s="12">
        <v>50</v>
      </c>
      <c r="C61" s="12" t="s">
        <v>129</v>
      </c>
      <c r="D61" s="19" t="s">
        <v>290</v>
      </c>
      <c r="E61" s="19" t="s">
        <v>689</v>
      </c>
      <c r="F61" s="21" t="s">
        <v>1898</v>
      </c>
      <c r="G61" s="19">
        <v>1</v>
      </c>
      <c r="H61" s="12">
        <v>20240809</v>
      </c>
    </row>
    <row r="62" customFormat="1" spans="1:8">
      <c r="A62" s="18">
        <v>989.688</v>
      </c>
      <c r="B62" s="12">
        <v>51</v>
      </c>
      <c r="C62" s="12" t="s">
        <v>129</v>
      </c>
      <c r="D62" s="19" t="s">
        <v>228</v>
      </c>
      <c r="E62" s="19" t="s">
        <v>689</v>
      </c>
      <c r="F62" s="21" t="s">
        <v>1923</v>
      </c>
      <c r="G62" s="19">
        <v>0</v>
      </c>
      <c r="H62" s="12">
        <v>20240809</v>
      </c>
    </row>
    <row r="63" customFormat="1" spans="1:8">
      <c r="A63" s="18">
        <v>989.695</v>
      </c>
      <c r="B63" s="19">
        <v>51</v>
      </c>
      <c r="C63" s="26" t="s">
        <v>1902</v>
      </c>
      <c r="D63" s="19" t="s">
        <v>1903</v>
      </c>
      <c r="E63" s="19" t="s">
        <v>1888</v>
      </c>
      <c r="F63" s="21" t="s">
        <v>1924</v>
      </c>
      <c r="G63" s="19">
        <v>1</v>
      </c>
      <c r="H63" s="17">
        <v>20240809</v>
      </c>
    </row>
    <row r="64" customFormat="1" ht="38.25" spans="1:8">
      <c r="A64" s="18">
        <v>989.691</v>
      </c>
      <c r="B64" s="19">
        <v>51</v>
      </c>
      <c r="C64" s="65" t="s">
        <v>878</v>
      </c>
      <c r="D64" s="20" t="s">
        <v>177</v>
      </c>
      <c r="E64" s="142" t="s">
        <v>29</v>
      </c>
      <c r="F64" s="107" t="s">
        <v>1925</v>
      </c>
      <c r="G64" s="37">
        <v>1</v>
      </c>
      <c r="H64" s="17">
        <v>20240809</v>
      </c>
    </row>
    <row r="65" spans="1:8">
      <c r="A65" s="18">
        <v>989.6829</v>
      </c>
      <c r="B65" s="12">
        <v>52</v>
      </c>
      <c r="C65" s="12" t="s">
        <v>340</v>
      </c>
      <c r="D65" s="12" t="s">
        <v>341</v>
      </c>
      <c r="E65" s="19" t="s">
        <v>1426</v>
      </c>
      <c r="F65" s="21" t="s">
        <v>1926</v>
      </c>
      <c r="G65" s="19">
        <v>1</v>
      </c>
      <c r="H65" s="12">
        <v>20240809</v>
      </c>
    </row>
    <row r="66" spans="1:8">
      <c r="A66" s="18">
        <v>989.6799</v>
      </c>
      <c r="B66" s="12">
        <v>52</v>
      </c>
      <c r="C66" s="12" t="s">
        <v>129</v>
      </c>
      <c r="D66" s="19" t="s">
        <v>228</v>
      </c>
      <c r="E66" s="19" t="s">
        <v>689</v>
      </c>
      <c r="F66" s="21" t="s">
        <v>1927</v>
      </c>
      <c r="G66" s="19">
        <v>1</v>
      </c>
      <c r="H66" s="12">
        <v>20240809</v>
      </c>
    </row>
    <row r="67" spans="1:8">
      <c r="A67" s="18">
        <v>989.6476</v>
      </c>
      <c r="B67" s="12">
        <v>56</v>
      </c>
      <c r="C67" s="12" t="s">
        <v>129</v>
      </c>
      <c r="D67" s="19" t="s">
        <v>235</v>
      </c>
      <c r="E67" s="19" t="s">
        <v>716</v>
      </c>
      <c r="F67" s="21" t="s">
        <v>1928</v>
      </c>
      <c r="G67" s="19">
        <v>1</v>
      </c>
      <c r="H67" s="12">
        <v>20240809</v>
      </c>
    </row>
    <row r="68" spans="1:8">
      <c r="A68" s="18">
        <v>989.6476</v>
      </c>
      <c r="B68" s="12">
        <v>56</v>
      </c>
      <c r="C68" s="12" t="s">
        <v>129</v>
      </c>
      <c r="D68" s="19" t="s">
        <v>228</v>
      </c>
      <c r="E68" s="19" t="s">
        <v>997</v>
      </c>
      <c r="F68" s="21" t="s">
        <v>1929</v>
      </c>
      <c r="G68" s="19">
        <v>1</v>
      </c>
      <c r="H68" s="12">
        <v>20240809</v>
      </c>
    </row>
    <row r="69" spans="1:8">
      <c r="A69" s="18">
        <v>989.6313</v>
      </c>
      <c r="B69" s="12">
        <v>58</v>
      </c>
      <c r="C69" s="12" t="s">
        <v>129</v>
      </c>
      <c r="D69" s="19" t="s">
        <v>290</v>
      </c>
      <c r="E69" s="19" t="s">
        <v>689</v>
      </c>
      <c r="F69" s="21" t="s">
        <v>1930</v>
      </c>
      <c r="G69" s="19">
        <v>1</v>
      </c>
      <c r="H69" s="12">
        <v>20240809</v>
      </c>
    </row>
    <row r="70" spans="1:8">
      <c r="A70" s="18">
        <v>989.6234</v>
      </c>
      <c r="B70" s="12">
        <v>59</v>
      </c>
      <c r="C70" s="12" t="s">
        <v>129</v>
      </c>
      <c r="D70" s="19" t="s">
        <v>228</v>
      </c>
      <c r="E70" s="19" t="s">
        <v>689</v>
      </c>
      <c r="F70" s="21" t="s">
        <v>1931</v>
      </c>
      <c r="G70" s="19">
        <v>1</v>
      </c>
      <c r="H70" s="12">
        <v>20240809</v>
      </c>
    </row>
    <row r="71" customFormat="1" spans="1:8">
      <c r="A71" s="18">
        <v>989.6153</v>
      </c>
      <c r="B71" s="12">
        <v>60</v>
      </c>
      <c r="C71" s="12" t="s">
        <v>129</v>
      </c>
      <c r="D71" s="19" t="s">
        <v>228</v>
      </c>
      <c r="E71" s="19" t="s">
        <v>689</v>
      </c>
      <c r="F71" s="21" t="s">
        <v>1915</v>
      </c>
      <c r="G71" s="19">
        <v>1</v>
      </c>
      <c r="H71" s="12">
        <v>20240809</v>
      </c>
    </row>
    <row r="72" spans="1:8">
      <c r="A72" s="18">
        <v>989.6073</v>
      </c>
      <c r="B72" s="22">
        <v>61</v>
      </c>
      <c r="C72" s="23" t="s">
        <v>88</v>
      </c>
      <c r="D72" s="23" t="s">
        <v>177</v>
      </c>
      <c r="E72" s="23" t="s">
        <v>89</v>
      </c>
      <c r="F72" s="24" t="s">
        <v>1791</v>
      </c>
      <c r="G72" s="22">
        <v>1</v>
      </c>
      <c r="H72" s="12">
        <v>20240809</v>
      </c>
    </row>
    <row r="73" customFormat="1" spans="1:8">
      <c r="A73" s="18">
        <v>989.5913</v>
      </c>
      <c r="B73" s="12">
        <v>63</v>
      </c>
      <c r="C73" s="12" t="s">
        <v>129</v>
      </c>
      <c r="D73" s="19" t="s">
        <v>228</v>
      </c>
      <c r="E73" s="19" t="s">
        <v>997</v>
      </c>
      <c r="F73" s="21" t="s">
        <v>1932</v>
      </c>
      <c r="G73" s="19">
        <v>1</v>
      </c>
      <c r="H73" s="12">
        <v>20240809</v>
      </c>
    </row>
    <row r="74" customFormat="1" spans="1:8">
      <c r="A74" s="18">
        <v>989.5943</v>
      </c>
      <c r="B74" s="19">
        <v>63</v>
      </c>
      <c r="C74" s="26" t="s">
        <v>1902</v>
      </c>
      <c r="D74" s="19" t="s">
        <v>1903</v>
      </c>
      <c r="E74" s="19" t="s">
        <v>1888</v>
      </c>
      <c r="F74" s="21" t="s">
        <v>1933</v>
      </c>
      <c r="G74" s="19">
        <v>1</v>
      </c>
      <c r="H74" s="17">
        <v>20240809</v>
      </c>
    </row>
    <row r="75" customFormat="1" spans="1:8">
      <c r="A75" s="18">
        <v>989.5963</v>
      </c>
      <c r="B75" s="19">
        <v>63</v>
      </c>
      <c r="C75" s="26" t="s">
        <v>1902</v>
      </c>
      <c r="D75" s="19" t="s">
        <v>1903</v>
      </c>
      <c r="E75" s="19" t="s">
        <v>1888</v>
      </c>
      <c r="F75" s="21" t="s">
        <v>1934</v>
      </c>
      <c r="G75" s="19">
        <v>1</v>
      </c>
      <c r="H75" s="17">
        <v>20240809</v>
      </c>
    </row>
    <row r="76" spans="1:8">
      <c r="A76" s="18">
        <v>989.5983</v>
      </c>
      <c r="B76" s="19">
        <v>63</v>
      </c>
      <c r="C76" s="26" t="s">
        <v>1902</v>
      </c>
      <c r="D76" s="19" t="s">
        <v>1903</v>
      </c>
      <c r="E76" s="19" t="s">
        <v>1935</v>
      </c>
      <c r="F76" s="21" t="s">
        <v>1936</v>
      </c>
      <c r="G76" s="19">
        <v>1</v>
      </c>
      <c r="H76" s="17">
        <v>20240809</v>
      </c>
    </row>
    <row r="77" customFormat="1" spans="1:8">
      <c r="A77" s="18">
        <v>989.5833</v>
      </c>
      <c r="B77" s="12">
        <v>64</v>
      </c>
      <c r="C77" s="12" t="s">
        <v>129</v>
      </c>
      <c r="D77" s="19" t="s">
        <v>228</v>
      </c>
      <c r="E77" s="19" t="s">
        <v>997</v>
      </c>
      <c r="F77" s="21" t="s">
        <v>1937</v>
      </c>
      <c r="G77" s="19">
        <v>0</v>
      </c>
      <c r="H77" s="12">
        <v>20240809</v>
      </c>
    </row>
    <row r="78" customFormat="1" spans="1:8">
      <c r="A78" s="18">
        <v>989.5903</v>
      </c>
      <c r="B78" s="12">
        <v>64</v>
      </c>
      <c r="C78" s="12" t="s">
        <v>340</v>
      </c>
      <c r="D78" s="12" t="s">
        <v>341</v>
      </c>
      <c r="E78" s="19" t="s">
        <v>1426</v>
      </c>
      <c r="F78" s="21" t="s">
        <v>1938</v>
      </c>
      <c r="G78" s="19">
        <v>1</v>
      </c>
      <c r="H78" s="12">
        <v>20240809</v>
      </c>
    </row>
    <row r="79" customFormat="1" spans="1:8">
      <c r="A79" s="18">
        <v>989.5806</v>
      </c>
      <c r="B79" s="12">
        <v>65</v>
      </c>
      <c r="C79" s="12" t="s">
        <v>340</v>
      </c>
      <c r="D79" s="12" t="s">
        <v>341</v>
      </c>
      <c r="E79" s="19" t="s">
        <v>1888</v>
      </c>
      <c r="F79" s="21" t="s">
        <v>1893</v>
      </c>
      <c r="G79" s="19">
        <v>1</v>
      </c>
      <c r="H79" s="12">
        <v>20240809</v>
      </c>
    </row>
    <row r="80" customFormat="1" spans="1:8">
      <c r="A80" s="18">
        <v>989.572</v>
      </c>
      <c r="B80" s="19">
        <v>66</v>
      </c>
      <c r="C80" s="26" t="s">
        <v>1902</v>
      </c>
      <c r="D80" s="19" t="s">
        <v>1903</v>
      </c>
      <c r="E80" s="19" t="s">
        <v>1888</v>
      </c>
      <c r="F80" s="21" t="s">
        <v>1934</v>
      </c>
      <c r="G80" s="19">
        <v>1</v>
      </c>
      <c r="H80" s="17">
        <v>20240809</v>
      </c>
    </row>
    <row r="81" customFormat="1" spans="1:8">
      <c r="A81" s="18">
        <v>989.543</v>
      </c>
      <c r="B81" s="22">
        <v>70</v>
      </c>
      <c r="C81" s="23" t="s">
        <v>88</v>
      </c>
      <c r="D81" s="23" t="s">
        <v>177</v>
      </c>
      <c r="E81" s="23" t="s">
        <v>89</v>
      </c>
      <c r="F81" s="24" t="s">
        <v>1939</v>
      </c>
      <c r="G81" s="22">
        <v>1</v>
      </c>
      <c r="H81" s="12">
        <v>20240809</v>
      </c>
    </row>
    <row r="82" customFormat="1" ht="27" spans="1:8">
      <c r="A82" s="141">
        <v>990.082</v>
      </c>
      <c r="B82" s="15" t="s">
        <v>94</v>
      </c>
      <c r="C82" s="22" t="s">
        <v>170</v>
      </c>
      <c r="D82" s="22" t="s">
        <v>170</v>
      </c>
      <c r="E82" s="22" t="s">
        <v>172</v>
      </c>
      <c r="F82" s="31" t="s">
        <v>222</v>
      </c>
      <c r="G82" s="22">
        <v>1</v>
      </c>
      <c r="H82" s="15">
        <v>20240809</v>
      </c>
    </row>
    <row r="83" customFormat="1" ht="27" spans="1:8">
      <c r="A83" s="141">
        <v>990.008</v>
      </c>
      <c r="B83" s="15" t="s">
        <v>99</v>
      </c>
      <c r="C83" s="22" t="s">
        <v>170</v>
      </c>
      <c r="D83" s="22" t="s">
        <v>170</v>
      </c>
      <c r="E83" s="22" t="s">
        <v>172</v>
      </c>
      <c r="F83" s="31" t="s">
        <v>222</v>
      </c>
      <c r="G83" s="22">
        <v>1</v>
      </c>
      <c r="H83" s="15">
        <v>20240809</v>
      </c>
    </row>
    <row r="84" customFormat="1" ht="27" spans="1:8">
      <c r="A84" s="141">
        <v>989.927</v>
      </c>
      <c r="B84" s="15" t="s">
        <v>100</v>
      </c>
      <c r="C84" s="22" t="s">
        <v>170</v>
      </c>
      <c r="D84" s="22" t="s">
        <v>170</v>
      </c>
      <c r="E84" s="22" t="s">
        <v>172</v>
      </c>
      <c r="F84" s="31" t="s">
        <v>222</v>
      </c>
      <c r="G84" s="22">
        <v>1</v>
      </c>
      <c r="H84" s="15">
        <v>20240809</v>
      </c>
    </row>
    <row r="85" customFormat="1" ht="27" spans="1:8">
      <c r="A85" s="141">
        <v>989.847</v>
      </c>
      <c r="B85" s="15" t="s">
        <v>101</v>
      </c>
      <c r="C85" s="22" t="s">
        <v>170</v>
      </c>
      <c r="D85" s="22" t="s">
        <v>170</v>
      </c>
      <c r="E85" s="22" t="s">
        <v>172</v>
      </c>
      <c r="F85" s="31" t="s">
        <v>222</v>
      </c>
      <c r="G85" s="22">
        <v>1</v>
      </c>
      <c r="H85" s="15">
        <v>20240809</v>
      </c>
    </row>
    <row r="86" customFormat="1" ht="27" spans="1:8">
      <c r="A86" s="141">
        <v>989.769</v>
      </c>
      <c r="B86" s="15" t="s">
        <v>102</v>
      </c>
      <c r="C86" s="22" t="s">
        <v>170</v>
      </c>
      <c r="D86" s="22" t="s">
        <v>170</v>
      </c>
      <c r="E86" s="22" t="s">
        <v>172</v>
      </c>
      <c r="F86" s="31" t="s">
        <v>222</v>
      </c>
      <c r="G86" s="22">
        <v>1</v>
      </c>
      <c r="H86" s="15">
        <v>20240809</v>
      </c>
    </row>
    <row r="87" customFormat="1" ht="27" spans="1:8">
      <c r="A87" s="141">
        <v>989.688</v>
      </c>
      <c r="B87" s="15" t="s">
        <v>103</v>
      </c>
      <c r="C87" s="22" t="s">
        <v>170</v>
      </c>
      <c r="D87" s="22" t="s">
        <v>170</v>
      </c>
      <c r="E87" s="22" t="s">
        <v>172</v>
      </c>
      <c r="F87" s="31" t="s">
        <v>222</v>
      </c>
      <c r="G87" s="22">
        <v>1</v>
      </c>
      <c r="H87" s="15">
        <v>20240809</v>
      </c>
    </row>
    <row r="88" customFormat="1" ht="27" spans="1:8">
      <c r="A88" s="141">
        <v>989.607</v>
      </c>
      <c r="B88" s="15" t="s">
        <v>223</v>
      </c>
      <c r="C88" s="22" t="s">
        <v>170</v>
      </c>
      <c r="D88" s="22" t="s">
        <v>170</v>
      </c>
      <c r="E88" s="22" t="s">
        <v>172</v>
      </c>
      <c r="F88" s="31" t="s">
        <v>222</v>
      </c>
      <c r="G88" s="22">
        <v>1</v>
      </c>
      <c r="H88" s="15">
        <v>20240809</v>
      </c>
    </row>
    <row r="89" spans="1:8">
      <c r="A89"/>
      <c r="B89" s="23" t="s">
        <v>92</v>
      </c>
      <c r="C89" s="23" t="s">
        <v>219</v>
      </c>
      <c r="D89" s="23" t="s">
        <v>219</v>
      </c>
      <c r="E89" s="23" t="s">
        <v>91</v>
      </c>
      <c r="F89" s="24" t="s">
        <v>1229</v>
      </c>
      <c r="G89" s="22">
        <v>0</v>
      </c>
      <c r="H89" s="12">
        <v>20240809</v>
      </c>
    </row>
  </sheetData>
  <autoFilter xmlns:etc="http://www.wps.cn/officeDocument/2017/etCustomData" ref="A1:H89" etc:filterBottomFollowUsedRange="0">
    <extLst/>
  </autoFilter>
  <sortState ref="A2:H89">
    <sortCondition ref="B2:B89"/>
  </sortState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69"/>
  <sheetViews>
    <sheetView topLeftCell="A45" workbookViewId="0">
      <selection activeCell="J56" sqref="J56"/>
    </sheetView>
  </sheetViews>
  <sheetFormatPr defaultColWidth="9" defaultRowHeight="14.25" outlineLevelCol="7"/>
  <cols>
    <col min="2" max="5" width="9" style="4"/>
    <col min="6" max="6" width="72.375" customWidth="1"/>
    <col min="7" max="7" width="9" style="4"/>
    <col min="8" max="8" width="9.5" style="4" customWidth="1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ht="15" spans="1:8">
      <c r="A2" s="18">
        <v>996.242</v>
      </c>
      <c r="B2" s="12">
        <v>0</v>
      </c>
      <c r="C2" s="12" t="s">
        <v>542</v>
      </c>
      <c r="D2" s="28" t="s">
        <v>1072</v>
      </c>
      <c r="E2" s="20" t="s">
        <v>1940</v>
      </c>
      <c r="F2" s="21" t="s">
        <v>1941</v>
      </c>
      <c r="G2" s="19">
        <v>2</v>
      </c>
      <c r="H2" s="12" t="s">
        <v>1942</v>
      </c>
    </row>
    <row r="3" ht="15" spans="1:8">
      <c r="A3" s="18">
        <v>996.697</v>
      </c>
      <c r="B3" s="12">
        <v>0</v>
      </c>
      <c r="C3" s="12" t="s">
        <v>542</v>
      </c>
      <c r="D3" s="28" t="s">
        <v>105</v>
      </c>
      <c r="E3" s="19" t="s">
        <v>1943</v>
      </c>
      <c r="F3" s="21" t="s">
        <v>1944</v>
      </c>
      <c r="G3" s="19">
        <v>0</v>
      </c>
      <c r="H3" s="12" t="s">
        <v>1942</v>
      </c>
    </row>
    <row r="4" ht="15" spans="1:8">
      <c r="A4" s="18">
        <v>996.247</v>
      </c>
      <c r="B4" s="12">
        <v>1</v>
      </c>
      <c r="C4" s="12" t="s">
        <v>129</v>
      </c>
      <c r="D4" s="12" t="s">
        <v>179</v>
      </c>
      <c r="E4" s="19" t="s">
        <v>716</v>
      </c>
      <c r="F4" s="21" t="s">
        <v>1945</v>
      </c>
      <c r="G4" s="19">
        <v>1</v>
      </c>
      <c r="H4" s="12" t="s">
        <v>1942</v>
      </c>
    </row>
    <row r="5" ht="15" spans="1:8">
      <c r="A5" s="18">
        <v>996.2495</v>
      </c>
      <c r="B5" s="12">
        <v>1</v>
      </c>
      <c r="C5" s="12" t="s">
        <v>129</v>
      </c>
      <c r="D5" s="19" t="s">
        <v>235</v>
      </c>
      <c r="E5" s="19" t="s">
        <v>997</v>
      </c>
      <c r="F5" s="21" t="s">
        <v>1946</v>
      </c>
      <c r="G5" s="19">
        <v>1</v>
      </c>
      <c r="H5" s="12" t="s">
        <v>1942</v>
      </c>
    </row>
    <row r="6" ht="15" spans="1:8">
      <c r="A6" s="18">
        <v>996.247</v>
      </c>
      <c r="B6" s="111">
        <v>1</v>
      </c>
      <c r="C6" s="25" t="s">
        <v>247</v>
      </c>
      <c r="D6" s="25" t="s">
        <v>242</v>
      </c>
      <c r="E6" s="25" t="s">
        <v>248</v>
      </c>
      <c r="F6" s="118" t="s">
        <v>1947</v>
      </c>
      <c r="G6" s="122">
        <v>1</v>
      </c>
      <c r="H6" s="12" t="s">
        <v>1942</v>
      </c>
    </row>
    <row r="7" ht="15" spans="1:8">
      <c r="A7" s="18">
        <v>996.247</v>
      </c>
      <c r="B7" s="135">
        <v>1</v>
      </c>
      <c r="C7" s="29" t="s">
        <v>238</v>
      </c>
      <c r="D7" s="19" t="s">
        <v>235</v>
      </c>
      <c r="E7" s="19" t="s">
        <v>1030</v>
      </c>
      <c r="F7" s="21" t="s">
        <v>1948</v>
      </c>
      <c r="G7" s="19">
        <v>1</v>
      </c>
      <c r="H7" s="12" t="s">
        <v>1942</v>
      </c>
    </row>
    <row r="8" ht="15" spans="1:8">
      <c r="A8" s="18">
        <v>996.2518</v>
      </c>
      <c r="B8" s="100">
        <v>2</v>
      </c>
      <c r="C8" s="26" t="s">
        <v>1949</v>
      </c>
      <c r="D8" s="19" t="s">
        <v>1950</v>
      </c>
      <c r="E8" s="136" t="s">
        <v>894</v>
      </c>
      <c r="F8" s="118" t="s">
        <v>1951</v>
      </c>
      <c r="G8" s="17">
        <v>1</v>
      </c>
      <c r="H8" s="12" t="s">
        <v>1942</v>
      </c>
    </row>
    <row r="9" ht="15" spans="1:8">
      <c r="A9" s="112">
        <v>996.255</v>
      </c>
      <c r="B9" s="137">
        <v>2</v>
      </c>
      <c r="C9" s="124" t="s">
        <v>129</v>
      </c>
      <c r="D9" s="126" t="s">
        <v>231</v>
      </c>
      <c r="E9" s="126" t="s">
        <v>716</v>
      </c>
      <c r="F9" s="127" t="s">
        <v>1952</v>
      </c>
      <c r="G9" s="138">
        <v>1</v>
      </c>
      <c r="H9" s="128">
        <v>20250801</v>
      </c>
    </row>
    <row r="10" ht="15" spans="1:8">
      <c r="A10" s="112">
        <v>996.256</v>
      </c>
      <c r="B10" s="137">
        <v>2</v>
      </c>
      <c r="C10" s="131" t="s">
        <v>247</v>
      </c>
      <c r="D10" s="126" t="s">
        <v>231</v>
      </c>
      <c r="E10" s="126" t="s">
        <v>716</v>
      </c>
      <c r="F10" s="129" t="s">
        <v>1953</v>
      </c>
      <c r="G10" s="138">
        <v>1</v>
      </c>
      <c r="H10" s="128">
        <v>20250801</v>
      </c>
    </row>
    <row r="11" ht="15" spans="1:8">
      <c r="A11" s="18">
        <v>996.256</v>
      </c>
      <c r="B11" s="139">
        <v>2</v>
      </c>
      <c r="C11" s="131" t="s">
        <v>247</v>
      </c>
      <c r="D11" s="131" t="s">
        <v>242</v>
      </c>
      <c r="E11" s="131" t="s">
        <v>248</v>
      </c>
      <c r="F11" s="116" t="s">
        <v>1954</v>
      </c>
      <c r="G11" s="132">
        <v>1</v>
      </c>
      <c r="H11" s="12" t="s">
        <v>1942</v>
      </c>
    </row>
    <row r="12" ht="15" spans="1:8">
      <c r="A12" s="18">
        <v>996.2766</v>
      </c>
      <c r="B12" s="12">
        <v>4</v>
      </c>
      <c r="C12" s="12" t="s">
        <v>129</v>
      </c>
      <c r="D12" s="12" t="s">
        <v>179</v>
      </c>
      <c r="E12" s="19" t="s">
        <v>716</v>
      </c>
      <c r="F12" s="21" t="s">
        <v>1955</v>
      </c>
      <c r="G12" s="19">
        <v>1</v>
      </c>
      <c r="H12" s="12" t="s">
        <v>1942</v>
      </c>
    </row>
    <row r="13" ht="15" spans="1:8">
      <c r="A13" s="18">
        <v>996.2771</v>
      </c>
      <c r="B13" s="12">
        <v>4</v>
      </c>
      <c r="C13" s="12" t="s">
        <v>129</v>
      </c>
      <c r="D13" s="19" t="s">
        <v>231</v>
      </c>
      <c r="E13" s="19" t="s">
        <v>997</v>
      </c>
      <c r="F13" s="21" t="s">
        <v>1956</v>
      </c>
      <c r="G13" s="19">
        <v>1</v>
      </c>
      <c r="H13" s="12" t="s">
        <v>1942</v>
      </c>
    </row>
    <row r="14" ht="15" spans="1:8">
      <c r="A14" s="18">
        <v>996.2796</v>
      </c>
      <c r="B14" s="12">
        <v>4</v>
      </c>
      <c r="C14" s="12" t="s">
        <v>129</v>
      </c>
      <c r="D14" s="19" t="s">
        <v>272</v>
      </c>
      <c r="E14" s="19" t="s">
        <v>716</v>
      </c>
      <c r="F14" s="21" t="s">
        <v>1957</v>
      </c>
      <c r="G14" s="19">
        <v>0</v>
      </c>
      <c r="H14" s="12" t="s">
        <v>1942</v>
      </c>
    </row>
    <row r="15" ht="15" customHeight="1" spans="1:8">
      <c r="A15" s="18">
        <v>996.2766</v>
      </c>
      <c r="B15" s="111">
        <v>4</v>
      </c>
      <c r="C15" s="25" t="s">
        <v>247</v>
      </c>
      <c r="D15" s="25" t="s">
        <v>242</v>
      </c>
      <c r="E15" s="25" t="s">
        <v>248</v>
      </c>
      <c r="F15" s="118" t="s">
        <v>1958</v>
      </c>
      <c r="G15" s="122">
        <v>0</v>
      </c>
      <c r="H15" s="12" t="s">
        <v>1942</v>
      </c>
    </row>
    <row r="16" ht="15" spans="1:8">
      <c r="A16" s="18">
        <v>996.2868</v>
      </c>
      <c r="B16" s="12">
        <v>5</v>
      </c>
      <c r="C16" s="12" t="s">
        <v>129</v>
      </c>
      <c r="D16" s="19" t="s">
        <v>231</v>
      </c>
      <c r="E16" s="19" t="s">
        <v>716</v>
      </c>
      <c r="F16" s="21" t="s">
        <v>1959</v>
      </c>
      <c r="G16" s="19">
        <v>0</v>
      </c>
      <c r="H16" s="12" t="s">
        <v>1942</v>
      </c>
    </row>
    <row r="17" ht="15" spans="1:8">
      <c r="A17" s="18">
        <v>996.2963</v>
      </c>
      <c r="B17" s="12">
        <v>6</v>
      </c>
      <c r="C17" s="12" t="s">
        <v>129</v>
      </c>
      <c r="D17" s="19" t="s">
        <v>272</v>
      </c>
      <c r="E17" s="19" t="s">
        <v>716</v>
      </c>
      <c r="F17" s="21" t="s">
        <v>1960</v>
      </c>
      <c r="G17" s="19">
        <v>0</v>
      </c>
      <c r="H17" s="12" t="s">
        <v>1942</v>
      </c>
    </row>
    <row r="18" ht="15" spans="1:8">
      <c r="A18" s="18">
        <v>996.2923</v>
      </c>
      <c r="B18" s="12">
        <v>6</v>
      </c>
      <c r="C18" s="12" t="s">
        <v>129</v>
      </c>
      <c r="D18" s="19" t="s">
        <v>290</v>
      </c>
      <c r="E18" s="19" t="s">
        <v>511</v>
      </c>
      <c r="F18" s="21" t="s">
        <v>1961</v>
      </c>
      <c r="G18" s="19">
        <v>1</v>
      </c>
      <c r="H18" s="12" t="s">
        <v>1942</v>
      </c>
    </row>
    <row r="19" ht="15" spans="1:8">
      <c r="A19" s="112">
        <v>996.306</v>
      </c>
      <c r="B19" s="124">
        <v>7</v>
      </c>
      <c r="C19" s="124" t="s">
        <v>129</v>
      </c>
      <c r="D19" s="126" t="s">
        <v>231</v>
      </c>
      <c r="E19" s="126" t="s">
        <v>716</v>
      </c>
      <c r="F19" s="129" t="s">
        <v>462</v>
      </c>
      <c r="G19" s="126">
        <v>1</v>
      </c>
      <c r="H19" s="128">
        <v>20250801</v>
      </c>
    </row>
    <row r="20" ht="15" spans="1:8">
      <c r="A20" s="112">
        <v>996.309</v>
      </c>
      <c r="B20" s="124">
        <v>7</v>
      </c>
      <c r="C20" s="124" t="s">
        <v>129</v>
      </c>
      <c r="D20" s="126" t="s">
        <v>231</v>
      </c>
      <c r="E20" s="126" t="s">
        <v>716</v>
      </c>
      <c r="F20" s="129" t="s">
        <v>1962</v>
      </c>
      <c r="G20" s="126">
        <v>1</v>
      </c>
      <c r="H20" s="128">
        <v>20250801</v>
      </c>
    </row>
    <row r="21" ht="15" spans="1:8">
      <c r="A21" s="18">
        <v>996.3087</v>
      </c>
      <c r="B21" s="124">
        <v>7</v>
      </c>
      <c r="C21" s="124" t="s">
        <v>129</v>
      </c>
      <c r="D21" s="126" t="s">
        <v>290</v>
      </c>
      <c r="E21" s="125" t="s">
        <v>885</v>
      </c>
      <c r="F21" s="129" t="s">
        <v>1963</v>
      </c>
      <c r="G21" s="126">
        <v>1</v>
      </c>
      <c r="H21" s="12" t="s">
        <v>1942</v>
      </c>
    </row>
    <row r="22" ht="15" spans="1:8">
      <c r="A22" s="18">
        <v>996.3264</v>
      </c>
      <c r="B22" s="12">
        <v>9</v>
      </c>
      <c r="C22" s="12" t="s">
        <v>129</v>
      </c>
      <c r="D22" s="19" t="s">
        <v>231</v>
      </c>
      <c r="E22" s="19" t="s">
        <v>716</v>
      </c>
      <c r="F22" s="21" t="s">
        <v>1964</v>
      </c>
      <c r="G22" s="19">
        <v>1</v>
      </c>
      <c r="H22" s="12" t="s">
        <v>1942</v>
      </c>
    </row>
    <row r="23" ht="15" spans="1:8">
      <c r="A23" s="18">
        <v>996.3264</v>
      </c>
      <c r="B23" s="12">
        <v>9</v>
      </c>
      <c r="C23" s="12" t="s">
        <v>129</v>
      </c>
      <c r="D23" s="19" t="s">
        <v>272</v>
      </c>
      <c r="E23" s="19" t="s">
        <v>716</v>
      </c>
      <c r="F23" s="21" t="s">
        <v>1965</v>
      </c>
      <c r="G23" s="19">
        <v>0</v>
      </c>
      <c r="H23" s="12" t="s">
        <v>1942</v>
      </c>
    </row>
    <row r="24" ht="15" spans="1:8">
      <c r="A24" s="112">
        <v>996.351</v>
      </c>
      <c r="B24" s="124">
        <v>11</v>
      </c>
      <c r="C24" s="124" t="s">
        <v>129</v>
      </c>
      <c r="D24" s="126" t="s">
        <v>290</v>
      </c>
      <c r="E24" s="126" t="s">
        <v>467</v>
      </c>
      <c r="F24" s="127" t="s">
        <v>1966</v>
      </c>
      <c r="G24" s="131">
        <v>1</v>
      </c>
      <c r="H24" s="128">
        <v>20250801</v>
      </c>
    </row>
    <row r="25" ht="15.75" spans="1:8">
      <c r="A25" s="18">
        <v>996.3442</v>
      </c>
      <c r="B25" s="12">
        <v>11</v>
      </c>
      <c r="C25" s="29" t="s">
        <v>238</v>
      </c>
      <c r="D25" s="12" t="s">
        <v>179</v>
      </c>
      <c r="E25" s="25" t="s">
        <v>445</v>
      </c>
      <c r="F25" s="66" t="s">
        <v>1967</v>
      </c>
      <c r="G25" s="25">
        <v>1</v>
      </c>
      <c r="H25" s="12" t="s">
        <v>1942</v>
      </c>
    </row>
    <row r="26" ht="15" spans="1:8">
      <c r="A26" s="18">
        <v>996.3624</v>
      </c>
      <c r="B26" s="12">
        <v>12</v>
      </c>
      <c r="C26" s="12" t="s">
        <v>129</v>
      </c>
      <c r="D26" s="19" t="s">
        <v>231</v>
      </c>
      <c r="E26" s="19" t="s">
        <v>716</v>
      </c>
      <c r="F26" s="21" t="s">
        <v>1968</v>
      </c>
      <c r="G26" s="19">
        <v>0</v>
      </c>
      <c r="H26" s="12" t="s">
        <v>1942</v>
      </c>
    </row>
    <row r="27" ht="15" spans="1:8">
      <c r="A27" s="18">
        <v>996.3594</v>
      </c>
      <c r="B27" s="100">
        <v>12</v>
      </c>
      <c r="C27" s="26" t="s">
        <v>1949</v>
      </c>
      <c r="D27" s="19" t="s">
        <v>1950</v>
      </c>
      <c r="E27" s="136" t="s">
        <v>894</v>
      </c>
      <c r="F27" s="118" t="s">
        <v>1969</v>
      </c>
      <c r="G27" s="17">
        <v>1</v>
      </c>
      <c r="H27" s="12" t="s">
        <v>1942</v>
      </c>
    </row>
    <row r="28" ht="15.75" spans="1:8">
      <c r="A28" s="18">
        <v>996.3629</v>
      </c>
      <c r="B28" s="70">
        <v>12</v>
      </c>
      <c r="C28" s="29" t="s">
        <v>238</v>
      </c>
      <c r="D28" s="25" t="s">
        <v>242</v>
      </c>
      <c r="E28" s="25" t="s">
        <v>240</v>
      </c>
      <c r="F28" s="66" t="s">
        <v>1970</v>
      </c>
      <c r="G28" s="25">
        <v>1</v>
      </c>
      <c r="H28" s="12" t="s">
        <v>1942</v>
      </c>
    </row>
    <row r="29" ht="15" spans="1:8">
      <c r="A29" s="112">
        <v>996.365</v>
      </c>
      <c r="B29" s="137">
        <v>13</v>
      </c>
      <c r="C29" s="124" t="s">
        <v>129</v>
      </c>
      <c r="D29" s="126" t="s">
        <v>290</v>
      </c>
      <c r="E29" s="126" t="s">
        <v>467</v>
      </c>
      <c r="F29" s="129" t="s">
        <v>1971</v>
      </c>
      <c r="G29" s="131">
        <v>1</v>
      </c>
      <c r="H29" s="128">
        <v>20250801</v>
      </c>
    </row>
    <row r="30" ht="15" spans="1:8">
      <c r="A30" s="18">
        <v>996.3718</v>
      </c>
      <c r="B30" s="12">
        <v>13</v>
      </c>
      <c r="C30" s="12" t="s">
        <v>129</v>
      </c>
      <c r="D30" s="19" t="s">
        <v>231</v>
      </c>
      <c r="E30" s="19" t="s">
        <v>716</v>
      </c>
      <c r="F30" s="21" t="s">
        <v>1972</v>
      </c>
      <c r="G30" s="19">
        <v>1</v>
      </c>
      <c r="H30" s="12" t="s">
        <v>1942</v>
      </c>
    </row>
    <row r="31" ht="15" spans="1:8">
      <c r="A31" s="18">
        <v>996.3656</v>
      </c>
      <c r="B31" s="12">
        <v>13</v>
      </c>
      <c r="C31" s="12" t="s">
        <v>129</v>
      </c>
      <c r="D31" s="19" t="s">
        <v>228</v>
      </c>
      <c r="E31" s="19" t="s">
        <v>716</v>
      </c>
      <c r="F31" s="21" t="s">
        <v>1973</v>
      </c>
      <c r="G31" s="19">
        <v>1</v>
      </c>
      <c r="H31" s="12" t="s">
        <v>1942</v>
      </c>
    </row>
    <row r="32" ht="15" spans="1:8">
      <c r="A32" s="18">
        <v>996.3651</v>
      </c>
      <c r="B32" s="12">
        <v>13</v>
      </c>
      <c r="C32" s="12" t="s">
        <v>129</v>
      </c>
      <c r="D32" s="19" t="s">
        <v>235</v>
      </c>
      <c r="E32" s="19" t="s">
        <v>716</v>
      </c>
      <c r="F32" s="21" t="s">
        <v>1974</v>
      </c>
      <c r="G32" s="19">
        <v>0</v>
      </c>
      <c r="H32" s="12" t="s">
        <v>1942</v>
      </c>
    </row>
    <row r="33" ht="15" spans="1:8">
      <c r="A33" s="18">
        <v>996.375</v>
      </c>
      <c r="B33" s="124">
        <v>13</v>
      </c>
      <c r="C33" s="124" t="s">
        <v>129</v>
      </c>
      <c r="D33" s="125" t="s">
        <v>26</v>
      </c>
      <c r="E33" s="126" t="s">
        <v>716</v>
      </c>
      <c r="F33" s="129" t="s">
        <v>1975</v>
      </c>
      <c r="G33" s="126">
        <v>1</v>
      </c>
      <c r="H33" s="12" t="s">
        <v>1942</v>
      </c>
    </row>
    <row r="34" ht="15" spans="1:8">
      <c r="A34" s="18">
        <v>996.3792</v>
      </c>
      <c r="B34" s="12">
        <v>14</v>
      </c>
      <c r="C34" s="12" t="s">
        <v>129</v>
      </c>
      <c r="D34" s="19" t="s">
        <v>231</v>
      </c>
      <c r="E34" s="19" t="s">
        <v>716</v>
      </c>
      <c r="F34" s="21" t="s">
        <v>1976</v>
      </c>
      <c r="G34" s="19">
        <v>0</v>
      </c>
      <c r="H34" s="12" t="s">
        <v>1942</v>
      </c>
    </row>
    <row r="35" ht="15" spans="1:8">
      <c r="A35" s="18">
        <v>996.3822</v>
      </c>
      <c r="B35" s="12">
        <v>14</v>
      </c>
      <c r="C35" s="12" t="s">
        <v>129</v>
      </c>
      <c r="D35" s="19" t="s">
        <v>290</v>
      </c>
      <c r="E35" s="19" t="s">
        <v>467</v>
      </c>
      <c r="F35" s="21" t="s">
        <v>1977</v>
      </c>
      <c r="G35" s="19">
        <v>1</v>
      </c>
      <c r="H35" s="12" t="s">
        <v>1942</v>
      </c>
    </row>
    <row r="36" ht="15" spans="1:8">
      <c r="A36" s="18">
        <v>996.3856</v>
      </c>
      <c r="B36" s="124">
        <v>15</v>
      </c>
      <c r="C36" s="124" t="s">
        <v>129</v>
      </c>
      <c r="D36" s="126" t="s">
        <v>290</v>
      </c>
      <c r="E36" s="126" t="s">
        <v>467</v>
      </c>
      <c r="F36" s="129" t="s">
        <v>1978</v>
      </c>
      <c r="G36" s="126">
        <v>1</v>
      </c>
      <c r="H36" s="12" t="s">
        <v>1942</v>
      </c>
    </row>
    <row r="37" ht="15" spans="1:8">
      <c r="A37" s="18">
        <v>996.4</v>
      </c>
      <c r="B37" s="100">
        <v>16</v>
      </c>
      <c r="C37" s="26" t="s">
        <v>1949</v>
      </c>
      <c r="D37" s="19" t="s">
        <v>1950</v>
      </c>
      <c r="E37" s="136" t="s">
        <v>894</v>
      </c>
      <c r="F37" s="118" t="s">
        <v>1979</v>
      </c>
      <c r="G37" s="17">
        <v>1</v>
      </c>
      <c r="H37" s="12" t="s">
        <v>1942</v>
      </c>
    </row>
    <row r="38" ht="15" spans="1:8">
      <c r="A38" s="18">
        <v>996.4331</v>
      </c>
      <c r="B38" s="110">
        <v>19</v>
      </c>
      <c r="C38" s="25" t="s">
        <v>268</v>
      </c>
      <c r="D38" s="25" t="s">
        <v>269</v>
      </c>
      <c r="E38" s="25" t="s">
        <v>1365</v>
      </c>
      <c r="F38" s="118" t="s">
        <v>1980</v>
      </c>
      <c r="G38" s="122">
        <v>1</v>
      </c>
      <c r="H38" s="12" t="s">
        <v>1942</v>
      </c>
    </row>
    <row r="39" ht="15" spans="1:8">
      <c r="A39" s="18">
        <v>996.4436</v>
      </c>
      <c r="B39" s="12">
        <v>20</v>
      </c>
      <c r="C39" s="12" t="s">
        <v>129</v>
      </c>
      <c r="D39" s="19" t="s">
        <v>231</v>
      </c>
      <c r="E39" s="19" t="s">
        <v>716</v>
      </c>
      <c r="F39" s="21" t="s">
        <v>1981</v>
      </c>
      <c r="G39" s="19">
        <v>1</v>
      </c>
      <c r="H39" s="12" t="s">
        <v>1942</v>
      </c>
    </row>
    <row r="40" ht="15" spans="1:8">
      <c r="A40" s="18">
        <v>996.4376</v>
      </c>
      <c r="B40" s="12">
        <v>20</v>
      </c>
      <c r="C40" s="12" t="s">
        <v>129</v>
      </c>
      <c r="D40" s="19" t="s">
        <v>290</v>
      </c>
      <c r="E40" s="19" t="s">
        <v>689</v>
      </c>
      <c r="F40" s="21" t="s">
        <v>751</v>
      </c>
      <c r="G40" s="19">
        <v>0</v>
      </c>
      <c r="H40" s="12" t="s">
        <v>1942</v>
      </c>
    </row>
    <row r="41" ht="15" spans="1:8">
      <c r="A41" s="18">
        <v>996.4451</v>
      </c>
      <c r="B41" s="100">
        <v>20</v>
      </c>
      <c r="C41" s="26" t="s">
        <v>1949</v>
      </c>
      <c r="D41" s="19" t="s">
        <v>1950</v>
      </c>
      <c r="E41" s="136" t="s">
        <v>894</v>
      </c>
      <c r="F41" s="118" t="s">
        <v>1982</v>
      </c>
      <c r="G41" s="17">
        <v>1</v>
      </c>
      <c r="H41" s="12" t="s">
        <v>1942</v>
      </c>
    </row>
    <row r="42" ht="15" spans="1:8">
      <c r="A42" s="18">
        <v>996.4746</v>
      </c>
      <c r="B42" s="12">
        <v>23</v>
      </c>
      <c r="C42" s="12" t="s">
        <v>129</v>
      </c>
      <c r="D42" s="19" t="s">
        <v>235</v>
      </c>
      <c r="E42" s="19" t="s">
        <v>716</v>
      </c>
      <c r="F42" s="21" t="s">
        <v>1983</v>
      </c>
      <c r="G42" s="19">
        <v>0</v>
      </c>
      <c r="H42" s="12" t="s">
        <v>1942</v>
      </c>
    </row>
    <row r="43" ht="15" spans="1:8">
      <c r="A43" s="18">
        <v>996.4686</v>
      </c>
      <c r="B43" s="12">
        <v>23</v>
      </c>
      <c r="C43" s="12" t="s">
        <v>129</v>
      </c>
      <c r="D43" s="19" t="s">
        <v>228</v>
      </c>
      <c r="E43" s="19" t="s">
        <v>689</v>
      </c>
      <c r="F43" s="21" t="s">
        <v>1984</v>
      </c>
      <c r="G43" s="19">
        <v>0</v>
      </c>
      <c r="H43" s="12" t="s">
        <v>1942</v>
      </c>
    </row>
    <row r="44" ht="15" spans="1:8">
      <c r="A44" s="18">
        <v>996.4895</v>
      </c>
      <c r="B44" s="12">
        <v>25</v>
      </c>
      <c r="C44" s="12" t="s">
        <v>129</v>
      </c>
      <c r="D44" s="19" t="s">
        <v>290</v>
      </c>
      <c r="E44" s="19" t="s">
        <v>689</v>
      </c>
      <c r="F44" s="21" t="s">
        <v>1985</v>
      </c>
      <c r="G44" s="19">
        <v>0</v>
      </c>
      <c r="H44" s="12" t="s">
        <v>1942</v>
      </c>
    </row>
    <row r="45" ht="15" spans="1:8">
      <c r="A45" s="18">
        <v>996.4945</v>
      </c>
      <c r="B45" s="12">
        <v>25</v>
      </c>
      <c r="C45" s="12" t="s">
        <v>129</v>
      </c>
      <c r="D45" s="19" t="s">
        <v>272</v>
      </c>
      <c r="E45" s="19" t="s">
        <v>716</v>
      </c>
      <c r="F45" s="21" t="s">
        <v>1986</v>
      </c>
      <c r="G45" s="19">
        <v>0</v>
      </c>
      <c r="H45" s="12" t="s">
        <v>1942</v>
      </c>
    </row>
    <row r="46" ht="15" spans="1:8">
      <c r="A46" s="18">
        <v>996.5028</v>
      </c>
      <c r="B46" s="100">
        <v>26</v>
      </c>
      <c r="C46" s="26" t="s">
        <v>1949</v>
      </c>
      <c r="D46" s="19" t="s">
        <v>1950</v>
      </c>
      <c r="E46" s="136" t="s">
        <v>894</v>
      </c>
      <c r="F46" s="118" t="s">
        <v>1987</v>
      </c>
      <c r="G46" s="17">
        <v>1</v>
      </c>
      <c r="H46" s="12" t="s">
        <v>1942</v>
      </c>
    </row>
    <row r="47" ht="15" spans="1:8">
      <c r="A47" s="18">
        <v>996.5197</v>
      </c>
      <c r="B47" s="110">
        <v>27</v>
      </c>
      <c r="C47" s="25" t="s">
        <v>268</v>
      </c>
      <c r="D47" s="25" t="s">
        <v>269</v>
      </c>
      <c r="E47" s="25" t="s">
        <v>270</v>
      </c>
      <c r="F47" s="118" t="s">
        <v>1988</v>
      </c>
      <c r="G47" s="122">
        <v>1</v>
      </c>
      <c r="H47" s="12" t="s">
        <v>1942</v>
      </c>
    </row>
    <row r="48" ht="15" spans="1:8">
      <c r="A48" s="18">
        <v>996.5204</v>
      </c>
      <c r="B48" s="100">
        <v>28</v>
      </c>
      <c r="C48" s="26" t="s">
        <v>1949</v>
      </c>
      <c r="D48" s="19" t="s">
        <v>1950</v>
      </c>
      <c r="E48" s="136" t="s">
        <v>894</v>
      </c>
      <c r="F48" s="118" t="s">
        <v>1989</v>
      </c>
      <c r="G48" s="17">
        <v>1</v>
      </c>
      <c r="H48" s="12" t="s">
        <v>1942</v>
      </c>
    </row>
    <row r="49" ht="15" spans="1:8">
      <c r="A49" s="18">
        <v>996.5204</v>
      </c>
      <c r="B49" s="19">
        <v>28</v>
      </c>
      <c r="C49" s="29" t="s">
        <v>238</v>
      </c>
      <c r="D49" s="19" t="s">
        <v>272</v>
      </c>
      <c r="E49" s="19" t="s">
        <v>1106</v>
      </c>
      <c r="F49" s="21" t="s">
        <v>1990</v>
      </c>
      <c r="G49" s="19">
        <v>1</v>
      </c>
      <c r="H49" s="12" t="s">
        <v>1942</v>
      </c>
    </row>
    <row r="50" ht="15" spans="1:8">
      <c r="A50" s="112">
        <v>996.575</v>
      </c>
      <c r="B50" s="140">
        <v>33</v>
      </c>
      <c r="C50" s="124" t="s">
        <v>129</v>
      </c>
      <c r="D50" s="126" t="s">
        <v>235</v>
      </c>
      <c r="E50" s="126" t="s">
        <v>467</v>
      </c>
      <c r="F50" s="127" t="s">
        <v>1991</v>
      </c>
      <c r="G50" s="132">
        <v>1</v>
      </c>
      <c r="H50" s="128">
        <v>20250801</v>
      </c>
    </row>
    <row r="51" ht="15" spans="1:8">
      <c r="A51" s="18">
        <v>996.5744</v>
      </c>
      <c r="B51" s="110">
        <v>33</v>
      </c>
      <c r="C51" s="25" t="s">
        <v>268</v>
      </c>
      <c r="D51" s="25" t="s">
        <v>269</v>
      </c>
      <c r="E51" s="25" t="s">
        <v>19</v>
      </c>
      <c r="F51" s="118" t="s">
        <v>1992</v>
      </c>
      <c r="G51" s="122">
        <v>1</v>
      </c>
      <c r="H51" s="12" t="s">
        <v>1942</v>
      </c>
    </row>
    <row r="52" ht="15" spans="1:8">
      <c r="A52" s="18">
        <v>996.5932</v>
      </c>
      <c r="B52" s="12">
        <v>35</v>
      </c>
      <c r="C52" s="12" t="s">
        <v>129</v>
      </c>
      <c r="D52" s="19" t="s">
        <v>228</v>
      </c>
      <c r="E52" s="19" t="s">
        <v>716</v>
      </c>
      <c r="F52" s="21" t="s">
        <v>1993</v>
      </c>
      <c r="G52" s="19">
        <v>0</v>
      </c>
      <c r="H52" s="12" t="s">
        <v>1942</v>
      </c>
    </row>
    <row r="53" ht="15" spans="1:8">
      <c r="A53" s="18">
        <v>996.6036</v>
      </c>
      <c r="B53" s="19">
        <v>36</v>
      </c>
      <c r="C53" s="26" t="s">
        <v>1029</v>
      </c>
      <c r="D53" s="19" t="s">
        <v>228</v>
      </c>
      <c r="E53" s="19" t="s">
        <v>1030</v>
      </c>
      <c r="F53" s="21" t="s">
        <v>1994</v>
      </c>
      <c r="G53" s="19">
        <v>1</v>
      </c>
      <c r="H53" s="12" t="s">
        <v>1942</v>
      </c>
    </row>
    <row r="54" ht="15" spans="1:8">
      <c r="A54" s="18">
        <v>996.6036</v>
      </c>
      <c r="B54" s="19">
        <v>36</v>
      </c>
      <c r="C54" s="29" t="s">
        <v>238</v>
      </c>
      <c r="D54" s="19" t="s">
        <v>235</v>
      </c>
      <c r="E54" s="19" t="s">
        <v>1030</v>
      </c>
      <c r="F54" s="21" t="s">
        <v>1995</v>
      </c>
      <c r="G54" s="19">
        <v>1</v>
      </c>
      <c r="H54" s="12" t="s">
        <v>1942</v>
      </c>
    </row>
    <row r="55" ht="15" spans="1:8">
      <c r="A55" s="112">
        <v>996.618</v>
      </c>
      <c r="B55" s="134">
        <v>37</v>
      </c>
      <c r="C55" s="124" t="s">
        <v>129</v>
      </c>
      <c r="D55" s="126" t="s">
        <v>235</v>
      </c>
      <c r="E55" s="126" t="s">
        <v>467</v>
      </c>
      <c r="F55" s="129" t="s">
        <v>1996</v>
      </c>
      <c r="G55" s="132">
        <v>1</v>
      </c>
      <c r="H55" s="128">
        <v>20250801</v>
      </c>
    </row>
    <row r="56" ht="15" spans="1:8">
      <c r="A56" s="18">
        <v>996.635</v>
      </c>
      <c r="B56" s="12">
        <v>39</v>
      </c>
      <c r="C56" s="12" t="s">
        <v>129</v>
      </c>
      <c r="D56" s="19" t="s">
        <v>290</v>
      </c>
      <c r="E56" s="19" t="s">
        <v>716</v>
      </c>
      <c r="F56" s="21" t="s">
        <v>1997</v>
      </c>
      <c r="G56" s="19">
        <v>1</v>
      </c>
      <c r="H56" s="12" t="s">
        <v>1942</v>
      </c>
    </row>
    <row r="57" ht="15.75" spans="1:8">
      <c r="A57" s="18">
        <v>996.6626</v>
      </c>
      <c r="B57" s="70">
        <v>41</v>
      </c>
      <c r="C57" s="29" t="s">
        <v>238</v>
      </c>
      <c r="D57" s="25" t="s">
        <v>242</v>
      </c>
      <c r="E57" s="25" t="s">
        <v>445</v>
      </c>
      <c r="F57" s="66" t="s">
        <v>1998</v>
      </c>
      <c r="G57" s="25">
        <v>1</v>
      </c>
      <c r="H57" s="12" t="s">
        <v>1942</v>
      </c>
    </row>
    <row r="58" ht="15" spans="1:8">
      <c r="A58" s="18">
        <v>996.6867</v>
      </c>
      <c r="B58" s="12">
        <v>44</v>
      </c>
      <c r="C58" s="12" t="s">
        <v>129</v>
      </c>
      <c r="D58" s="19" t="s">
        <v>235</v>
      </c>
      <c r="E58" s="19" t="s">
        <v>997</v>
      </c>
      <c r="F58" s="21" t="s">
        <v>1999</v>
      </c>
      <c r="G58" s="19">
        <v>1</v>
      </c>
      <c r="H58" s="12" t="s">
        <v>1942</v>
      </c>
    </row>
    <row r="59" ht="15" spans="1:8">
      <c r="A59" s="18">
        <v>996.6867</v>
      </c>
      <c r="B59" s="19">
        <v>44</v>
      </c>
      <c r="C59" s="19" t="s">
        <v>996</v>
      </c>
      <c r="D59" s="19" t="s">
        <v>228</v>
      </c>
      <c r="E59" s="19" t="s">
        <v>997</v>
      </c>
      <c r="F59" s="21" t="s">
        <v>2000</v>
      </c>
      <c r="G59" s="122">
        <v>1</v>
      </c>
      <c r="H59" s="12" t="s">
        <v>1942</v>
      </c>
    </row>
    <row r="60" ht="15" spans="1:8">
      <c r="A60" s="18">
        <v>996.6917</v>
      </c>
      <c r="B60" s="4">
        <v>44</v>
      </c>
      <c r="C60" s="29" t="s">
        <v>238</v>
      </c>
      <c r="D60" s="25" t="s">
        <v>43</v>
      </c>
      <c r="E60" s="19" t="s">
        <v>1030</v>
      </c>
      <c r="F60" s="21" t="s">
        <v>2001</v>
      </c>
      <c r="G60" s="19">
        <v>1</v>
      </c>
      <c r="H60" s="12" t="s">
        <v>1942</v>
      </c>
    </row>
    <row r="61" ht="15" spans="1:8">
      <c r="A61" s="18">
        <v>996.6917</v>
      </c>
      <c r="B61" s="12">
        <v>45</v>
      </c>
      <c r="C61" s="12" t="s">
        <v>129</v>
      </c>
      <c r="D61" s="19" t="s">
        <v>290</v>
      </c>
      <c r="E61" s="19" t="s">
        <v>511</v>
      </c>
      <c r="F61" s="21" t="s">
        <v>2002</v>
      </c>
      <c r="G61" s="19">
        <v>1</v>
      </c>
      <c r="H61" s="12" t="s">
        <v>1942</v>
      </c>
    </row>
    <row r="62" ht="27" spans="1:8">
      <c r="A62" s="18">
        <v>996.242</v>
      </c>
      <c r="B62" s="15" t="s">
        <v>94</v>
      </c>
      <c r="C62" s="22" t="s">
        <v>170</v>
      </c>
      <c r="D62" s="22" t="s">
        <v>170</v>
      </c>
      <c r="E62" s="22" t="s">
        <v>172</v>
      </c>
      <c r="F62" s="31" t="s">
        <v>222</v>
      </c>
      <c r="G62" s="22">
        <v>1</v>
      </c>
      <c r="H62" s="12" t="s">
        <v>1942</v>
      </c>
    </row>
    <row r="63" ht="27" spans="1:8">
      <c r="A63" s="18">
        <v>996.344</v>
      </c>
      <c r="B63" s="15" t="s">
        <v>99</v>
      </c>
      <c r="C63" s="22" t="s">
        <v>170</v>
      </c>
      <c r="D63" s="22" t="s">
        <v>170</v>
      </c>
      <c r="E63" s="22" t="s">
        <v>172</v>
      </c>
      <c r="F63" s="31" t="s">
        <v>222</v>
      </c>
      <c r="G63" s="22">
        <v>1</v>
      </c>
      <c r="H63" s="12" t="s">
        <v>1942</v>
      </c>
    </row>
    <row r="64" ht="27" spans="1:8">
      <c r="A64" s="18">
        <v>996.448</v>
      </c>
      <c r="B64" s="15" t="s">
        <v>100</v>
      </c>
      <c r="C64" s="22" t="s">
        <v>170</v>
      </c>
      <c r="D64" s="22" t="s">
        <v>170</v>
      </c>
      <c r="E64" s="22" t="s">
        <v>172</v>
      </c>
      <c r="F64" s="31" t="s">
        <v>222</v>
      </c>
      <c r="G64" s="22">
        <v>1</v>
      </c>
      <c r="H64" s="12" t="s">
        <v>1942</v>
      </c>
    </row>
    <row r="65" ht="27" spans="1:8">
      <c r="A65" s="18">
        <v>996.552</v>
      </c>
      <c r="B65" s="15" t="s">
        <v>101</v>
      </c>
      <c r="C65" s="22" t="s">
        <v>170</v>
      </c>
      <c r="D65" s="22" t="s">
        <v>170</v>
      </c>
      <c r="E65" s="22" t="s">
        <v>172</v>
      </c>
      <c r="F65" s="31" t="s">
        <v>222</v>
      </c>
      <c r="G65" s="22">
        <v>1</v>
      </c>
      <c r="H65" s="12" t="s">
        <v>1942</v>
      </c>
    </row>
    <row r="66" ht="27" spans="1:8">
      <c r="A66" s="18">
        <v>996.656</v>
      </c>
      <c r="B66" s="15" t="s">
        <v>2003</v>
      </c>
      <c r="C66" s="22" t="s">
        <v>170</v>
      </c>
      <c r="D66" s="22" t="s">
        <v>170</v>
      </c>
      <c r="E66" s="22" t="s">
        <v>172</v>
      </c>
      <c r="F66" s="31" t="s">
        <v>222</v>
      </c>
      <c r="G66" s="22">
        <v>1</v>
      </c>
      <c r="H66" s="12" t="s">
        <v>1942</v>
      </c>
    </row>
    <row r="67" ht="15" spans="1:8">
      <c r="A67" s="18">
        <v>996.6917</v>
      </c>
      <c r="B67" s="12">
        <v>45</v>
      </c>
      <c r="C67" s="29" t="s">
        <v>238</v>
      </c>
      <c r="D67" s="19" t="s">
        <v>290</v>
      </c>
      <c r="E67" s="19" t="s">
        <v>1030</v>
      </c>
      <c r="F67" s="21" t="s">
        <v>2004</v>
      </c>
      <c r="G67" s="19">
        <v>1</v>
      </c>
      <c r="H67" s="12" t="s">
        <v>1942</v>
      </c>
    </row>
    <row r="69" spans="1:8">
      <c r="F69" s="21"/>
    </row>
  </sheetData>
  <autoFilter xmlns:etc="http://www.wps.cn/officeDocument/2017/etCustomData" ref="A1:H67" etc:filterBottomFollowUsedRange="0">
    <extLst/>
  </autoFilter>
  <sortState ref="A2:H66">
    <sortCondition ref="B2:B66"/>
  </sortState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00B050"/>
  </sheetPr>
  <dimension ref="A1:H59"/>
  <sheetViews>
    <sheetView workbookViewId="0">
      <selection activeCell="J21" sqref="J21"/>
    </sheetView>
  </sheetViews>
  <sheetFormatPr defaultColWidth="9" defaultRowHeight="14.25" outlineLevelCol="7"/>
  <cols>
    <col min="2" max="2" width="9.125" style="4" customWidth="1"/>
    <col min="3" max="4" width="9" style="4"/>
    <col min="5" max="5" width="10.5" style="4" customWidth="1"/>
    <col min="6" max="6" width="73.5" customWidth="1"/>
    <col min="7" max="7" width="9.125" style="4" customWidth="1"/>
    <col min="8" max="8" width="9.5" style="4" customWidth="1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ht="15" hidden="1" spans="1:8">
      <c r="A2" s="18">
        <v>996.692</v>
      </c>
      <c r="B2" s="12">
        <v>0</v>
      </c>
      <c r="C2" s="12" t="s">
        <v>542</v>
      </c>
      <c r="D2" s="28" t="s">
        <v>1072</v>
      </c>
      <c r="E2" s="19" t="s">
        <v>771</v>
      </c>
      <c r="F2" s="21" t="s">
        <v>2005</v>
      </c>
      <c r="G2" s="19">
        <v>2</v>
      </c>
      <c r="H2" s="12" t="s">
        <v>1942</v>
      </c>
    </row>
    <row r="3" ht="15" hidden="1" spans="1:8">
      <c r="A3" s="18">
        <v>996.692</v>
      </c>
      <c r="B3" s="12">
        <v>0</v>
      </c>
      <c r="C3" s="12" t="s">
        <v>542</v>
      </c>
      <c r="D3" s="28" t="s">
        <v>1072</v>
      </c>
      <c r="E3" s="12" t="s">
        <v>2006</v>
      </c>
      <c r="F3" s="63" t="s">
        <v>2007</v>
      </c>
      <c r="G3" s="12">
        <v>1</v>
      </c>
      <c r="H3" s="12" t="s">
        <v>1942</v>
      </c>
    </row>
    <row r="4" ht="15.75" hidden="1" spans="1:8">
      <c r="A4" s="18">
        <v>996.692</v>
      </c>
      <c r="B4" s="12">
        <v>0</v>
      </c>
      <c r="C4" s="12" t="s">
        <v>224</v>
      </c>
      <c r="D4" s="12" t="s">
        <v>318</v>
      </c>
      <c r="E4" s="19" t="s">
        <v>236</v>
      </c>
      <c r="F4" s="21" t="s">
        <v>2008</v>
      </c>
      <c r="G4" s="19">
        <v>1</v>
      </c>
      <c r="H4" s="12" t="s">
        <v>1942</v>
      </c>
    </row>
    <row r="5" ht="15" hidden="1" spans="1:8">
      <c r="A5" s="18">
        <v>996.177</v>
      </c>
      <c r="B5" s="12">
        <v>0</v>
      </c>
      <c r="C5" s="12" t="s">
        <v>224</v>
      </c>
      <c r="D5" s="28" t="s">
        <v>107</v>
      </c>
      <c r="E5" s="20" t="s">
        <v>1357</v>
      </c>
      <c r="F5" s="63" t="s">
        <v>2009</v>
      </c>
      <c r="G5" s="19">
        <v>0</v>
      </c>
      <c r="H5" s="12" t="s">
        <v>1942</v>
      </c>
    </row>
    <row r="6" ht="15" hidden="1" spans="1:8">
      <c r="A6" s="18">
        <v>996.698</v>
      </c>
      <c r="B6" s="29">
        <v>1</v>
      </c>
      <c r="C6" s="120" t="s">
        <v>268</v>
      </c>
      <c r="D6" s="120" t="s">
        <v>18</v>
      </c>
      <c r="E6" s="120" t="s">
        <v>292</v>
      </c>
      <c r="F6" s="121" t="s">
        <v>2010</v>
      </c>
      <c r="G6" s="122">
        <v>1</v>
      </c>
      <c r="H6" s="12" t="s">
        <v>1942</v>
      </c>
    </row>
    <row r="7" ht="15" hidden="1" spans="1:8">
      <c r="A7" s="18">
        <v>996.696</v>
      </c>
      <c r="B7" s="12">
        <v>1</v>
      </c>
      <c r="C7" s="26" t="s">
        <v>1029</v>
      </c>
      <c r="D7" s="19" t="s">
        <v>228</v>
      </c>
      <c r="E7" s="20" t="s">
        <v>470</v>
      </c>
      <c r="F7" s="63" t="s">
        <v>2011</v>
      </c>
      <c r="G7" s="19">
        <v>1</v>
      </c>
      <c r="H7" s="12" t="s">
        <v>1942</v>
      </c>
    </row>
    <row r="8" ht="15" hidden="1" spans="1:8">
      <c r="A8" s="18">
        <v>996.692</v>
      </c>
      <c r="B8" s="12">
        <v>1</v>
      </c>
      <c r="C8" s="12" t="s">
        <v>2012</v>
      </c>
      <c r="D8" s="12" t="s">
        <v>341</v>
      </c>
      <c r="E8" s="12" t="s">
        <v>2013</v>
      </c>
      <c r="F8" s="123" t="s">
        <v>2014</v>
      </c>
      <c r="G8" s="19">
        <v>1</v>
      </c>
      <c r="H8" s="12" t="s">
        <v>1942</v>
      </c>
    </row>
    <row r="9" ht="15" spans="1:8">
      <c r="A9" s="18">
        <v>996.6901</v>
      </c>
      <c r="B9" s="12">
        <v>2</v>
      </c>
      <c r="C9" s="12" t="s">
        <v>129</v>
      </c>
      <c r="D9" s="20" t="s">
        <v>40</v>
      </c>
      <c r="E9" s="19" t="s">
        <v>716</v>
      </c>
      <c r="F9" s="21" t="s">
        <v>2015</v>
      </c>
      <c r="G9" s="19">
        <v>1</v>
      </c>
      <c r="H9" s="12" t="s">
        <v>1942</v>
      </c>
    </row>
    <row r="10" ht="25.5" spans="1:8">
      <c r="A10" s="18">
        <v>996.6886</v>
      </c>
      <c r="B10" s="12">
        <v>2</v>
      </c>
      <c r="C10" s="12" t="s">
        <v>129</v>
      </c>
      <c r="D10" s="20" t="s">
        <v>2016</v>
      </c>
      <c r="E10" s="19" t="s">
        <v>716</v>
      </c>
      <c r="F10" s="21" t="s">
        <v>2017</v>
      </c>
      <c r="G10" s="19">
        <v>1</v>
      </c>
      <c r="H10" s="12" t="s">
        <v>1942</v>
      </c>
    </row>
    <row r="11" ht="15" spans="1:8">
      <c r="A11" s="18">
        <v>996.6856</v>
      </c>
      <c r="B11" s="12">
        <v>2</v>
      </c>
      <c r="C11" s="12" t="s">
        <v>129</v>
      </c>
      <c r="D11" s="19" t="s">
        <v>235</v>
      </c>
      <c r="E11" s="19" t="s">
        <v>997</v>
      </c>
      <c r="F11" s="21" t="s">
        <v>252</v>
      </c>
      <c r="G11" s="19">
        <v>1</v>
      </c>
      <c r="H11" s="12" t="s">
        <v>1942</v>
      </c>
    </row>
    <row r="12" ht="15" spans="1:8">
      <c r="A12" s="18">
        <v>996.6896</v>
      </c>
      <c r="B12" s="12">
        <v>2</v>
      </c>
      <c r="C12" s="12" t="s">
        <v>129</v>
      </c>
      <c r="D12" s="19" t="s">
        <v>235</v>
      </c>
      <c r="E12" s="19" t="s">
        <v>997</v>
      </c>
      <c r="F12" s="21" t="s">
        <v>2018</v>
      </c>
      <c r="G12" s="19">
        <v>1</v>
      </c>
      <c r="H12" s="12" t="s">
        <v>1942</v>
      </c>
    </row>
    <row r="13" ht="15" spans="1:8">
      <c r="A13" s="18">
        <v>996.6778</v>
      </c>
      <c r="B13" s="19">
        <v>3</v>
      </c>
      <c r="C13" s="19" t="s">
        <v>996</v>
      </c>
      <c r="D13" s="19" t="s">
        <v>228</v>
      </c>
      <c r="E13" s="19" t="s">
        <v>997</v>
      </c>
      <c r="F13" s="63" t="s">
        <v>2019</v>
      </c>
      <c r="G13" s="122">
        <v>1</v>
      </c>
      <c r="H13" s="12" t="s">
        <v>1942</v>
      </c>
    </row>
    <row r="14" ht="15" spans="1:8">
      <c r="A14" s="18">
        <v>996.6669</v>
      </c>
      <c r="B14" s="12">
        <v>5</v>
      </c>
      <c r="C14" s="28" t="s">
        <v>8</v>
      </c>
      <c r="D14" s="20" t="s">
        <v>9</v>
      </c>
      <c r="E14" s="20" t="s">
        <v>885</v>
      </c>
      <c r="F14" s="21" t="s">
        <v>2020</v>
      </c>
      <c r="G14" s="19">
        <v>1</v>
      </c>
      <c r="H14" s="12" t="s">
        <v>1942</v>
      </c>
    </row>
    <row r="15" ht="15" spans="1:8">
      <c r="A15" s="18">
        <v>996.6664</v>
      </c>
      <c r="B15" s="12">
        <v>5</v>
      </c>
      <c r="C15" s="12" t="s">
        <v>129</v>
      </c>
      <c r="D15" s="20" t="s">
        <v>40</v>
      </c>
      <c r="E15" s="19" t="s">
        <v>716</v>
      </c>
      <c r="F15" s="21" t="s">
        <v>2021</v>
      </c>
      <c r="G15" s="19">
        <v>1</v>
      </c>
      <c r="H15" s="12" t="s">
        <v>1942</v>
      </c>
    </row>
    <row r="16" ht="15" spans="1:8">
      <c r="A16" s="112">
        <v>996.661</v>
      </c>
      <c r="B16" s="124">
        <v>5</v>
      </c>
      <c r="C16" s="124" t="s">
        <v>129</v>
      </c>
      <c r="D16" s="125" t="s">
        <v>40</v>
      </c>
      <c r="E16" s="126" t="s">
        <v>689</v>
      </c>
      <c r="F16" s="127" t="s">
        <v>2022</v>
      </c>
      <c r="G16" s="126">
        <v>1</v>
      </c>
      <c r="H16" s="128">
        <v>20250801</v>
      </c>
    </row>
    <row r="17" ht="15" spans="1:8">
      <c r="A17" s="112">
        <v>996.649</v>
      </c>
      <c r="B17" s="124">
        <v>6</v>
      </c>
      <c r="C17" s="124" t="s">
        <v>129</v>
      </c>
      <c r="D17" s="125" t="s">
        <v>40</v>
      </c>
      <c r="E17" s="126" t="s">
        <v>716</v>
      </c>
      <c r="F17" s="129" t="s">
        <v>2023</v>
      </c>
      <c r="G17" s="126">
        <v>1</v>
      </c>
      <c r="H17" s="128">
        <v>20250801</v>
      </c>
    </row>
    <row r="18" ht="15" spans="1:8">
      <c r="A18" s="18">
        <v>996.6551</v>
      </c>
      <c r="B18" s="12">
        <v>6</v>
      </c>
      <c r="C18" s="12" t="s">
        <v>129</v>
      </c>
      <c r="D18" s="19" t="s">
        <v>235</v>
      </c>
      <c r="E18" s="19" t="s">
        <v>716</v>
      </c>
      <c r="F18" s="21" t="s">
        <v>2024</v>
      </c>
      <c r="G18" s="19">
        <v>1</v>
      </c>
      <c r="H18" s="12" t="s">
        <v>1942</v>
      </c>
    </row>
    <row r="19" ht="15" spans="1:8">
      <c r="A19" s="112">
        <v>996.643</v>
      </c>
      <c r="B19" s="124">
        <v>7</v>
      </c>
      <c r="C19" s="124" t="s">
        <v>129</v>
      </c>
      <c r="D19" s="125" t="s">
        <v>40</v>
      </c>
      <c r="E19" s="126" t="s">
        <v>689</v>
      </c>
      <c r="F19" s="129" t="s">
        <v>2025</v>
      </c>
      <c r="G19" s="126">
        <v>1</v>
      </c>
      <c r="H19" s="128">
        <v>20250801</v>
      </c>
    </row>
    <row r="20" ht="15" spans="1:8">
      <c r="A20" s="18">
        <v>996.6235</v>
      </c>
      <c r="B20" s="12">
        <v>10</v>
      </c>
      <c r="C20" s="12" t="s">
        <v>129</v>
      </c>
      <c r="D20" s="19" t="s">
        <v>235</v>
      </c>
      <c r="E20" s="19" t="s">
        <v>689</v>
      </c>
      <c r="F20" s="21" t="s">
        <v>1796</v>
      </c>
      <c r="G20" s="19">
        <v>1</v>
      </c>
      <c r="H20" s="12" t="s">
        <v>1942</v>
      </c>
    </row>
    <row r="21" ht="15" spans="1:8">
      <c r="A21" s="18">
        <v>996.5925</v>
      </c>
      <c r="B21" s="12">
        <v>14</v>
      </c>
      <c r="C21" s="12" t="s">
        <v>129</v>
      </c>
      <c r="D21" s="19" t="s">
        <v>290</v>
      </c>
      <c r="E21" s="19" t="s">
        <v>689</v>
      </c>
      <c r="F21" s="21" t="s">
        <v>2026</v>
      </c>
      <c r="G21" s="19">
        <v>0</v>
      </c>
      <c r="H21" s="12" t="s">
        <v>1942</v>
      </c>
    </row>
    <row r="22" ht="15" spans="1:8">
      <c r="A22" s="18">
        <v>996.6081</v>
      </c>
      <c r="B22" s="12">
        <v>12</v>
      </c>
      <c r="C22" s="12" t="s">
        <v>129</v>
      </c>
      <c r="D22" s="19" t="s">
        <v>290</v>
      </c>
      <c r="E22" s="19" t="s">
        <v>689</v>
      </c>
      <c r="F22" s="21" t="s">
        <v>2027</v>
      </c>
      <c r="G22" s="19">
        <v>1</v>
      </c>
      <c r="H22" s="12" t="s">
        <v>1942</v>
      </c>
    </row>
    <row r="23" ht="15" spans="1:8">
      <c r="A23" s="18">
        <v>996.5638</v>
      </c>
      <c r="B23" s="12">
        <v>18</v>
      </c>
      <c r="C23" s="28" t="s">
        <v>8</v>
      </c>
      <c r="D23" s="20" t="s">
        <v>9</v>
      </c>
      <c r="E23" s="20" t="s">
        <v>885</v>
      </c>
      <c r="F23" s="21" t="s">
        <v>2028</v>
      </c>
      <c r="G23" s="19">
        <v>1</v>
      </c>
      <c r="H23" s="12" t="s">
        <v>1942</v>
      </c>
    </row>
    <row r="24" ht="15" spans="1:8">
      <c r="A24" s="18">
        <v>996.5561</v>
      </c>
      <c r="B24" s="12">
        <v>19</v>
      </c>
      <c r="C24" s="12" t="s">
        <v>129</v>
      </c>
      <c r="D24" s="19" t="s">
        <v>235</v>
      </c>
      <c r="E24" s="19" t="s">
        <v>467</v>
      </c>
      <c r="F24" s="21" t="s">
        <v>2029</v>
      </c>
      <c r="G24" s="19">
        <v>1</v>
      </c>
      <c r="H24" s="12" t="s">
        <v>1942</v>
      </c>
    </row>
    <row r="25" ht="15" spans="1:8">
      <c r="A25" s="18">
        <v>996.523</v>
      </c>
      <c r="B25" s="124">
        <v>22</v>
      </c>
      <c r="C25" s="130" t="s">
        <v>8</v>
      </c>
      <c r="D25" s="125" t="s">
        <v>9</v>
      </c>
      <c r="E25" s="125" t="s">
        <v>885</v>
      </c>
      <c r="F25" s="129" t="s">
        <v>2030</v>
      </c>
      <c r="G25" s="126">
        <v>1</v>
      </c>
      <c r="H25" s="12" t="s">
        <v>1942</v>
      </c>
    </row>
    <row r="26" ht="15" spans="1:8">
      <c r="A26" s="18">
        <v>996.5134</v>
      </c>
      <c r="B26" s="124">
        <v>24</v>
      </c>
      <c r="C26" s="126" t="s">
        <v>996</v>
      </c>
      <c r="D26" s="126" t="s">
        <v>228</v>
      </c>
      <c r="E26" s="126" t="s">
        <v>689</v>
      </c>
      <c r="F26" s="129" t="s">
        <v>2031</v>
      </c>
      <c r="G26" s="126">
        <v>1</v>
      </c>
      <c r="H26" s="12" t="s">
        <v>1942</v>
      </c>
    </row>
    <row r="27" ht="15" spans="1:8">
      <c r="A27" s="18">
        <v>996.5054</v>
      </c>
      <c r="B27" s="12">
        <v>25</v>
      </c>
      <c r="C27" s="12" t="s">
        <v>129</v>
      </c>
      <c r="D27" s="19" t="s">
        <v>228</v>
      </c>
      <c r="E27" s="19" t="s">
        <v>689</v>
      </c>
      <c r="F27" s="21" t="s">
        <v>2032</v>
      </c>
      <c r="G27" s="19">
        <v>1</v>
      </c>
      <c r="H27" s="12" t="s">
        <v>1942</v>
      </c>
    </row>
    <row r="28" ht="15" spans="1:8">
      <c r="A28" s="18">
        <v>996.497</v>
      </c>
      <c r="B28" s="124">
        <v>26</v>
      </c>
      <c r="C28" s="124" t="s">
        <v>129</v>
      </c>
      <c r="D28" s="125" t="s">
        <v>26</v>
      </c>
      <c r="E28" s="126" t="s">
        <v>716</v>
      </c>
      <c r="F28" s="129" t="s">
        <v>2033</v>
      </c>
      <c r="G28" s="126">
        <v>1</v>
      </c>
      <c r="H28" s="12" t="s">
        <v>1942</v>
      </c>
    </row>
    <row r="29" ht="15" hidden="1" spans="1:8">
      <c r="A29" s="18">
        <v>996.454</v>
      </c>
      <c r="B29" s="110">
        <v>32</v>
      </c>
      <c r="C29" s="25" t="s">
        <v>268</v>
      </c>
      <c r="D29" s="64" t="s">
        <v>177</v>
      </c>
      <c r="E29" s="64" t="s">
        <v>1870</v>
      </c>
      <c r="F29" s="121" t="s">
        <v>2034</v>
      </c>
      <c r="G29" s="122">
        <v>1</v>
      </c>
      <c r="H29" s="12" t="s">
        <v>1942</v>
      </c>
    </row>
    <row r="30" ht="15" spans="1:8">
      <c r="A30" s="112">
        <v>996.434</v>
      </c>
      <c r="B30" s="131">
        <v>34</v>
      </c>
      <c r="C30" s="131" t="s">
        <v>247</v>
      </c>
      <c r="D30" s="125" t="s">
        <v>40</v>
      </c>
      <c r="E30" s="126" t="s">
        <v>716</v>
      </c>
      <c r="F30" s="127" t="s">
        <v>2035</v>
      </c>
      <c r="G30" s="132">
        <v>1</v>
      </c>
      <c r="H30" s="128">
        <v>20250801</v>
      </c>
    </row>
    <row r="31" ht="15" spans="1:8">
      <c r="A31" s="18">
        <v>996.4108</v>
      </c>
      <c r="B31" s="111">
        <v>37</v>
      </c>
      <c r="C31" s="25" t="s">
        <v>247</v>
      </c>
      <c r="D31" s="64" t="s">
        <v>49</v>
      </c>
      <c r="E31" s="25" t="s">
        <v>248</v>
      </c>
      <c r="F31" s="121" t="s">
        <v>2036</v>
      </c>
      <c r="G31" s="122">
        <v>1</v>
      </c>
      <c r="H31" s="12" t="s">
        <v>1942</v>
      </c>
    </row>
    <row r="32" ht="15" spans="1:8">
      <c r="A32" s="18">
        <v>996.4026</v>
      </c>
      <c r="B32" s="12">
        <v>38</v>
      </c>
      <c r="C32" s="12" t="s">
        <v>129</v>
      </c>
      <c r="D32" s="19" t="s">
        <v>235</v>
      </c>
      <c r="E32" s="19" t="s">
        <v>716</v>
      </c>
      <c r="F32" s="21" t="s">
        <v>2037</v>
      </c>
      <c r="G32" s="19">
        <v>1</v>
      </c>
      <c r="H32" s="12" t="s">
        <v>1942</v>
      </c>
    </row>
    <row r="33" ht="15" hidden="1" spans="1:8">
      <c r="A33" s="18">
        <v>996.4024</v>
      </c>
      <c r="B33" s="19">
        <v>38</v>
      </c>
      <c r="C33" s="26" t="s">
        <v>1029</v>
      </c>
      <c r="D33" s="20" t="s">
        <v>43</v>
      </c>
      <c r="E33" s="19" t="s">
        <v>1030</v>
      </c>
      <c r="F33" s="63" t="s">
        <v>2038</v>
      </c>
      <c r="G33" s="19">
        <v>1</v>
      </c>
      <c r="H33" s="12" t="s">
        <v>1942</v>
      </c>
    </row>
    <row r="34" ht="15" hidden="1" spans="1:8">
      <c r="A34" s="18">
        <v>996.3798</v>
      </c>
      <c r="B34" s="29">
        <v>41</v>
      </c>
      <c r="C34" s="120" t="s">
        <v>268</v>
      </c>
      <c r="D34" s="120" t="s">
        <v>18</v>
      </c>
      <c r="E34" s="120" t="s">
        <v>36</v>
      </c>
      <c r="F34" s="133" t="s">
        <v>2039</v>
      </c>
      <c r="G34" s="122">
        <v>1</v>
      </c>
      <c r="H34" s="12" t="s">
        <v>1942</v>
      </c>
    </row>
    <row r="35" ht="15" spans="1:8">
      <c r="A35" s="18">
        <v>996.371</v>
      </c>
      <c r="B35" s="12">
        <v>42</v>
      </c>
      <c r="C35" s="12" t="s">
        <v>129</v>
      </c>
      <c r="D35" s="19" t="s">
        <v>228</v>
      </c>
      <c r="E35" s="19" t="s">
        <v>689</v>
      </c>
      <c r="F35" s="21" t="s">
        <v>1796</v>
      </c>
      <c r="G35" s="19">
        <v>1</v>
      </c>
      <c r="H35" s="12" t="s">
        <v>1942</v>
      </c>
    </row>
    <row r="36" ht="15" spans="1:8">
      <c r="A36" s="112">
        <v>996.355</v>
      </c>
      <c r="B36" s="124">
        <v>44</v>
      </c>
      <c r="C36" s="124" t="s">
        <v>129</v>
      </c>
      <c r="D36" s="126" t="s">
        <v>235</v>
      </c>
      <c r="E36" s="126" t="s">
        <v>716</v>
      </c>
      <c r="F36" s="129" t="s">
        <v>2040</v>
      </c>
      <c r="G36" s="126">
        <v>1</v>
      </c>
      <c r="H36" s="128">
        <v>20250801</v>
      </c>
    </row>
    <row r="37" ht="15" spans="1:8">
      <c r="A37" s="18">
        <v>996.3316</v>
      </c>
      <c r="B37" s="12">
        <v>47</v>
      </c>
      <c r="C37" s="12" t="s">
        <v>129</v>
      </c>
      <c r="D37" s="19" t="s">
        <v>235</v>
      </c>
      <c r="E37" s="19" t="s">
        <v>716</v>
      </c>
      <c r="F37" s="21" t="s">
        <v>2041</v>
      </c>
      <c r="G37" s="19">
        <v>1</v>
      </c>
      <c r="H37" s="12" t="s">
        <v>1942</v>
      </c>
    </row>
    <row r="38" ht="15" hidden="1" spans="1:8">
      <c r="A38" s="18">
        <v>996.316</v>
      </c>
      <c r="B38" s="19">
        <v>49</v>
      </c>
      <c r="C38" s="26" t="s">
        <v>1029</v>
      </c>
      <c r="D38" s="20" t="s">
        <v>9</v>
      </c>
      <c r="E38" s="19" t="s">
        <v>1030</v>
      </c>
      <c r="F38" s="63" t="s">
        <v>2042</v>
      </c>
      <c r="G38" s="19">
        <v>1</v>
      </c>
      <c r="H38" s="12" t="s">
        <v>1942</v>
      </c>
    </row>
    <row r="39" ht="15" hidden="1" spans="1:8">
      <c r="A39" s="18">
        <v>996.2842</v>
      </c>
      <c r="B39" s="19">
        <v>53</v>
      </c>
      <c r="C39" s="26" t="s">
        <v>1029</v>
      </c>
      <c r="D39" s="20" t="s">
        <v>43</v>
      </c>
      <c r="E39" s="19" t="s">
        <v>1030</v>
      </c>
      <c r="F39" s="63" t="s">
        <v>2043</v>
      </c>
      <c r="G39" s="19">
        <v>1</v>
      </c>
      <c r="H39" s="12" t="s">
        <v>1942</v>
      </c>
    </row>
    <row r="40" ht="15" spans="1:8">
      <c r="A40" s="18">
        <v>996.2819</v>
      </c>
      <c r="B40" s="12">
        <v>54</v>
      </c>
      <c r="C40" s="12" t="s">
        <v>129</v>
      </c>
      <c r="D40" s="19" t="s">
        <v>290</v>
      </c>
      <c r="E40" s="19" t="s">
        <v>467</v>
      </c>
      <c r="F40" s="21" t="s">
        <v>2044</v>
      </c>
      <c r="G40" s="19">
        <v>1</v>
      </c>
      <c r="H40" s="12" t="s">
        <v>1942</v>
      </c>
    </row>
    <row r="41" ht="15" spans="1:8">
      <c r="A41" s="112">
        <v>996.273</v>
      </c>
      <c r="B41" s="134">
        <v>54</v>
      </c>
      <c r="C41" s="124" t="s">
        <v>129</v>
      </c>
      <c r="D41" s="126" t="s">
        <v>235</v>
      </c>
      <c r="E41" s="131" t="s">
        <v>372</v>
      </c>
      <c r="F41" s="127" t="s">
        <v>2045</v>
      </c>
      <c r="G41" s="126">
        <v>1</v>
      </c>
      <c r="H41" s="128">
        <v>20250801</v>
      </c>
    </row>
    <row r="42" ht="15" spans="1:8">
      <c r="A42" s="112">
        <v>996.266</v>
      </c>
      <c r="B42" s="124">
        <v>55</v>
      </c>
      <c r="C42" s="124" t="s">
        <v>129</v>
      </c>
      <c r="D42" s="125" t="s">
        <v>40</v>
      </c>
      <c r="E42" s="126" t="s">
        <v>716</v>
      </c>
      <c r="F42" s="129" t="s">
        <v>2046</v>
      </c>
      <c r="G42" s="126">
        <v>1</v>
      </c>
      <c r="H42" s="128">
        <v>20250801</v>
      </c>
    </row>
    <row r="43" ht="15" spans="1:8">
      <c r="A43" s="18">
        <v>996.2744</v>
      </c>
      <c r="B43" s="12">
        <v>55</v>
      </c>
      <c r="C43" s="12" t="s">
        <v>129</v>
      </c>
      <c r="D43" s="19" t="s">
        <v>290</v>
      </c>
      <c r="E43" s="19" t="s">
        <v>467</v>
      </c>
      <c r="F43" s="21" t="s">
        <v>2047</v>
      </c>
      <c r="G43" s="19">
        <v>1</v>
      </c>
      <c r="H43" s="12" t="s">
        <v>1942</v>
      </c>
    </row>
    <row r="44" ht="15" spans="1:8">
      <c r="A44" s="18">
        <v>996.255</v>
      </c>
      <c r="B44" s="124">
        <v>56</v>
      </c>
      <c r="C44" s="124" t="s">
        <v>129</v>
      </c>
      <c r="D44" s="126" t="s">
        <v>228</v>
      </c>
      <c r="E44" s="125" t="s">
        <v>41</v>
      </c>
      <c r="F44" s="129" t="s">
        <v>2048</v>
      </c>
      <c r="G44" s="126">
        <v>1</v>
      </c>
      <c r="H44" s="12" t="s">
        <v>1942</v>
      </c>
    </row>
    <row r="45" ht="15" spans="1:8">
      <c r="A45" s="18">
        <v>996.2634</v>
      </c>
      <c r="B45" s="12">
        <v>56</v>
      </c>
      <c r="C45" s="12" t="s">
        <v>129</v>
      </c>
      <c r="D45" s="19" t="s">
        <v>290</v>
      </c>
      <c r="E45" s="19" t="s">
        <v>467</v>
      </c>
      <c r="F45" s="21" t="s">
        <v>2049</v>
      </c>
      <c r="G45" s="19">
        <v>1</v>
      </c>
      <c r="H45" s="12" t="s">
        <v>1942</v>
      </c>
    </row>
    <row r="46" ht="15" spans="1:8">
      <c r="A46" s="18">
        <v>996.2549</v>
      </c>
      <c r="B46" s="12">
        <v>57</v>
      </c>
      <c r="C46" s="12" t="s">
        <v>129</v>
      </c>
      <c r="D46" s="19" t="s">
        <v>231</v>
      </c>
      <c r="E46" s="19" t="s">
        <v>716</v>
      </c>
      <c r="F46" s="21" t="s">
        <v>2050</v>
      </c>
      <c r="G46" s="19">
        <v>1</v>
      </c>
      <c r="H46" s="12" t="s">
        <v>1942</v>
      </c>
    </row>
    <row r="47" ht="15" spans="1:8">
      <c r="A47" s="112">
        <v>996.248</v>
      </c>
      <c r="B47" s="124">
        <v>57</v>
      </c>
      <c r="C47" s="124" t="s">
        <v>129</v>
      </c>
      <c r="D47" s="126" t="s">
        <v>235</v>
      </c>
      <c r="E47" s="126" t="s">
        <v>997</v>
      </c>
      <c r="F47" s="127" t="s">
        <v>2051</v>
      </c>
      <c r="G47" s="126">
        <v>1</v>
      </c>
      <c r="H47" s="128">
        <v>20250801</v>
      </c>
    </row>
    <row r="48" ht="15" spans="1:8">
      <c r="A48" s="112">
        <v>996.235</v>
      </c>
      <c r="B48" s="124">
        <v>59</v>
      </c>
      <c r="C48" s="124" t="s">
        <v>129</v>
      </c>
      <c r="D48" s="125" t="s">
        <v>40</v>
      </c>
      <c r="E48" s="126" t="s">
        <v>716</v>
      </c>
      <c r="F48" s="127" t="s">
        <v>2052</v>
      </c>
      <c r="G48" s="126">
        <v>1</v>
      </c>
      <c r="H48" s="128">
        <v>20250801</v>
      </c>
    </row>
    <row r="49" ht="15" spans="1:8">
      <c r="A49" s="18">
        <v>996.234</v>
      </c>
      <c r="B49" s="12">
        <v>60</v>
      </c>
      <c r="C49" s="12" t="s">
        <v>129</v>
      </c>
      <c r="D49" s="20" t="s">
        <v>40</v>
      </c>
      <c r="E49" s="19" t="s">
        <v>716</v>
      </c>
      <c r="F49" s="21" t="s">
        <v>2053</v>
      </c>
      <c r="G49" s="19">
        <v>1</v>
      </c>
      <c r="H49" s="12" t="s">
        <v>1942</v>
      </c>
    </row>
    <row r="50" ht="15" spans="1:8">
      <c r="A50" s="18">
        <v>996.165</v>
      </c>
      <c r="B50" s="124">
        <v>61</v>
      </c>
      <c r="C50" s="124" t="s">
        <v>129</v>
      </c>
      <c r="D50" s="125" t="s">
        <v>26</v>
      </c>
      <c r="E50" s="126" t="s">
        <v>716</v>
      </c>
      <c r="F50" s="129" t="s">
        <v>2054</v>
      </c>
      <c r="G50" s="126">
        <v>1</v>
      </c>
      <c r="H50" s="12" t="s">
        <v>1942</v>
      </c>
    </row>
    <row r="51" ht="15" spans="1:8">
      <c r="A51" s="18">
        <v>996.2243</v>
      </c>
      <c r="B51" s="12">
        <v>61</v>
      </c>
      <c r="C51" s="12" t="s">
        <v>129</v>
      </c>
      <c r="D51" s="20" t="s">
        <v>40</v>
      </c>
      <c r="E51" s="19" t="s">
        <v>716</v>
      </c>
      <c r="F51" s="21" t="s">
        <v>2055</v>
      </c>
      <c r="G51" s="19">
        <v>1</v>
      </c>
      <c r="H51" s="12" t="s">
        <v>1942</v>
      </c>
    </row>
    <row r="52" ht="15" hidden="1" spans="1:8">
      <c r="A52" s="18">
        <v>996.2133</v>
      </c>
      <c r="B52" s="19">
        <v>62</v>
      </c>
      <c r="C52" s="26" t="s">
        <v>1029</v>
      </c>
      <c r="D52" s="19" t="s">
        <v>228</v>
      </c>
      <c r="E52" s="19" t="s">
        <v>1030</v>
      </c>
      <c r="F52" s="63" t="s">
        <v>2056</v>
      </c>
      <c r="G52" s="19">
        <v>1</v>
      </c>
      <c r="H52" s="12" t="s">
        <v>1942</v>
      </c>
    </row>
    <row r="53" ht="27" hidden="1" spans="1:8">
      <c r="A53" s="18">
        <v>996.692</v>
      </c>
      <c r="B53" s="12" t="s">
        <v>94</v>
      </c>
      <c r="C53" s="73" t="s">
        <v>2057</v>
      </c>
      <c r="D53" s="73" t="s">
        <v>2057</v>
      </c>
      <c r="E53" s="20" t="s">
        <v>97</v>
      </c>
      <c r="F53" s="63" t="s">
        <v>1577</v>
      </c>
      <c r="G53" s="19">
        <v>1</v>
      </c>
      <c r="H53" s="12" t="s">
        <v>1942</v>
      </c>
    </row>
    <row r="54" ht="27" hidden="1" spans="1:8">
      <c r="A54" s="18">
        <v>996.616</v>
      </c>
      <c r="B54" s="12" t="s">
        <v>99</v>
      </c>
      <c r="C54" s="73" t="s">
        <v>2057</v>
      </c>
      <c r="D54" s="73" t="s">
        <v>2057</v>
      </c>
      <c r="E54" s="20" t="s">
        <v>97</v>
      </c>
      <c r="F54" s="63" t="s">
        <v>1577</v>
      </c>
      <c r="G54" s="19">
        <v>1</v>
      </c>
      <c r="H54" s="12" t="s">
        <v>1942</v>
      </c>
    </row>
    <row r="55" ht="27" hidden="1" spans="1:8">
      <c r="A55" s="18">
        <v>996.537</v>
      </c>
      <c r="B55" s="12" t="s">
        <v>100</v>
      </c>
      <c r="C55" s="73" t="s">
        <v>2057</v>
      </c>
      <c r="D55" s="73" t="s">
        <v>2057</v>
      </c>
      <c r="E55" s="20" t="s">
        <v>97</v>
      </c>
      <c r="F55" s="63" t="s">
        <v>1577</v>
      </c>
      <c r="G55" s="19">
        <v>1</v>
      </c>
      <c r="H55" s="12" t="s">
        <v>1942</v>
      </c>
    </row>
    <row r="56" ht="27" hidden="1" spans="1:8">
      <c r="A56" s="18">
        <v>996.458</v>
      </c>
      <c r="B56" s="12" t="s">
        <v>101</v>
      </c>
      <c r="C56" s="73" t="s">
        <v>2057</v>
      </c>
      <c r="D56" s="73" t="s">
        <v>2057</v>
      </c>
      <c r="E56" s="20" t="s">
        <v>97</v>
      </c>
      <c r="F56" s="63" t="s">
        <v>1577</v>
      </c>
      <c r="G56" s="19">
        <v>1</v>
      </c>
      <c r="H56" s="12" t="s">
        <v>1942</v>
      </c>
    </row>
    <row r="57" ht="27" hidden="1" spans="1:8">
      <c r="A57" s="18">
        <v>996.379</v>
      </c>
      <c r="B57" s="12" t="s">
        <v>102</v>
      </c>
      <c r="C57" s="73" t="s">
        <v>2057</v>
      </c>
      <c r="D57" s="73" t="s">
        <v>2057</v>
      </c>
      <c r="E57" s="20" t="s">
        <v>97</v>
      </c>
      <c r="F57" s="63" t="s">
        <v>1577</v>
      </c>
      <c r="G57" s="19">
        <v>1</v>
      </c>
      <c r="H57" s="12" t="s">
        <v>1942</v>
      </c>
    </row>
    <row r="58" ht="27" hidden="1" spans="1:8">
      <c r="A58" s="18">
        <v>996.3</v>
      </c>
      <c r="B58" s="12" t="s">
        <v>103</v>
      </c>
      <c r="C58" s="73" t="s">
        <v>2057</v>
      </c>
      <c r="D58" s="73" t="s">
        <v>2057</v>
      </c>
      <c r="E58" s="20" t="s">
        <v>97</v>
      </c>
      <c r="F58" s="63" t="s">
        <v>1577</v>
      </c>
      <c r="G58" s="19">
        <v>1</v>
      </c>
      <c r="H58" s="12" t="s">
        <v>1942</v>
      </c>
    </row>
    <row r="59" ht="27" hidden="1" spans="1:8">
      <c r="A59" s="18">
        <v>996.221</v>
      </c>
      <c r="B59" s="12" t="s">
        <v>2058</v>
      </c>
      <c r="C59" s="73" t="s">
        <v>2057</v>
      </c>
      <c r="D59" s="73" t="s">
        <v>2057</v>
      </c>
      <c r="E59" s="20" t="s">
        <v>97</v>
      </c>
      <c r="F59" s="63" t="s">
        <v>1577</v>
      </c>
      <c r="G59" s="19">
        <v>1</v>
      </c>
      <c r="H59" s="12" t="s">
        <v>1942</v>
      </c>
    </row>
  </sheetData>
  <autoFilter xmlns:etc="http://www.wps.cn/officeDocument/2017/etCustomData" ref="A1:H59" etc:filterBottomFollowUsedRange="0">
    <filterColumn colId="2">
      <customFilters>
        <customFilter operator="equal" val="衬砌"/>
      </customFilters>
    </filterColumn>
    <extLst/>
  </autoFilter>
  <sortState ref="A3:H48">
    <sortCondition ref="B2:B48"/>
  </sortState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87"/>
  <sheetViews>
    <sheetView topLeftCell="A62" workbookViewId="0">
      <selection activeCell="K18" sqref="K18"/>
    </sheetView>
  </sheetViews>
  <sheetFormatPr defaultColWidth="9" defaultRowHeight="15" outlineLevelCol="7"/>
  <cols>
    <col min="2" max="2" width="9.125" style="4" customWidth="1"/>
    <col min="3" max="5" width="9" style="4"/>
    <col min="6" max="6" width="84.375" style="16" customWidth="1"/>
    <col min="7" max="7" width="9.125" customWidth="1"/>
    <col min="8" max="8" width="9.5" customWidth="1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spans="1:8">
      <c r="A2" s="18">
        <v>998.468</v>
      </c>
      <c r="B2" s="12">
        <v>0</v>
      </c>
      <c r="C2" s="12" t="s">
        <v>542</v>
      </c>
      <c r="D2" s="12" t="s">
        <v>550</v>
      </c>
      <c r="E2" s="19" t="s">
        <v>771</v>
      </c>
      <c r="F2" s="109" t="s">
        <v>2059</v>
      </c>
      <c r="G2" s="19">
        <v>2</v>
      </c>
      <c r="H2" s="35">
        <v>20250801</v>
      </c>
    </row>
    <row r="3" ht="14.25" customHeight="1" spans="1:8">
      <c r="A3" s="18">
        <v>999.068</v>
      </c>
      <c r="B3" s="12">
        <v>0</v>
      </c>
      <c r="C3" s="12" t="s">
        <v>224</v>
      </c>
      <c r="D3" s="12" t="s">
        <v>225</v>
      </c>
      <c r="E3" s="19" t="s">
        <v>997</v>
      </c>
      <c r="F3" s="109" t="s">
        <v>2060</v>
      </c>
      <c r="G3" s="19">
        <v>1</v>
      </c>
      <c r="H3" s="35">
        <v>20250801</v>
      </c>
    </row>
    <row r="4" spans="1:8">
      <c r="A4" s="18">
        <v>998.468</v>
      </c>
      <c r="B4" s="22">
        <v>1</v>
      </c>
      <c r="C4" s="22" t="s">
        <v>12</v>
      </c>
      <c r="D4" s="22" t="s">
        <v>12</v>
      </c>
      <c r="E4" s="22" t="s">
        <v>13</v>
      </c>
      <c r="F4" s="31" t="s">
        <v>2061</v>
      </c>
      <c r="G4" s="22">
        <v>1</v>
      </c>
      <c r="H4" s="35">
        <v>20250801</v>
      </c>
    </row>
    <row r="5" spans="1:8">
      <c r="A5" s="18">
        <v>998.468</v>
      </c>
      <c r="B5" s="22">
        <v>1</v>
      </c>
      <c r="C5" s="22" t="s">
        <v>12</v>
      </c>
      <c r="D5" s="22" t="s">
        <v>12</v>
      </c>
      <c r="E5" s="23" t="s">
        <v>314</v>
      </c>
      <c r="F5" s="31" t="s">
        <v>2062</v>
      </c>
      <c r="G5" s="22">
        <v>1</v>
      </c>
      <c r="H5" s="35">
        <v>20250801</v>
      </c>
    </row>
    <row r="6" spans="1:8">
      <c r="A6" s="18">
        <v>998.47</v>
      </c>
      <c r="B6" s="70">
        <v>1</v>
      </c>
      <c r="C6" s="29" t="s">
        <v>238</v>
      </c>
      <c r="D6" s="19" t="s">
        <v>228</v>
      </c>
      <c r="E6" s="19" t="s">
        <v>1030</v>
      </c>
      <c r="F6" s="21" t="s">
        <v>2063</v>
      </c>
      <c r="G6" s="19">
        <v>1</v>
      </c>
      <c r="H6" s="35">
        <v>20250801</v>
      </c>
    </row>
    <row r="7" ht="15.75" spans="1:8">
      <c r="A7" s="18">
        <v>998.47</v>
      </c>
      <c r="B7" s="110">
        <v>1</v>
      </c>
      <c r="C7" s="29" t="s">
        <v>238</v>
      </c>
      <c r="D7" s="19" t="s">
        <v>235</v>
      </c>
      <c r="E7" s="27" t="s">
        <v>2064</v>
      </c>
      <c r="F7" s="31" t="s">
        <v>2065</v>
      </c>
      <c r="G7" s="27">
        <v>1</v>
      </c>
      <c r="H7" s="35">
        <v>20250801</v>
      </c>
    </row>
    <row r="8" ht="15.75" spans="1:8">
      <c r="A8" s="18">
        <v>998.47</v>
      </c>
      <c r="B8" s="68">
        <v>1</v>
      </c>
      <c r="C8" s="29" t="s">
        <v>247</v>
      </c>
      <c r="D8" s="25" t="s">
        <v>264</v>
      </c>
      <c r="E8" s="25" t="s">
        <v>410</v>
      </c>
      <c r="F8" s="66" t="s">
        <v>2066</v>
      </c>
      <c r="G8" s="111">
        <v>1</v>
      </c>
      <c r="H8" s="35">
        <v>20250801</v>
      </c>
    </row>
    <row r="9" spans="1:8">
      <c r="A9" s="18">
        <v>998.4759</v>
      </c>
      <c r="B9" s="12">
        <v>2</v>
      </c>
      <c r="C9" s="12" t="s">
        <v>129</v>
      </c>
      <c r="D9" s="19" t="s">
        <v>228</v>
      </c>
      <c r="E9" s="19" t="s">
        <v>997</v>
      </c>
      <c r="F9" s="21" t="s">
        <v>509</v>
      </c>
      <c r="G9" s="19">
        <v>1</v>
      </c>
      <c r="H9" s="35">
        <v>20250801</v>
      </c>
    </row>
    <row r="10" spans="1:8">
      <c r="A10" s="18">
        <v>998.4759</v>
      </c>
      <c r="B10" s="12">
        <v>2</v>
      </c>
      <c r="C10" s="12" t="s">
        <v>129</v>
      </c>
      <c r="D10" s="19" t="s">
        <v>235</v>
      </c>
      <c r="E10" s="19" t="s">
        <v>997</v>
      </c>
      <c r="F10" s="21" t="s">
        <v>2067</v>
      </c>
      <c r="G10" s="19">
        <v>1</v>
      </c>
      <c r="H10" s="35">
        <v>20250801</v>
      </c>
    </row>
    <row r="11" spans="1:8">
      <c r="A11" s="18">
        <v>998.4919</v>
      </c>
      <c r="B11" s="12">
        <v>3</v>
      </c>
      <c r="C11" s="12" t="s">
        <v>129</v>
      </c>
      <c r="D11" s="19" t="s">
        <v>290</v>
      </c>
      <c r="E11" s="19" t="s">
        <v>511</v>
      </c>
      <c r="F11" s="21" t="s">
        <v>2068</v>
      </c>
      <c r="G11" s="19">
        <v>1</v>
      </c>
      <c r="H11" s="35">
        <v>20250801</v>
      </c>
    </row>
    <row r="12" spans="1:8">
      <c r="A12" s="18">
        <v>998.4849</v>
      </c>
      <c r="B12" s="22">
        <v>3</v>
      </c>
      <c r="C12" s="22" t="s">
        <v>12</v>
      </c>
      <c r="D12" s="22" t="s">
        <v>12</v>
      </c>
      <c r="E12" s="22" t="s">
        <v>13</v>
      </c>
      <c r="F12" s="31" t="s">
        <v>1680</v>
      </c>
      <c r="G12" s="22">
        <v>1</v>
      </c>
      <c r="H12" s="35">
        <v>20250801</v>
      </c>
    </row>
    <row r="13" ht="27" spans="1:8">
      <c r="A13" s="18">
        <v>998.4919</v>
      </c>
      <c r="B13" s="111">
        <v>3</v>
      </c>
      <c r="C13" s="29" t="s">
        <v>238</v>
      </c>
      <c r="D13" s="27" t="s">
        <v>2069</v>
      </c>
      <c r="E13" s="19" t="s">
        <v>1030</v>
      </c>
      <c r="F13" s="21" t="s">
        <v>2070</v>
      </c>
      <c r="G13" s="19">
        <v>1</v>
      </c>
      <c r="H13" s="35">
        <v>20250801</v>
      </c>
    </row>
    <row r="14" ht="27" spans="1:8">
      <c r="A14" s="112">
        <v>998.4919</v>
      </c>
      <c r="B14" s="113">
        <v>3</v>
      </c>
      <c r="C14" s="114" t="s">
        <v>8</v>
      </c>
      <c r="D14" s="115" t="s">
        <v>2071</v>
      </c>
      <c r="E14" s="115" t="s">
        <v>314</v>
      </c>
      <c r="F14" s="116" t="s">
        <v>2072</v>
      </c>
      <c r="G14" s="27">
        <v>1</v>
      </c>
      <c r="H14" s="35">
        <v>20250801</v>
      </c>
    </row>
    <row r="15" spans="1:8">
      <c r="A15" s="18">
        <v>998.4948</v>
      </c>
      <c r="B15" s="12">
        <v>4</v>
      </c>
      <c r="C15" s="12" t="s">
        <v>129</v>
      </c>
      <c r="D15" s="19" t="s">
        <v>235</v>
      </c>
      <c r="E15" s="19" t="s">
        <v>997</v>
      </c>
      <c r="F15" s="109" t="s">
        <v>2073</v>
      </c>
      <c r="G15" s="19">
        <v>1</v>
      </c>
      <c r="H15" s="35">
        <v>20250801</v>
      </c>
    </row>
    <row r="16" spans="1:8">
      <c r="A16" s="18">
        <v>998.5043</v>
      </c>
      <c r="B16" s="12">
        <v>5</v>
      </c>
      <c r="C16" s="28" t="s">
        <v>8</v>
      </c>
      <c r="D16" s="20" t="s">
        <v>40</v>
      </c>
      <c r="E16" s="20" t="s">
        <v>15</v>
      </c>
      <c r="F16" s="21" t="s">
        <v>2074</v>
      </c>
      <c r="G16" s="19">
        <v>1</v>
      </c>
      <c r="H16" s="35">
        <v>20250801</v>
      </c>
    </row>
    <row r="17" spans="1:8">
      <c r="A17" s="18">
        <v>998.4998</v>
      </c>
      <c r="B17" s="12">
        <v>5</v>
      </c>
      <c r="C17" s="12" t="s">
        <v>129</v>
      </c>
      <c r="D17" s="19" t="s">
        <v>228</v>
      </c>
      <c r="E17" s="19" t="s">
        <v>997</v>
      </c>
      <c r="F17" s="21" t="s">
        <v>2075</v>
      </c>
      <c r="G17" s="19">
        <v>1</v>
      </c>
      <c r="H17" s="35">
        <v>20250801</v>
      </c>
    </row>
    <row r="18" spans="1:8">
      <c r="A18" s="18">
        <v>998.5058</v>
      </c>
      <c r="B18" s="22">
        <v>5</v>
      </c>
      <c r="C18" s="22" t="s">
        <v>12</v>
      </c>
      <c r="D18" s="22" t="s">
        <v>12</v>
      </c>
      <c r="E18" s="22" t="s">
        <v>13</v>
      </c>
      <c r="F18" s="31" t="s">
        <v>2076</v>
      </c>
      <c r="G18" s="22">
        <v>1</v>
      </c>
      <c r="H18" s="35">
        <v>20250801</v>
      </c>
    </row>
    <row r="19" spans="1:8">
      <c r="A19" s="18">
        <v>998.5199</v>
      </c>
      <c r="B19" s="25">
        <v>7</v>
      </c>
      <c r="C19" s="29" t="s">
        <v>268</v>
      </c>
      <c r="D19" s="25" t="s">
        <v>364</v>
      </c>
      <c r="E19" s="64" t="s">
        <v>1205</v>
      </c>
      <c r="F19" s="66" t="s">
        <v>1790</v>
      </c>
      <c r="G19" s="111">
        <v>1</v>
      </c>
      <c r="H19" s="35">
        <v>20250801</v>
      </c>
    </row>
    <row r="20" spans="1:8">
      <c r="A20" s="18">
        <v>998.5396</v>
      </c>
      <c r="B20" s="12">
        <v>10</v>
      </c>
      <c r="C20" s="12" t="s">
        <v>129</v>
      </c>
      <c r="D20" s="19" t="s">
        <v>228</v>
      </c>
      <c r="E20" s="19" t="s">
        <v>997</v>
      </c>
      <c r="F20" s="21" t="s">
        <v>252</v>
      </c>
      <c r="G20" s="19">
        <v>1</v>
      </c>
      <c r="H20" s="35">
        <v>20250801</v>
      </c>
    </row>
    <row r="21" ht="18" customHeight="1" spans="1:8">
      <c r="A21" s="18">
        <v>998.5441</v>
      </c>
      <c r="B21" s="22">
        <v>10</v>
      </c>
      <c r="C21" s="22" t="s">
        <v>12</v>
      </c>
      <c r="D21" s="22" t="s">
        <v>12</v>
      </c>
      <c r="E21" s="22" t="s">
        <v>13</v>
      </c>
      <c r="F21" s="31" t="s">
        <v>2077</v>
      </c>
      <c r="G21" s="22">
        <v>1</v>
      </c>
      <c r="H21" s="35">
        <v>20250801</v>
      </c>
    </row>
    <row r="22" spans="1:8">
      <c r="A22" s="18">
        <v>998.5396</v>
      </c>
      <c r="B22" s="25">
        <v>10</v>
      </c>
      <c r="C22" s="29" t="s">
        <v>238</v>
      </c>
      <c r="D22" s="19" t="s">
        <v>290</v>
      </c>
      <c r="E22" s="19" t="s">
        <v>1030</v>
      </c>
      <c r="F22" s="21" t="s">
        <v>2078</v>
      </c>
      <c r="G22" s="27">
        <v>1</v>
      </c>
      <c r="H22" s="35">
        <v>20250801</v>
      </c>
    </row>
    <row r="23" ht="18" customHeight="1" spans="1:8">
      <c r="A23" s="18">
        <v>998.56</v>
      </c>
      <c r="B23" s="22">
        <v>12</v>
      </c>
      <c r="C23" s="22" t="s">
        <v>12</v>
      </c>
      <c r="D23" s="22" t="s">
        <v>12</v>
      </c>
      <c r="E23" s="22" t="s">
        <v>13</v>
      </c>
      <c r="F23" s="31" t="s">
        <v>2079</v>
      </c>
      <c r="G23" s="22">
        <v>1</v>
      </c>
      <c r="H23" s="35">
        <v>20250801</v>
      </c>
    </row>
    <row r="24" ht="40.5" spans="1:8">
      <c r="A24" s="18">
        <v>998.5753</v>
      </c>
      <c r="B24" s="12">
        <v>14</v>
      </c>
      <c r="C24" s="117" t="s">
        <v>878</v>
      </c>
      <c r="D24" s="20" t="s">
        <v>2080</v>
      </c>
      <c r="E24" s="20" t="s">
        <v>2081</v>
      </c>
      <c r="F24" s="21" t="s">
        <v>2082</v>
      </c>
      <c r="G24" s="19">
        <v>1</v>
      </c>
      <c r="H24" s="35">
        <v>20250801</v>
      </c>
    </row>
    <row r="25" spans="1:8">
      <c r="A25" s="18">
        <v>998.5748</v>
      </c>
      <c r="B25" s="22">
        <v>14</v>
      </c>
      <c r="C25" s="22" t="s">
        <v>12</v>
      </c>
      <c r="D25" s="22" t="s">
        <v>12</v>
      </c>
      <c r="E25" s="22" t="s">
        <v>13</v>
      </c>
      <c r="F25" s="31" t="s">
        <v>2083</v>
      </c>
      <c r="G25" s="22">
        <v>1</v>
      </c>
      <c r="H25" s="35">
        <v>20250801</v>
      </c>
    </row>
    <row r="26" ht="40.5" spans="1:8">
      <c r="A26" s="18">
        <v>998.5921</v>
      </c>
      <c r="B26" s="12">
        <v>16</v>
      </c>
      <c r="C26" s="117" t="s">
        <v>878</v>
      </c>
      <c r="D26" s="20" t="s">
        <v>40</v>
      </c>
      <c r="E26" s="20" t="s">
        <v>38</v>
      </c>
      <c r="F26" s="21" t="s">
        <v>2084</v>
      </c>
      <c r="G26" s="19">
        <v>1</v>
      </c>
      <c r="H26" s="35">
        <v>20250801</v>
      </c>
    </row>
    <row r="27" spans="1:8">
      <c r="A27" s="18">
        <v>998.5896</v>
      </c>
      <c r="B27" s="22">
        <v>16</v>
      </c>
      <c r="C27" s="22" t="s">
        <v>12</v>
      </c>
      <c r="D27" s="22" t="s">
        <v>12</v>
      </c>
      <c r="E27" s="22" t="s">
        <v>13</v>
      </c>
      <c r="F27" s="31" t="s">
        <v>2085</v>
      </c>
      <c r="G27" s="22">
        <v>1</v>
      </c>
      <c r="H27" s="35">
        <v>20250801</v>
      </c>
    </row>
    <row r="28" spans="1:8">
      <c r="A28" s="18">
        <v>998.6029</v>
      </c>
      <c r="B28" s="22">
        <v>18</v>
      </c>
      <c r="C28" s="22" t="s">
        <v>12</v>
      </c>
      <c r="D28" s="22" t="s">
        <v>12</v>
      </c>
      <c r="E28" s="22" t="s">
        <v>13</v>
      </c>
      <c r="F28" s="31" t="s">
        <v>2086</v>
      </c>
      <c r="G28" s="22">
        <v>1</v>
      </c>
      <c r="H28" s="35">
        <v>20250801</v>
      </c>
    </row>
    <row r="29" spans="1:8">
      <c r="A29" s="18">
        <v>998.6084</v>
      </c>
      <c r="B29" s="22">
        <v>18</v>
      </c>
      <c r="C29" s="22" t="s">
        <v>12</v>
      </c>
      <c r="D29" s="22" t="s">
        <v>12</v>
      </c>
      <c r="E29" s="22" t="s">
        <v>13</v>
      </c>
      <c r="F29" s="31" t="s">
        <v>2087</v>
      </c>
      <c r="G29" s="22">
        <v>1</v>
      </c>
      <c r="H29" s="35">
        <v>20250801</v>
      </c>
    </row>
    <row r="30" spans="1:8">
      <c r="A30" s="18">
        <v>998.6109</v>
      </c>
      <c r="B30" s="12">
        <v>19</v>
      </c>
      <c r="C30" s="12" t="s">
        <v>129</v>
      </c>
      <c r="D30" s="19" t="s">
        <v>228</v>
      </c>
      <c r="E30" s="19" t="s">
        <v>467</v>
      </c>
      <c r="F30" s="21" t="s">
        <v>2088</v>
      </c>
      <c r="G30" s="19">
        <v>1</v>
      </c>
      <c r="H30" s="35">
        <v>20250801</v>
      </c>
    </row>
    <row r="31" spans="1:8">
      <c r="A31" s="18">
        <v>998.6109</v>
      </c>
      <c r="B31" s="12">
        <v>19</v>
      </c>
      <c r="C31" s="12" t="s">
        <v>129</v>
      </c>
      <c r="D31" s="19" t="s">
        <v>228</v>
      </c>
      <c r="E31" s="19" t="s">
        <v>467</v>
      </c>
      <c r="F31" s="21" t="s">
        <v>2088</v>
      </c>
      <c r="G31" s="19">
        <v>1</v>
      </c>
      <c r="H31" s="35">
        <v>20250801</v>
      </c>
    </row>
    <row r="32" spans="1:8">
      <c r="A32" s="18">
        <v>998.6188</v>
      </c>
      <c r="B32" s="22">
        <v>20</v>
      </c>
      <c r="C32" s="22" t="s">
        <v>12</v>
      </c>
      <c r="D32" s="22" t="s">
        <v>12</v>
      </c>
      <c r="E32" s="22" t="s">
        <v>13</v>
      </c>
      <c r="F32" s="31" t="s">
        <v>2089</v>
      </c>
      <c r="G32" s="22">
        <v>1</v>
      </c>
      <c r="H32" s="35">
        <v>20250801</v>
      </c>
    </row>
    <row r="33" spans="1:8">
      <c r="A33" s="18">
        <v>998.6412</v>
      </c>
      <c r="B33" s="22">
        <v>22</v>
      </c>
      <c r="C33" s="22" t="s">
        <v>12</v>
      </c>
      <c r="D33" s="22" t="s">
        <v>12</v>
      </c>
      <c r="E33" s="22" t="s">
        <v>13</v>
      </c>
      <c r="F33" s="31" t="s">
        <v>2090</v>
      </c>
      <c r="G33" s="22">
        <v>1</v>
      </c>
      <c r="H33" s="35">
        <v>20250801</v>
      </c>
    </row>
    <row r="34" spans="1:8">
      <c r="A34" s="18">
        <v>998.6708</v>
      </c>
      <c r="B34" s="22">
        <v>26</v>
      </c>
      <c r="C34" s="22" t="s">
        <v>12</v>
      </c>
      <c r="D34" s="22" t="s">
        <v>12</v>
      </c>
      <c r="E34" s="22" t="s">
        <v>13</v>
      </c>
      <c r="F34" s="31" t="s">
        <v>2091</v>
      </c>
      <c r="G34" s="22">
        <v>1</v>
      </c>
      <c r="H34" s="35">
        <v>20250801</v>
      </c>
    </row>
    <row r="35" spans="1:8">
      <c r="A35" s="18">
        <v>998.6829</v>
      </c>
      <c r="B35" s="68">
        <v>28</v>
      </c>
      <c r="C35" s="29" t="s">
        <v>238</v>
      </c>
      <c r="D35" s="25" t="s">
        <v>242</v>
      </c>
      <c r="E35" s="25" t="s">
        <v>2092</v>
      </c>
      <c r="F35" s="118" t="s">
        <v>2093</v>
      </c>
      <c r="G35" s="111">
        <v>1</v>
      </c>
      <c r="H35" s="35">
        <v>20250801</v>
      </c>
    </row>
    <row r="36" spans="1:8">
      <c r="A36" s="18">
        <v>998.6909</v>
      </c>
      <c r="B36" s="25">
        <v>29</v>
      </c>
      <c r="C36" s="29" t="s">
        <v>268</v>
      </c>
      <c r="D36" s="25" t="s">
        <v>364</v>
      </c>
      <c r="E36" s="64" t="s">
        <v>1205</v>
      </c>
      <c r="F36" s="66" t="s">
        <v>2094</v>
      </c>
      <c r="G36" s="111">
        <v>1</v>
      </c>
      <c r="H36" s="35">
        <v>20250801</v>
      </c>
    </row>
    <row r="37" spans="1:8">
      <c r="A37" s="18">
        <v>998.7089</v>
      </c>
      <c r="B37" s="12">
        <v>31</v>
      </c>
      <c r="C37" s="12" t="s">
        <v>129</v>
      </c>
      <c r="D37" s="19" t="s">
        <v>272</v>
      </c>
      <c r="E37" s="19" t="s">
        <v>997</v>
      </c>
      <c r="F37" s="109" t="s">
        <v>2095</v>
      </c>
      <c r="G37" s="19">
        <v>1</v>
      </c>
      <c r="H37" s="35">
        <v>20250801</v>
      </c>
    </row>
    <row r="38" spans="1:8">
      <c r="A38" s="18">
        <v>998.7094</v>
      </c>
      <c r="B38" s="12">
        <v>31</v>
      </c>
      <c r="C38" s="12" t="s">
        <v>129</v>
      </c>
      <c r="D38" s="19" t="s">
        <v>231</v>
      </c>
      <c r="E38" s="19" t="s">
        <v>997</v>
      </c>
      <c r="F38" s="109" t="s">
        <v>2096</v>
      </c>
      <c r="G38" s="19">
        <v>1</v>
      </c>
      <c r="H38" s="35">
        <v>20250801</v>
      </c>
    </row>
    <row r="39" spans="1:8">
      <c r="A39" s="18">
        <v>998.7079</v>
      </c>
      <c r="B39" s="22">
        <v>31</v>
      </c>
      <c r="C39" s="22" t="s">
        <v>12</v>
      </c>
      <c r="D39" s="22" t="s">
        <v>12</v>
      </c>
      <c r="E39" s="22" t="s">
        <v>862</v>
      </c>
      <c r="F39" s="31" t="s">
        <v>2097</v>
      </c>
      <c r="G39" s="22">
        <v>1</v>
      </c>
      <c r="H39" s="35">
        <v>20250801</v>
      </c>
    </row>
    <row r="40" spans="1:8">
      <c r="A40" s="18">
        <v>998.7069</v>
      </c>
      <c r="B40" s="25">
        <v>31</v>
      </c>
      <c r="C40" s="29" t="s">
        <v>238</v>
      </c>
      <c r="D40" s="19" t="s">
        <v>290</v>
      </c>
      <c r="E40" s="19" t="s">
        <v>1030</v>
      </c>
      <c r="F40" s="21" t="s">
        <v>2098</v>
      </c>
      <c r="G40" s="19">
        <v>1</v>
      </c>
      <c r="H40" s="35">
        <v>20250801</v>
      </c>
    </row>
    <row r="41" spans="1:8">
      <c r="A41" s="18">
        <v>998.741</v>
      </c>
      <c r="B41" s="22">
        <v>35</v>
      </c>
      <c r="C41" s="22" t="s">
        <v>12</v>
      </c>
      <c r="D41" s="22" t="s">
        <v>12</v>
      </c>
      <c r="E41" s="22" t="s">
        <v>13</v>
      </c>
      <c r="F41" s="31" t="s">
        <v>1671</v>
      </c>
      <c r="G41" s="22">
        <v>1</v>
      </c>
      <c r="H41" s="35">
        <v>20250801</v>
      </c>
    </row>
    <row r="42" spans="1:8">
      <c r="A42" s="18">
        <v>998.736</v>
      </c>
      <c r="B42" s="111">
        <v>35</v>
      </c>
      <c r="C42" s="29" t="s">
        <v>238</v>
      </c>
      <c r="D42" s="19" t="s">
        <v>235</v>
      </c>
      <c r="E42" s="19" t="s">
        <v>1030</v>
      </c>
      <c r="F42" s="21" t="s">
        <v>2099</v>
      </c>
      <c r="G42" s="19">
        <v>1</v>
      </c>
      <c r="H42" s="35">
        <v>20250801</v>
      </c>
    </row>
    <row r="43" spans="1:8">
      <c r="A43" s="18">
        <v>998.7644</v>
      </c>
      <c r="B43" s="12">
        <v>38</v>
      </c>
      <c r="C43" s="12" t="s">
        <v>129</v>
      </c>
      <c r="D43" s="19" t="s">
        <v>228</v>
      </c>
      <c r="E43" s="19" t="s">
        <v>997</v>
      </c>
      <c r="F43" s="109" t="s">
        <v>2100</v>
      </c>
      <c r="G43" s="19">
        <v>1</v>
      </c>
      <c r="H43" s="35">
        <v>20250801</v>
      </c>
    </row>
    <row r="44" spans="1:8">
      <c r="A44" s="18">
        <v>998.7713</v>
      </c>
      <c r="B44" s="22">
        <v>39</v>
      </c>
      <c r="C44" s="22" t="s">
        <v>12</v>
      </c>
      <c r="D44" s="22" t="s">
        <v>12</v>
      </c>
      <c r="E44" s="22" t="s">
        <v>13</v>
      </c>
      <c r="F44" s="31" t="s">
        <v>2101</v>
      </c>
      <c r="G44" s="22">
        <v>1</v>
      </c>
      <c r="H44" s="35">
        <v>20250801</v>
      </c>
    </row>
    <row r="45" spans="1:8">
      <c r="A45" s="18">
        <v>998.7783</v>
      </c>
      <c r="B45" s="22">
        <v>40</v>
      </c>
      <c r="C45" s="23" t="s">
        <v>17</v>
      </c>
      <c r="D45" s="23" t="s">
        <v>18</v>
      </c>
      <c r="E45" s="23" t="s">
        <v>19</v>
      </c>
      <c r="F45" s="31" t="s">
        <v>2102</v>
      </c>
      <c r="G45" s="22">
        <v>1</v>
      </c>
      <c r="H45" s="35">
        <v>20250801</v>
      </c>
    </row>
    <row r="46" spans="1:8">
      <c r="A46" s="18">
        <v>998.802</v>
      </c>
      <c r="B46" s="22">
        <v>43</v>
      </c>
      <c r="C46" s="22" t="s">
        <v>12</v>
      </c>
      <c r="D46" s="22" t="s">
        <v>12</v>
      </c>
      <c r="E46" s="22" t="s">
        <v>13</v>
      </c>
      <c r="F46" s="31" t="s">
        <v>2103</v>
      </c>
      <c r="G46" s="22">
        <v>1</v>
      </c>
      <c r="H46" s="35">
        <v>20250801</v>
      </c>
    </row>
    <row r="47" spans="1:8">
      <c r="A47" s="18">
        <v>998.8284</v>
      </c>
      <c r="B47" s="12">
        <v>46</v>
      </c>
      <c r="C47" s="12" t="s">
        <v>129</v>
      </c>
      <c r="D47" s="19" t="s">
        <v>228</v>
      </c>
      <c r="E47" s="19" t="s">
        <v>467</v>
      </c>
      <c r="F47" s="21" t="s">
        <v>2104</v>
      </c>
      <c r="G47" s="19">
        <v>1</v>
      </c>
      <c r="H47" s="35">
        <v>20250801</v>
      </c>
    </row>
    <row r="48" spans="1:8">
      <c r="A48" s="18">
        <v>998.8306</v>
      </c>
      <c r="B48" s="12">
        <v>47</v>
      </c>
      <c r="C48" s="12" t="s">
        <v>129</v>
      </c>
      <c r="D48" s="20" t="s">
        <v>49</v>
      </c>
      <c r="E48" s="19" t="s">
        <v>467</v>
      </c>
      <c r="F48" s="21" t="s">
        <v>2105</v>
      </c>
      <c r="G48" s="19">
        <v>1</v>
      </c>
      <c r="H48" s="35">
        <v>20250801</v>
      </c>
    </row>
    <row r="49" spans="1:8">
      <c r="A49" s="18">
        <v>998.8451</v>
      </c>
      <c r="B49" s="22">
        <v>48</v>
      </c>
      <c r="C49" s="22" t="s">
        <v>12</v>
      </c>
      <c r="D49" s="22" t="s">
        <v>12</v>
      </c>
      <c r="E49" s="22" t="s">
        <v>13</v>
      </c>
      <c r="F49" s="31" t="s">
        <v>2106</v>
      </c>
      <c r="G49" s="22">
        <v>1</v>
      </c>
      <c r="H49" s="35">
        <v>20250801</v>
      </c>
    </row>
    <row r="50" spans="1:8">
      <c r="A50" s="18">
        <v>998.8461</v>
      </c>
      <c r="B50" s="22">
        <v>49</v>
      </c>
      <c r="C50" s="22" t="s">
        <v>12</v>
      </c>
      <c r="D50" s="22" t="s">
        <v>12</v>
      </c>
      <c r="E50" s="23" t="s">
        <v>2107</v>
      </c>
      <c r="F50" s="31" t="s">
        <v>2108</v>
      </c>
      <c r="G50" s="22">
        <v>1</v>
      </c>
      <c r="H50" s="35">
        <v>20250801</v>
      </c>
    </row>
    <row r="51" spans="1:8">
      <c r="A51" s="18">
        <v>998.8521</v>
      </c>
      <c r="B51" s="68">
        <v>49</v>
      </c>
      <c r="C51" s="29" t="s">
        <v>238</v>
      </c>
      <c r="D51" s="25" t="s">
        <v>242</v>
      </c>
      <c r="E51" s="25" t="s">
        <v>2092</v>
      </c>
      <c r="F51" s="118" t="s">
        <v>2109</v>
      </c>
      <c r="G51" s="111">
        <v>1</v>
      </c>
      <c r="H51" s="35">
        <v>20250801</v>
      </c>
    </row>
    <row r="52" spans="1:8">
      <c r="A52" s="18">
        <v>998.8612</v>
      </c>
      <c r="B52" s="12">
        <v>51</v>
      </c>
      <c r="C52" s="12" t="s">
        <v>129</v>
      </c>
      <c r="D52" s="19" t="s">
        <v>290</v>
      </c>
      <c r="E52" s="20" t="s">
        <v>33</v>
      </c>
      <c r="F52" s="21" t="s">
        <v>2110</v>
      </c>
      <c r="G52" s="19">
        <v>0</v>
      </c>
      <c r="H52" s="35">
        <v>20250801</v>
      </c>
    </row>
    <row r="53" spans="1:8">
      <c r="A53" s="18">
        <v>998.8693</v>
      </c>
      <c r="B53" s="110">
        <v>52</v>
      </c>
      <c r="C53" s="29" t="s">
        <v>238</v>
      </c>
      <c r="D53" s="19" t="s">
        <v>290</v>
      </c>
      <c r="E53" s="19" t="s">
        <v>1030</v>
      </c>
      <c r="F53" s="21" t="s">
        <v>2111</v>
      </c>
      <c r="G53" s="19">
        <v>1</v>
      </c>
      <c r="H53" s="35">
        <v>20250801</v>
      </c>
    </row>
    <row r="54" spans="1:8">
      <c r="A54" s="18">
        <v>998.885</v>
      </c>
      <c r="B54" s="25">
        <v>54</v>
      </c>
      <c r="C54" s="29" t="s">
        <v>238</v>
      </c>
      <c r="D54" s="19" t="s">
        <v>228</v>
      </c>
      <c r="E54" s="19" t="s">
        <v>1030</v>
      </c>
      <c r="F54" s="21" t="s">
        <v>2112</v>
      </c>
      <c r="G54" s="19">
        <v>1</v>
      </c>
      <c r="H54" s="35">
        <v>20250801</v>
      </c>
    </row>
    <row r="55" spans="1:8">
      <c r="A55" s="18">
        <v>998.8929</v>
      </c>
      <c r="B55" s="12">
        <v>55</v>
      </c>
      <c r="C55" s="12" t="s">
        <v>129</v>
      </c>
      <c r="D55" s="19" t="s">
        <v>290</v>
      </c>
      <c r="E55" s="20" t="s">
        <v>33</v>
      </c>
      <c r="F55" s="21" t="s">
        <v>2113</v>
      </c>
      <c r="G55" s="19">
        <v>0</v>
      </c>
      <c r="H55" s="35">
        <v>20250801</v>
      </c>
    </row>
    <row r="56" spans="1:8">
      <c r="A56" s="18">
        <v>998.9009</v>
      </c>
      <c r="B56" s="12">
        <v>56</v>
      </c>
      <c r="C56" s="12" t="s">
        <v>129</v>
      </c>
      <c r="D56" s="19" t="s">
        <v>290</v>
      </c>
      <c r="E56" s="20" t="s">
        <v>33</v>
      </c>
      <c r="F56" s="21" t="s">
        <v>2114</v>
      </c>
      <c r="G56" s="19">
        <v>0</v>
      </c>
      <c r="H56" s="35">
        <v>20250801</v>
      </c>
    </row>
    <row r="57" spans="1:8">
      <c r="A57" s="18">
        <v>998.9103</v>
      </c>
      <c r="B57" s="22">
        <v>57</v>
      </c>
      <c r="C57" s="22" t="s">
        <v>12</v>
      </c>
      <c r="D57" s="22" t="s">
        <v>12</v>
      </c>
      <c r="E57" s="22" t="s">
        <v>13</v>
      </c>
      <c r="F57" s="31" t="s">
        <v>2115</v>
      </c>
      <c r="G57" s="22">
        <v>1</v>
      </c>
      <c r="H57" s="35">
        <v>20250801</v>
      </c>
    </row>
    <row r="58" spans="1:8">
      <c r="A58" s="18">
        <v>998.9266</v>
      </c>
      <c r="B58" s="12">
        <v>59</v>
      </c>
      <c r="C58" s="12" t="s">
        <v>129</v>
      </c>
      <c r="D58" s="19" t="s">
        <v>228</v>
      </c>
      <c r="E58" s="20" t="s">
        <v>33</v>
      </c>
      <c r="F58" s="21" t="s">
        <v>2116</v>
      </c>
      <c r="G58" s="19">
        <v>0</v>
      </c>
      <c r="H58" s="35">
        <v>20250801</v>
      </c>
    </row>
    <row r="59" spans="1:8">
      <c r="A59" s="18">
        <v>998.9246</v>
      </c>
      <c r="B59" s="22">
        <v>59</v>
      </c>
      <c r="C59" s="22" t="s">
        <v>12</v>
      </c>
      <c r="D59" s="22" t="s">
        <v>12</v>
      </c>
      <c r="E59" s="22" t="s">
        <v>13</v>
      </c>
      <c r="F59" s="31" t="s">
        <v>2117</v>
      </c>
      <c r="G59" s="22">
        <v>1</v>
      </c>
      <c r="H59" s="35">
        <v>20250801</v>
      </c>
    </row>
    <row r="60" spans="1:8">
      <c r="A60" s="18">
        <v>998.9301</v>
      </c>
      <c r="B60" s="22">
        <v>59</v>
      </c>
      <c r="C60" s="22" t="s">
        <v>12</v>
      </c>
      <c r="D60" s="22" t="s">
        <v>12</v>
      </c>
      <c r="E60" s="22" t="s">
        <v>13</v>
      </c>
      <c r="F60" s="31" t="s">
        <v>2118</v>
      </c>
      <c r="G60" s="22">
        <v>1</v>
      </c>
      <c r="H60" s="35">
        <v>20250801</v>
      </c>
    </row>
    <row r="61" spans="1:8">
      <c r="A61" s="18">
        <v>998.9367</v>
      </c>
      <c r="B61" s="12">
        <v>60</v>
      </c>
      <c r="C61" s="12" t="s">
        <v>129</v>
      </c>
      <c r="D61" s="20" t="s">
        <v>40</v>
      </c>
      <c r="E61" s="20" t="s">
        <v>15</v>
      </c>
      <c r="F61" s="21" t="s">
        <v>2119</v>
      </c>
      <c r="G61" s="19">
        <v>1</v>
      </c>
      <c r="H61" s="35">
        <v>20250801</v>
      </c>
    </row>
    <row r="62" spans="1:8">
      <c r="A62" s="18">
        <v>998.9327</v>
      </c>
      <c r="B62" s="12">
        <v>60</v>
      </c>
      <c r="C62" s="12" t="s">
        <v>129</v>
      </c>
      <c r="D62" s="19" t="s">
        <v>290</v>
      </c>
      <c r="E62" s="20" t="s">
        <v>33</v>
      </c>
      <c r="F62" s="21" t="s">
        <v>2120</v>
      </c>
      <c r="G62" s="19">
        <v>0</v>
      </c>
      <c r="H62" s="35">
        <v>20250801</v>
      </c>
    </row>
    <row r="63" spans="1:8">
      <c r="A63" s="18">
        <v>998.9327</v>
      </c>
      <c r="B63" s="111">
        <v>60</v>
      </c>
      <c r="C63" s="29" t="s">
        <v>238</v>
      </c>
      <c r="D63" s="19" t="s">
        <v>290</v>
      </c>
      <c r="E63" s="19" t="s">
        <v>1030</v>
      </c>
      <c r="F63" s="21" t="s">
        <v>2111</v>
      </c>
      <c r="G63" s="19">
        <v>1</v>
      </c>
      <c r="H63" s="35">
        <v>20250801</v>
      </c>
    </row>
    <row r="64" spans="1:8">
      <c r="A64" s="18">
        <v>998.9407</v>
      </c>
      <c r="B64" s="12">
        <v>61</v>
      </c>
      <c r="C64" s="12" t="s">
        <v>129</v>
      </c>
      <c r="D64" s="19" t="s">
        <v>290</v>
      </c>
      <c r="E64" s="20" t="s">
        <v>33</v>
      </c>
      <c r="F64" s="21" t="s">
        <v>2121</v>
      </c>
      <c r="G64" s="19">
        <v>0</v>
      </c>
      <c r="H64" s="35">
        <v>20250801</v>
      </c>
    </row>
    <row r="65" spans="1:8">
      <c r="A65" s="18">
        <v>998.9485</v>
      </c>
      <c r="B65" s="12">
        <v>62</v>
      </c>
      <c r="C65" s="12" t="s">
        <v>129</v>
      </c>
      <c r="D65" s="19" t="s">
        <v>231</v>
      </c>
      <c r="E65" s="19" t="s">
        <v>997</v>
      </c>
      <c r="F65" s="21" t="s">
        <v>2122</v>
      </c>
      <c r="G65" s="19">
        <v>1</v>
      </c>
      <c r="H65" s="35">
        <v>20250801</v>
      </c>
    </row>
    <row r="66" spans="1:8">
      <c r="A66" s="18">
        <v>998.9564</v>
      </c>
      <c r="B66" s="12">
        <v>63</v>
      </c>
      <c r="C66" s="12" t="s">
        <v>129</v>
      </c>
      <c r="D66" s="19" t="s">
        <v>228</v>
      </c>
      <c r="E66" s="20" t="s">
        <v>33</v>
      </c>
      <c r="F66" s="21" t="s">
        <v>2123</v>
      </c>
      <c r="G66" s="19">
        <v>0</v>
      </c>
      <c r="H66" s="35">
        <v>20250801</v>
      </c>
    </row>
    <row r="67" spans="1:8">
      <c r="A67" s="18">
        <v>998.9643</v>
      </c>
      <c r="B67" s="12">
        <v>64</v>
      </c>
      <c r="C67" s="12" t="s">
        <v>129</v>
      </c>
      <c r="D67" s="19" t="s">
        <v>290</v>
      </c>
      <c r="E67" s="20" t="s">
        <v>33</v>
      </c>
      <c r="F67" s="21" t="s">
        <v>2113</v>
      </c>
      <c r="G67" s="19">
        <v>0</v>
      </c>
      <c r="H67" s="35">
        <v>20250801</v>
      </c>
    </row>
    <row r="68" spans="1:8">
      <c r="A68" s="18">
        <v>998.98</v>
      </c>
      <c r="B68" s="12">
        <v>66</v>
      </c>
      <c r="C68" s="12" t="s">
        <v>129</v>
      </c>
      <c r="D68" s="19" t="s">
        <v>231</v>
      </c>
      <c r="E68" s="19" t="s">
        <v>997</v>
      </c>
      <c r="F68" s="21" t="s">
        <v>2124</v>
      </c>
      <c r="G68" s="19">
        <v>1</v>
      </c>
      <c r="H68" s="35">
        <v>20250801</v>
      </c>
    </row>
    <row r="69" spans="1:8">
      <c r="A69" s="18">
        <v>998.982</v>
      </c>
      <c r="B69" s="70">
        <v>66</v>
      </c>
      <c r="C69" s="29" t="s">
        <v>247</v>
      </c>
      <c r="D69" s="25" t="s">
        <v>242</v>
      </c>
      <c r="E69" s="25" t="s">
        <v>410</v>
      </c>
      <c r="F69" s="66" t="s">
        <v>2125</v>
      </c>
      <c r="G69" s="111">
        <v>1</v>
      </c>
      <c r="H69" s="35">
        <v>20250801</v>
      </c>
    </row>
    <row r="70" spans="1:8">
      <c r="A70" s="18">
        <v>998.9879</v>
      </c>
      <c r="B70" s="12">
        <v>67</v>
      </c>
      <c r="C70" s="12" t="s">
        <v>129</v>
      </c>
      <c r="D70" s="19" t="s">
        <v>290</v>
      </c>
      <c r="E70" s="20" t="s">
        <v>33</v>
      </c>
      <c r="F70" s="21" t="s">
        <v>2113</v>
      </c>
      <c r="G70" s="19">
        <v>0</v>
      </c>
      <c r="H70" s="35">
        <v>20250801</v>
      </c>
    </row>
    <row r="71" spans="1:8">
      <c r="A71" s="18">
        <v>998.9879</v>
      </c>
      <c r="B71" s="12">
        <v>67</v>
      </c>
      <c r="C71" s="12" t="s">
        <v>129</v>
      </c>
      <c r="D71" s="19" t="s">
        <v>231</v>
      </c>
      <c r="E71" s="19" t="s">
        <v>997</v>
      </c>
      <c r="F71" s="21" t="s">
        <v>2124</v>
      </c>
      <c r="G71" s="19">
        <v>1</v>
      </c>
      <c r="H71" s="35">
        <v>20250801</v>
      </c>
    </row>
    <row r="72" spans="1:8">
      <c r="A72" s="18">
        <v>998.9959</v>
      </c>
      <c r="B72" s="12">
        <v>68</v>
      </c>
      <c r="C72" s="12" t="s">
        <v>129</v>
      </c>
      <c r="D72" s="19" t="s">
        <v>235</v>
      </c>
      <c r="E72" s="20" t="s">
        <v>33</v>
      </c>
      <c r="F72" s="21" t="s">
        <v>2126</v>
      </c>
      <c r="G72" s="19">
        <v>0</v>
      </c>
      <c r="H72" s="35">
        <v>20250801</v>
      </c>
    </row>
    <row r="73" spans="1:8">
      <c r="A73" s="18">
        <v>998.9959</v>
      </c>
      <c r="B73" s="25">
        <v>68</v>
      </c>
      <c r="C73" s="29" t="s">
        <v>238</v>
      </c>
      <c r="D73" s="19" t="s">
        <v>228</v>
      </c>
      <c r="E73" s="19" t="s">
        <v>1030</v>
      </c>
      <c r="F73" s="21" t="s">
        <v>2127</v>
      </c>
      <c r="G73" s="19">
        <v>1</v>
      </c>
      <c r="H73" s="35">
        <v>20250801</v>
      </c>
    </row>
    <row r="74" spans="1:8">
      <c r="A74" s="18">
        <v>999.0036</v>
      </c>
      <c r="B74" s="68">
        <v>69</v>
      </c>
      <c r="C74" s="29" t="s">
        <v>238</v>
      </c>
      <c r="D74" s="25" t="s">
        <v>242</v>
      </c>
      <c r="E74" s="25" t="s">
        <v>2092</v>
      </c>
      <c r="F74" s="118" t="s">
        <v>2128</v>
      </c>
      <c r="G74" s="111">
        <v>1</v>
      </c>
      <c r="H74" s="35">
        <v>20250801</v>
      </c>
    </row>
    <row r="75" spans="1:8">
      <c r="A75" s="18">
        <v>999.0348</v>
      </c>
      <c r="B75" s="70">
        <v>73</v>
      </c>
      <c r="C75" s="29" t="s">
        <v>238</v>
      </c>
      <c r="D75" s="19" t="s">
        <v>235</v>
      </c>
      <c r="E75" s="19" t="s">
        <v>1030</v>
      </c>
      <c r="F75" s="21" t="s">
        <v>2129</v>
      </c>
      <c r="G75" s="19">
        <v>1</v>
      </c>
      <c r="H75" s="35">
        <v>20250801</v>
      </c>
    </row>
    <row r="76" spans="1:8">
      <c r="A76" s="18">
        <v>999.0587</v>
      </c>
      <c r="B76" s="12">
        <v>76</v>
      </c>
      <c r="C76" s="12" t="s">
        <v>129</v>
      </c>
      <c r="D76" s="19" t="s">
        <v>228</v>
      </c>
      <c r="E76" s="19" t="s">
        <v>997</v>
      </c>
      <c r="F76" s="21" t="s">
        <v>2130</v>
      </c>
      <c r="G76" s="19">
        <v>1</v>
      </c>
      <c r="H76" s="35">
        <v>20250801</v>
      </c>
    </row>
    <row r="77" spans="1:8">
      <c r="A77" s="18">
        <v>999.0587</v>
      </c>
      <c r="B77" s="12">
        <v>76</v>
      </c>
      <c r="C77" s="12" t="s">
        <v>129</v>
      </c>
      <c r="D77" s="19" t="s">
        <v>235</v>
      </c>
      <c r="E77" s="19" t="s">
        <v>997</v>
      </c>
      <c r="F77" s="21" t="s">
        <v>2131</v>
      </c>
      <c r="G77" s="19">
        <v>1</v>
      </c>
      <c r="H77" s="35">
        <v>20250801</v>
      </c>
    </row>
    <row r="78" spans="1:8">
      <c r="A78" s="18">
        <v>999.0655</v>
      </c>
      <c r="B78" s="12">
        <v>77</v>
      </c>
      <c r="C78" s="12" t="s">
        <v>129</v>
      </c>
      <c r="D78" s="19" t="s">
        <v>235</v>
      </c>
      <c r="E78" s="19" t="s">
        <v>997</v>
      </c>
      <c r="F78" s="21" t="s">
        <v>2132</v>
      </c>
      <c r="G78" s="19">
        <v>1</v>
      </c>
      <c r="H78" s="35">
        <v>20250801</v>
      </c>
    </row>
    <row r="79" ht="27" spans="1:8">
      <c r="A79" s="18">
        <v>998.468</v>
      </c>
      <c r="B79" s="15" t="s">
        <v>94</v>
      </c>
      <c r="C79" s="22" t="s">
        <v>170</v>
      </c>
      <c r="D79" s="22" t="s">
        <v>170</v>
      </c>
      <c r="E79" s="22" t="s">
        <v>172</v>
      </c>
      <c r="F79" s="31" t="s">
        <v>222</v>
      </c>
      <c r="G79" s="22">
        <v>1</v>
      </c>
      <c r="H79" s="35">
        <v>20250801</v>
      </c>
    </row>
    <row r="80" ht="27" spans="1:8">
      <c r="A80" s="18">
        <v>998.548</v>
      </c>
      <c r="B80" s="15" t="s">
        <v>99</v>
      </c>
      <c r="C80" s="22" t="s">
        <v>170</v>
      </c>
      <c r="D80" s="22" t="s">
        <v>170</v>
      </c>
      <c r="E80" s="22" t="s">
        <v>172</v>
      </c>
      <c r="F80" s="31" t="s">
        <v>222</v>
      </c>
      <c r="G80" s="22">
        <v>1</v>
      </c>
      <c r="H80" s="35">
        <v>20250801</v>
      </c>
    </row>
    <row r="81" ht="27" spans="1:8">
      <c r="A81" s="18">
        <v>998.627</v>
      </c>
      <c r="B81" s="15" t="s">
        <v>100</v>
      </c>
      <c r="C81" s="22" t="s">
        <v>170</v>
      </c>
      <c r="D81" s="22" t="s">
        <v>170</v>
      </c>
      <c r="E81" s="22" t="s">
        <v>172</v>
      </c>
      <c r="F81" s="31" t="s">
        <v>222</v>
      </c>
      <c r="G81" s="22">
        <v>1</v>
      </c>
      <c r="H81" s="35">
        <v>20250801</v>
      </c>
    </row>
    <row r="82" ht="27" spans="1:8">
      <c r="A82" s="18">
        <v>998.707</v>
      </c>
      <c r="B82" s="15" t="s">
        <v>101</v>
      </c>
      <c r="C82" s="22" t="s">
        <v>170</v>
      </c>
      <c r="D82" s="22" t="s">
        <v>170</v>
      </c>
      <c r="E82" s="22" t="s">
        <v>172</v>
      </c>
      <c r="F82" s="31" t="s">
        <v>222</v>
      </c>
      <c r="G82" s="22">
        <v>1</v>
      </c>
      <c r="H82" s="35">
        <v>20250801</v>
      </c>
    </row>
    <row r="83" ht="27" spans="1:8">
      <c r="A83" s="18">
        <v>998.783</v>
      </c>
      <c r="B83" s="15" t="s">
        <v>102</v>
      </c>
      <c r="C83" s="22" t="s">
        <v>170</v>
      </c>
      <c r="D83" s="22" t="s">
        <v>170</v>
      </c>
      <c r="E83" s="22" t="s">
        <v>172</v>
      </c>
      <c r="F83" s="31" t="s">
        <v>222</v>
      </c>
      <c r="G83" s="22">
        <v>1</v>
      </c>
      <c r="H83" s="35">
        <v>20250801</v>
      </c>
    </row>
    <row r="84" ht="27" spans="1:8">
      <c r="A84" s="18">
        <v>998.861</v>
      </c>
      <c r="B84" s="15" t="s">
        <v>103</v>
      </c>
      <c r="C84" s="22" t="s">
        <v>170</v>
      </c>
      <c r="D84" s="22" t="s">
        <v>170</v>
      </c>
      <c r="E84" s="22" t="s">
        <v>172</v>
      </c>
      <c r="F84" s="31" t="s">
        <v>222</v>
      </c>
      <c r="G84" s="22">
        <v>1</v>
      </c>
      <c r="H84" s="35">
        <v>20250801</v>
      </c>
    </row>
    <row r="85" ht="27" spans="1:8">
      <c r="A85" s="18">
        <v>998.941</v>
      </c>
      <c r="B85" s="15" t="s">
        <v>223</v>
      </c>
      <c r="C85" s="22" t="s">
        <v>170</v>
      </c>
      <c r="D85" s="22" t="s">
        <v>170</v>
      </c>
      <c r="E85" s="22" t="s">
        <v>172</v>
      </c>
      <c r="F85" s="31" t="s">
        <v>222</v>
      </c>
      <c r="G85" s="22">
        <v>1</v>
      </c>
      <c r="H85" s="35">
        <v>20250801</v>
      </c>
    </row>
    <row r="86" ht="27" spans="1:8">
      <c r="A86" s="18">
        <v>999.019</v>
      </c>
      <c r="B86" s="15" t="s">
        <v>2133</v>
      </c>
      <c r="C86" s="22" t="s">
        <v>170</v>
      </c>
      <c r="D86" s="22" t="s">
        <v>170</v>
      </c>
      <c r="E86" s="22" t="s">
        <v>172</v>
      </c>
      <c r="F86" s="31" t="s">
        <v>222</v>
      </c>
      <c r="G86" s="22">
        <v>1</v>
      </c>
      <c r="H86" s="35">
        <v>20250801</v>
      </c>
    </row>
    <row r="87" spans="1:8">
      <c r="B87" s="119" t="s">
        <v>92</v>
      </c>
      <c r="C87" s="23" t="s">
        <v>88</v>
      </c>
      <c r="D87" s="22" t="s">
        <v>91</v>
      </c>
      <c r="E87" s="22" t="s">
        <v>91</v>
      </c>
      <c r="F87" s="31" t="s">
        <v>2134</v>
      </c>
      <c r="G87" s="22">
        <v>0</v>
      </c>
      <c r="H87" s="35">
        <v>20250801</v>
      </c>
    </row>
  </sheetData>
  <autoFilter xmlns:etc="http://www.wps.cn/officeDocument/2017/etCustomData" ref="A1:H87" etc:filterBottomFollowUsedRange="0">
    <extLst/>
  </autoFilter>
  <sortState ref="A2:H94">
    <sortCondition ref="B2:B94"/>
  </sortState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87"/>
  <sheetViews>
    <sheetView workbookViewId="0">
      <selection activeCell="K25" sqref="K25"/>
    </sheetView>
  </sheetViews>
  <sheetFormatPr defaultColWidth="9" defaultRowHeight="14.25" outlineLevelCol="7"/>
  <cols>
    <col min="2" max="4" width="9" style="4"/>
    <col min="5" max="5" width="10.875" style="4" customWidth="1"/>
    <col min="6" max="6" width="83.125" style="74" customWidth="1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ht="15" spans="1:8">
      <c r="A2" s="99">
        <v>998.515</v>
      </c>
      <c r="B2" s="15">
        <v>0</v>
      </c>
      <c r="C2" s="15" t="s">
        <v>542</v>
      </c>
      <c r="D2" s="15" t="s">
        <v>546</v>
      </c>
      <c r="E2" s="87" t="s">
        <v>771</v>
      </c>
      <c r="F2" s="38" t="s">
        <v>2135</v>
      </c>
      <c r="G2" s="87">
        <v>1</v>
      </c>
      <c r="H2" s="12">
        <v>20250801</v>
      </c>
    </row>
    <row r="3" ht="15" spans="1:8">
      <c r="A3" s="99">
        <v>998.515</v>
      </c>
      <c r="B3" s="15">
        <v>0</v>
      </c>
      <c r="C3" s="15" t="s">
        <v>542</v>
      </c>
      <c r="D3" s="15" t="s">
        <v>546</v>
      </c>
      <c r="E3" s="87" t="s">
        <v>771</v>
      </c>
      <c r="F3" s="38" t="s">
        <v>2136</v>
      </c>
      <c r="G3" s="87">
        <v>2</v>
      </c>
      <c r="H3" s="12">
        <v>20250801</v>
      </c>
    </row>
    <row r="4" ht="15" spans="1:8">
      <c r="A4" s="99">
        <v>999.065</v>
      </c>
      <c r="B4" s="15">
        <v>0</v>
      </c>
      <c r="C4" s="15" t="s">
        <v>224</v>
      </c>
      <c r="D4" s="37" t="s">
        <v>2137</v>
      </c>
      <c r="E4" s="87" t="s">
        <v>997</v>
      </c>
      <c r="F4" s="38" t="s">
        <v>2138</v>
      </c>
      <c r="G4" s="87">
        <v>1</v>
      </c>
      <c r="H4" s="12">
        <v>20250801</v>
      </c>
    </row>
    <row r="5" ht="15" spans="1:8">
      <c r="A5" s="99">
        <v>999.069</v>
      </c>
      <c r="B5" s="15">
        <v>1</v>
      </c>
      <c r="C5" s="15" t="s">
        <v>340</v>
      </c>
      <c r="D5" s="15" t="s">
        <v>341</v>
      </c>
      <c r="E5" s="87" t="s">
        <v>1003</v>
      </c>
      <c r="F5" s="38" t="s">
        <v>1388</v>
      </c>
      <c r="G5" s="87">
        <v>1</v>
      </c>
      <c r="H5" s="12">
        <v>20250801</v>
      </c>
    </row>
    <row r="6" ht="15" spans="1:8">
      <c r="A6" s="99">
        <v>999.073</v>
      </c>
      <c r="B6" s="100">
        <v>1</v>
      </c>
      <c r="C6" s="35" t="s">
        <v>238</v>
      </c>
      <c r="D6" s="87" t="s">
        <v>228</v>
      </c>
      <c r="E6" s="101" t="s">
        <v>2139</v>
      </c>
      <c r="F6" s="102" t="s">
        <v>2140</v>
      </c>
      <c r="G6" s="101">
        <v>1</v>
      </c>
      <c r="H6" s="12">
        <v>20250801</v>
      </c>
    </row>
    <row r="7" ht="15.75" spans="1:8">
      <c r="A7" s="99">
        <v>999.065</v>
      </c>
      <c r="B7" s="35">
        <v>1</v>
      </c>
      <c r="C7" s="86" t="s">
        <v>2141</v>
      </c>
      <c r="D7" s="103" t="s">
        <v>183</v>
      </c>
      <c r="E7" s="35" t="s">
        <v>410</v>
      </c>
      <c r="F7" s="104" t="s">
        <v>2142</v>
      </c>
      <c r="G7" s="35">
        <v>1</v>
      </c>
      <c r="H7" s="12">
        <v>20250801</v>
      </c>
    </row>
    <row r="8" ht="15" spans="1:8">
      <c r="A8" s="99">
        <v>999.0573</v>
      </c>
      <c r="B8" s="15">
        <v>2</v>
      </c>
      <c r="C8" s="15" t="s">
        <v>129</v>
      </c>
      <c r="D8" s="87" t="s">
        <v>290</v>
      </c>
      <c r="E8" s="87" t="s">
        <v>997</v>
      </c>
      <c r="F8" s="38" t="s">
        <v>509</v>
      </c>
      <c r="G8" s="87">
        <v>1</v>
      </c>
      <c r="H8" s="12">
        <v>20250801</v>
      </c>
    </row>
    <row r="9" ht="15" spans="1:8">
      <c r="A9" s="99">
        <v>999.0525</v>
      </c>
      <c r="B9" s="15">
        <v>4</v>
      </c>
      <c r="C9" s="15" t="s">
        <v>340</v>
      </c>
      <c r="D9" s="15" t="s">
        <v>341</v>
      </c>
      <c r="E9" s="87" t="s">
        <v>1003</v>
      </c>
      <c r="F9" s="38" t="s">
        <v>1363</v>
      </c>
      <c r="G9" s="87">
        <v>1</v>
      </c>
      <c r="H9" s="12">
        <v>20250801</v>
      </c>
    </row>
    <row r="10" ht="15" spans="1:8">
      <c r="A10" s="99">
        <v>999.0485</v>
      </c>
      <c r="B10" s="35">
        <v>4</v>
      </c>
      <c r="C10" s="86" t="s">
        <v>122</v>
      </c>
      <c r="D10" s="103" t="s">
        <v>2143</v>
      </c>
      <c r="E10" s="35" t="s">
        <v>2144</v>
      </c>
      <c r="F10" s="102" t="s">
        <v>2145</v>
      </c>
      <c r="G10" s="100">
        <v>1</v>
      </c>
      <c r="H10" s="12">
        <v>20250801</v>
      </c>
    </row>
    <row r="11" ht="15" spans="1:8">
      <c r="A11" s="99">
        <v>999.0397</v>
      </c>
      <c r="B11" s="100">
        <v>5</v>
      </c>
      <c r="C11" s="35" t="s">
        <v>268</v>
      </c>
      <c r="D11" s="87" t="s">
        <v>1903</v>
      </c>
      <c r="E11" s="35" t="s">
        <v>1365</v>
      </c>
      <c r="F11" s="105" t="s">
        <v>2146</v>
      </c>
      <c r="G11" s="35">
        <v>1</v>
      </c>
      <c r="H11" s="12">
        <v>20250801</v>
      </c>
    </row>
    <row r="12" ht="15" spans="1:8">
      <c r="A12" s="99">
        <v>999.0138</v>
      </c>
      <c r="B12" s="15">
        <v>8</v>
      </c>
      <c r="C12" s="15" t="s">
        <v>129</v>
      </c>
      <c r="D12" s="87" t="s">
        <v>290</v>
      </c>
      <c r="E12" s="87" t="s">
        <v>689</v>
      </c>
      <c r="F12" s="38" t="s">
        <v>2147</v>
      </c>
      <c r="G12" s="87">
        <v>0</v>
      </c>
      <c r="H12" s="12">
        <v>20250801</v>
      </c>
    </row>
    <row r="13" ht="15" spans="1:8">
      <c r="A13" s="99">
        <v>999.0218</v>
      </c>
      <c r="B13" s="35">
        <v>8</v>
      </c>
      <c r="C13" s="35" t="s">
        <v>238</v>
      </c>
      <c r="D13" s="87" t="s">
        <v>228</v>
      </c>
      <c r="E13" s="101" t="s">
        <v>2139</v>
      </c>
      <c r="F13" s="102" t="s">
        <v>2148</v>
      </c>
      <c r="G13" s="101">
        <v>1</v>
      </c>
      <c r="H13" s="12">
        <v>20250801</v>
      </c>
    </row>
    <row r="14" ht="15" spans="1:8">
      <c r="A14" s="99">
        <v>998.9983</v>
      </c>
      <c r="B14" s="15">
        <v>10</v>
      </c>
      <c r="C14" s="15" t="s">
        <v>129</v>
      </c>
      <c r="D14" s="87" t="s">
        <v>228</v>
      </c>
      <c r="E14" s="87" t="s">
        <v>689</v>
      </c>
      <c r="F14" s="38" t="s">
        <v>2149</v>
      </c>
      <c r="G14" s="87">
        <v>0</v>
      </c>
      <c r="H14" s="12">
        <v>20250801</v>
      </c>
    </row>
    <row r="15" ht="15" spans="1:8">
      <c r="A15" s="99">
        <v>998.9823</v>
      </c>
      <c r="B15" s="15">
        <v>12</v>
      </c>
      <c r="C15" s="15" t="s">
        <v>129</v>
      </c>
      <c r="D15" s="87" t="s">
        <v>235</v>
      </c>
      <c r="E15" s="87" t="s">
        <v>689</v>
      </c>
      <c r="F15" s="38" t="s">
        <v>2150</v>
      </c>
      <c r="G15" s="87">
        <v>0</v>
      </c>
      <c r="H15" s="12">
        <v>20250801</v>
      </c>
    </row>
    <row r="16" ht="15" spans="1:8">
      <c r="A16" s="99">
        <v>998.9744</v>
      </c>
      <c r="B16" s="15">
        <v>13</v>
      </c>
      <c r="C16" s="15" t="s">
        <v>129</v>
      </c>
      <c r="D16" s="87" t="s">
        <v>228</v>
      </c>
      <c r="E16" s="87" t="s">
        <v>689</v>
      </c>
      <c r="F16" s="38" t="s">
        <v>2151</v>
      </c>
      <c r="G16" s="87">
        <v>0</v>
      </c>
      <c r="H16" s="12">
        <v>20250801</v>
      </c>
    </row>
    <row r="17" ht="15" spans="1:8">
      <c r="A17" s="99">
        <v>998.9585</v>
      </c>
      <c r="B17" s="100">
        <v>15</v>
      </c>
      <c r="C17" s="35" t="s">
        <v>238</v>
      </c>
      <c r="D17" s="87" t="s">
        <v>272</v>
      </c>
      <c r="E17" s="101" t="s">
        <v>2152</v>
      </c>
      <c r="F17" s="102" t="s">
        <v>2153</v>
      </c>
      <c r="G17" s="101">
        <v>1</v>
      </c>
      <c r="H17" s="12">
        <v>20250801</v>
      </c>
    </row>
    <row r="18" ht="15" spans="1:8">
      <c r="A18" s="99">
        <v>998.9586</v>
      </c>
      <c r="B18" s="35">
        <v>16</v>
      </c>
      <c r="C18" s="35" t="s">
        <v>238</v>
      </c>
      <c r="D18" s="87" t="s">
        <v>228</v>
      </c>
      <c r="E18" s="101" t="s">
        <v>2139</v>
      </c>
      <c r="F18" s="102" t="s">
        <v>2154</v>
      </c>
      <c r="G18" s="101">
        <v>1</v>
      </c>
      <c r="H18" s="12">
        <v>20250801</v>
      </c>
    </row>
    <row r="19" ht="15" spans="1:8">
      <c r="A19" s="99">
        <v>998.9349</v>
      </c>
      <c r="B19" s="15">
        <v>18</v>
      </c>
      <c r="C19" s="15" t="s">
        <v>129</v>
      </c>
      <c r="D19" s="87" t="s">
        <v>235</v>
      </c>
      <c r="E19" s="87" t="s">
        <v>689</v>
      </c>
      <c r="F19" s="38" t="s">
        <v>2155</v>
      </c>
      <c r="G19" s="87">
        <v>0</v>
      </c>
      <c r="H19" s="12">
        <v>20250801</v>
      </c>
    </row>
    <row r="20" ht="15" spans="1:8">
      <c r="A20" s="99">
        <v>998.9272</v>
      </c>
      <c r="B20" s="15">
        <v>19</v>
      </c>
      <c r="C20" s="15" t="s">
        <v>129</v>
      </c>
      <c r="D20" s="87" t="s">
        <v>235</v>
      </c>
      <c r="E20" s="87" t="s">
        <v>1616</v>
      </c>
      <c r="F20" s="38" t="s">
        <v>2156</v>
      </c>
      <c r="G20" s="87">
        <v>0</v>
      </c>
      <c r="H20" s="12">
        <v>20250801</v>
      </c>
    </row>
    <row r="21" ht="15" spans="1:8">
      <c r="A21" s="99">
        <v>998.9297</v>
      </c>
      <c r="B21" s="15">
        <v>19</v>
      </c>
      <c r="C21" s="15" t="s">
        <v>129</v>
      </c>
      <c r="D21" s="87" t="s">
        <v>228</v>
      </c>
      <c r="E21" s="87" t="s">
        <v>689</v>
      </c>
      <c r="F21" s="38" t="s">
        <v>2157</v>
      </c>
      <c r="G21" s="87">
        <v>0</v>
      </c>
      <c r="H21" s="12">
        <v>20250801</v>
      </c>
    </row>
    <row r="22" ht="15" spans="1:8">
      <c r="A22" s="99">
        <v>998.9193</v>
      </c>
      <c r="B22" s="15">
        <v>20</v>
      </c>
      <c r="C22" s="15" t="s">
        <v>129</v>
      </c>
      <c r="D22" s="87" t="s">
        <v>228</v>
      </c>
      <c r="E22" s="87" t="s">
        <v>997</v>
      </c>
      <c r="F22" s="38" t="s">
        <v>2158</v>
      </c>
      <c r="G22" s="87">
        <v>1</v>
      </c>
      <c r="H22" s="12">
        <v>20250801</v>
      </c>
    </row>
    <row r="23" ht="15" spans="1:8">
      <c r="A23" s="99">
        <v>998.9193</v>
      </c>
      <c r="B23" s="15">
        <v>20</v>
      </c>
      <c r="C23" s="15" t="s">
        <v>129</v>
      </c>
      <c r="D23" s="87" t="s">
        <v>228</v>
      </c>
      <c r="E23" s="87" t="s">
        <v>716</v>
      </c>
      <c r="F23" s="38" t="s">
        <v>2159</v>
      </c>
      <c r="G23" s="87">
        <v>0</v>
      </c>
      <c r="H23" s="12">
        <v>20250801</v>
      </c>
    </row>
    <row r="24" ht="15" spans="1:8">
      <c r="A24" s="99">
        <v>998.9228</v>
      </c>
      <c r="B24" s="15">
        <v>20</v>
      </c>
      <c r="C24" s="15" t="s">
        <v>129</v>
      </c>
      <c r="D24" s="87" t="s">
        <v>235</v>
      </c>
      <c r="E24" s="87" t="s">
        <v>997</v>
      </c>
      <c r="F24" s="38" t="s">
        <v>2160</v>
      </c>
      <c r="G24" s="87">
        <v>1</v>
      </c>
      <c r="H24" s="12">
        <v>20250801</v>
      </c>
    </row>
    <row r="25" ht="15" spans="1:8">
      <c r="A25" s="99">
        <v>998.9114</v>
      </c>
      <c r="B25" s="15">
        <v>21</v>
      </c>
      <c r="C25" s="15" t="s">
        <v>129</v>
      </c>
      <c r="D25" s="87" t="s">
        <v>290</v>
      </c>
      <c r="E25" s="87" t="s">
        <v>689</v>
      </c>
      <c r="F25" s="38" t="s">
        <v>2161</v>
      </c>
      <c r="G25" s="87">
        <v>0</v>
      </c>
      <c r="H25" s="12">
        <v>20250801</v>
      </c>
    </row>
    <row r="26" ht="15" spans="1:8">
      <c r="A26" s="99">
        <v>998.9144</v>
      </c>
      <c r="B26" s="15">
        <v>23</v>
      </c>
      <c r="C26" s="15" t="s">
        <v>129</v>
      </c>
      <c r="D26" s="87" t="s">
        <v>290</v>
      </c>
      <c r="E26" s="87" t="s">
        <v>689</v>
      </c>
      <c r="F26" s="106" t="s">
        <v>2162</v>
      </c>
      <c r="G26" s="87"/>
      <c r="H26" s="12">
        <v>20250801</v>
      </c>
    </row>
    <row r="27" ht="15" spans="1:8">
      <c r="A27" s="99">
        <v>998.8954</v>
      </c>
      <c r="B27" s="15">
        <v>23</v>
      </c>
      <c r="C27" s="15" t="s">
        <v>129</v>
      </c>
      <c r="D27" s="87" t="s">
        <v>228</v>
      </c>
      <c r="E27" s="87" t="s">
        <v>997</v>
      </c>
      <c r="F27" s="38" t="s">
        <v>2163</v>
      </c>
      <c r="G27" s="87">
        <v>1</v>
      </c>
      <c r="H27" s="12">
        <v>20250801</v>
      </c>
    </row>
    <row r="28" ht="15" spans="1:8">
      <c r="A28" s="99">
        <v>998.8954</v>
      </c>
      <c r="B28" s="35">
        <v>23</v>
      </c>
      <c r="C28" s="86" t="s">
        <v>122</v>
      </c>
      <c r="D28" s="103" t="s">
        <v>2143</v>
      </c>
      <c r="E28" s="35" t="s">
        <v>2092</v>
      </c>
      <c r="F28" s="102" t="s">
        <v>2164</v>
      </c>
      <c r="G28" s="100">
        <v>1</v>
      </c>
      <c r="H28" s="12">
        <v>20250801</v>
      </c>
    </row>
    <row r="29" ht="15" spans="1:8">
      <c r="A29" s="99">
        <v>998.8876</v>
      </c>
      <c r="B29" s="100">
        <v>24</v>
      </c>
      <c r="C29" s="35" t="s">
        <v>238</v>
      </c>
      <c r="D29" s="87" t="s">
        <v>290</v>
      </c>
      <c r="E29" s="101" t="s">
        <v>2139</v>
      </c>
      <c r="F29" s="102" t="s">
        <v>2165</v>
      </c>
      <c r="G29" s="101">
        <v>1</v>
      </c>
      <c r="H29" s="12">
        <v>20250801</v>
      </c>
    </row>
    <row r="30" ht="15" spans="1:8">
      <c r="A30" s="99">
        <v>998.8713</v>
      </c>
      <c r="B30" s="15">
        <v>26</v>
      </c>
      <c r="C30" s="15" t="s">
        <v>129</v>
      </c>
      <c r="D30" s="87" t="s">
        <v>228</v>
      </c>
      <c r="E30" s="87" t="s">
        <v>689</v>
      </c>
      <c r="F30" s="38" t="s">
        <v>2166</v>
      </c>
      <c r="G30" s="87">
        <v>0</v>
      </c>
      <c r="H30" s="12">
        <v>20250801</v>
      </c>
    </row>
    <row r="31" ht="15" spans="1:8">
      <c r="A31" s="99">
        <v>998.8634</v>
      </c>
      <c r="B31" s="15">
        <v>27</v>
      </c>
      <c r="C31" s="15" t="s">
        <v>129</v>
      </c>
      <c r="D31" s="87" t="s">
        <v>228</v>
      </c>
      <c r="E31" s="87" t="s">
        <v>716</v>
      </c>
      <c r="F31" s="38" t="s">
        <v>2167</v>
      </c>
      <c r="G31" s="87">
        <v>1</v>
      </c>
      <c r="H31" s="12">
        <v>20250801</v>
      </c>
    </row>
    <row r="32" ht="15" spans="1:8">
      <c r="A32" s="99">
        <v>998.8633</v>
      </c>
      <c r="B32" s="15">
        <v>27</v>
      </c>
      <c r="C32" s="15" t="s">
        <v>129</v>
      </c>
      <c r="D32" s="87" t="s">
        <v>235</v>
      </c>
      <c r="E32" s="87" t="s">
        <v>689</v>
      </c>
      <c r="F32" s="38" t="s">
        <v>2168</v>
      </c>
      <c r="G32" s="87">
        <v>0</v>
      </c>
      <c r="H32" s="12">
        <v>20250801</v>
      </c>
    </row>
    <row r="33" ht="15" spans="1:8">
      <c r="A33" s="99">
        <v>998.8633</v>
      </c>
      <c r="B33" s="35">
        <v>27</v>
      </c>
      <c r="C33" s="35" t="s">
        <v>238</v>
      </c>
      <c r="D33" s="87" t="s">
        <v>228</v>
      </c>
      <c r="E33" s="101" t="s">
        <v>2139</v>
      </c>
      <c r="F33" s="102" t="s">
        <v>2169</v>
      </c>
      <c r="G33" s="101">
        <v>1</v>
      </c>
      <c r="H33" s="12">
        <v>20250801</v>
      </c>
    </row>
    <row r="34" ht="15" spans="1:8">
      <c r="A34" s="99">
        <v>998.8713</v>
      </c>
      <c r="B34" s="35">
        <v>27</v>
      </c>
      <c r="C34" s="35" t="s">
        <v>238</v>
      </c>
      <c r="D34" s="87" t="s">
        <v>228</v>
      </c>
      <c r="E34" s="101" t="s">
        <v>2139</v>
      </c>
      <c r="F34" s="102" t="s">
        <v>2170</v>
      </c>
      <c r="G34" s="101">
        <v>1</v>
      </c>
      <c r="H34" s="12">
        <v>20250801</v>
      </c>
    </row>
    <row r="35" ht="15" spans="1:8">
      <c r="A35" s="99">
        <v>998.8471</v>
      </c>
      <c r="B35" s="15">
        <v>29</v>
      </c>
      <c r="C35" s="15" t="s">
        <v>129</v>
      </c>
      <c r="D35" s="87" t="s">
        <v>290</v>
      </c>
      <c r="E35" s="87" t="s">
        <v>689</v>
      </c>
      <c r="F35" s="38" t="s">
        <v>2171</v>
      </c>
      <c r="G35" s="87">
        <v>0</v>
      </c>
      <c r="H35" s="12">
        <v>20250801</v>
      </c>
    </row>
    <row r="36" ht="15" spans="1:8">
      <c r="A36" s="99">
        <v>998.8392</v>
      </c>
      <c r="B36" s="100">
        <v>30</v>
      </c>
      <c r="C36" s="35" t="s">
        <v>238</v>
      </c>
      <c r="D36" s="87" t="s">
        <v>235</v>
      </c>
      <c r="E36" s="101" t="s">
        <v>2139</v>
      </c>
      <c r="F36" s="102" t="s">
        <v>2172</v>
      </c>
      <c r="G36" s="101">
        <v>1</v>
      </c>
      <c r="H36" s="12">
        <v>20250801</v>
      </c>
    </row>
    <row r="37" ht="15" spans="1:8">
      <c r="A37" s="99"/>
      <c r="B37" s="15">
        <v>34</v>
      </c>
      <c r="C37" s="15" t="s">
        <v>129</v>
      </c>
      <c r="D37" s="87" t="s">
        <v>228</v>
      </c>
      <c r="E37" s="87" t="s">
        <v>236</v>
      </c>
      <c r="F37" s="38" t="s">
        <v>2173</v>
      </c>
      <c r="G37" s="87">
        <v>1</v>
      </c>
      <c r="H37" s="12">
        <v>20250801</v>
      </c>
    </row>
    <row r="38" ht="15" spans="1:8">
      <c r="A38" s="99">
        <v>998.8144</v>
      </c>
      <c r="B38" s="86">
        <v>34</v>
      </c>
      <c r="C38" s="86" t="s">
        <v>125</v>
      </c>
      <c r="D38" s="86" t="s">
        <v>261</v>
      </c>
      <c r="E38" s="86" t="s">
        <v>777</v>
      </c>
      <c r="F38" s="107" t="s">
        <v>2174</v>
      </c>
      <c r="G38" s="86">
        <v>1</v>
      </c>
      <c r="H38" s="12">
        <v>20250801</v>
      </c>
    </row>
    <row r="39" ht="15" spans="1:8">
      <c r="A39" s="99">
        <v>998.7918</v>
      </c>
      <c r="B39" s="100">
        <v>37</v>
      </c>
      <c r="C39" s="35" t="s">
        <v>238</v>
      </c>
      <c r="D39" s="87" t="s">
        <v>228</v>
      </c>
      <c r="E39" s="101" t="s">
        <v>2139</v>
      </c>
      <c r="F39" s="102" t="s">
        <v>2175</v>
      </c>
      <c r="G39" s="101">
        <v>1</v>
      </c>
      <c r="H39" s="12">
        <v>20250801</v>
      </c>
    </row>
    <row r="40" ht="15" spans="1:8">
      <c r="A40" s="99">
        <v>998.7679</v>
      </c>
      <c r="B40" s="100">
        <v>39</v>
      </c>
      <c r="C40" s="35" t="s">
        <v>238</v>
      </c>
      <c r="D40" s="87" t="s">
        <v>235</v>
      </c>
      <c r="E40" s="101" t="s">
        <v>2139</v>
      </c>
      <c r="F40" s="102" t="s">
        <v>2169</v>
      </c>
      <c r="G40" s="101">
        <v>1</v>
      </c>
      <c r="H40" s="12">
        <v>20250801</v>
      </c>
    </row>
    <row r="41" ht="15" spans="1:8">
      <c r="A41" s="99">
        <v>998.7601</v>
      </c>
      <c r="B41" s="15">
        <v>40</v>
      </c>
      <c r="C41" s="15" t="s">
        <v>129</v>
      </c>
      <c r="D41" s="87" t="s">
        <v>290</v>
      </c>
      <c r="E41" s="87" t="s">
        <v>689</v>
      </c>
      <c r="F41" s="38" t="s">
        <v>2113</v>
      </c>
      <c r="G41" s="87">
        <v>0</v>
      </c>
      <c r="H41" s="12">
        <v>20250801</v>
      </c>
    </row>
    <row r="42" ht="15" spans="1:8">
      <c r="A42" s="99">
        <v>998.7603</v>
      </c>
      <c r="B42" s="15">
        <v>40</v>
      </c>
      <c r="C42" s="15" t="s">
        <v>129</v>
      </c>
      <c r="D42" s="87" t="s">
        <v>228</v>
      </c>
      <c r="E42" s="87" t="s">
        <v>716</v>
      </c>
      <c r="F42" s="38" t="s">
        <v>1419</v>
      </c>
      <c r="G42" s="87">
        <v>1</v>
      </c>
      <c r="H42" s="12">
        <v>20250801</v>
      </c>
    </row>
    <row r="43" ht="15" spans="1:8">
      <c r="A43" s="99">
        <v>998.7601</v>
      </c>
      <c r="B43" s="86">
        <v>40</v>
      </c>
      <c r="C43" s="86" t="s">
        <v>125</v>
      </c>
      <c r="D43" s="86" t="s">
        <v>261</v>
      </c>
      <c r="E43" s="86" t="s">
        <v>777</v>
      </c>
      <c r="F43" s="107" t="s">
        <v>2176</v>
      </c>
      <c r="G43" s="86">
        <v>1</v>
      </c>
      <c r="H43" s="12">
        <v>20250801</v>
      </c>
    </row>
    <row r="44" ht="15" spans="1:8">
      <c r="A44" s="99">
        <v>998.7522</v>
      </c>
      <c r="B44" s="100">
        <v>41</v>
      </c>
      <c r="C44" s="35" t="s">
        <v>238</v>
      </c>
      <c r="D44" s="87" t="s">
        <v>228</v>
      </c>
      <c r="E44" s="101" t="s">
        <v>2139</v>
      </c>
      <c r="F44" s="102" t="s">
        <v>2165</v>
      </c>
      <c r="G44" s="101">
        <v>1</v>
      </c>
      <c r="H44" s="12">
        <v>20250801</v>
      </c>
    </row>
    <row r="45" ht="15" spans="1:8">
      <c r="A45" s="99">
        <v>998.7394</v>
      </c>
      <c r="B45" s="86">
        <v>43</v>
      </c>
      <c r="C45" s="86" t="s">
        <v>125</v>
      </c>
      <c r="D45" s="86" t="s">
        <v>261</v>
      </c>
      <c r="E45" s="86" t="s">
        <v>777</v>
      </c>
      <c r="F45" s="107" t="s">
        <v>2177</v>
      </c>
      <c r="G45" s="86">
        <v>1</v>
      </c>
      <c r="H45" s="12">
        <v>20250801</v>
      </c>
    </row>
    <row r="46" ht="15" spans="1:8">
      <c r="A46" s="99">
        <v>998.7364</v>
      </c>
      <c r="B46" s="100">
        <v>43</v>
      </c>
      <c r="C46" s="35" t="s">
        <v>238</v>
      </c>
      <c r="D46" s="87" t="s">
        <v>235</v>
      </c>
      <c r="E46" s="101" t="s">
        <v>2139</v>
      </c>
      <c r="F46" s="102" t="s">
        <v>2165</v>
      </c>
      <c r="G46" s="101">
        <v>1</v>
      </c>
      <c r="H46" s="12">
        <v>20250801</v>
      </c>
    </row>
    <row r="47" ht="15" spans="1:8">
      <c r="A47" s="99">
        <v>998.7206</v>
      </c>
      <c r="B47" s="15">
        <v>45</v>
      </c>
      <c r="C47" s="15" t="s">
        <v>129</v>
      </c>
      <c r="D47" s="87" t="s">
        <v>228</v>
      </c>
      <c r="E47" s="87" t="s">
        <v>716</v>
      </c>
      <c r="F47" s="38" t="s">
        <v>2178</v>
      </c>
      <c r="G47" s="87">
        <v>1</v>
      </c>
      <c r="H47" s="12">
        <v>20250801</v>
      </c>
    </row>
    <row r="48" ht="15" spans="1:8">
      <c r="A48" s="99">
        <v>998.7206</v>
      </c>
      <c r="B48" s="100">
        <v>45</v>
      </c>
      <c r="C48" s="35" t="s">
        <v>238</v>
      </c>
      <c r="D48" s="87" t="s">
        <v>235</v>
      </c>
      <c r="E48" s="101" t="s">
        <v>2139</v>
      </c>
      <c r="F48" s="102" t="s">
        <v>2179</v>
      </c>
      <c r="G48" s="101">
        <v>1</v>
      </c>
      <c r="H48" s="12">
        <v>20250801</v>
      </c>
    </row>
    <row r="49" ht="15" spans="1:8">
      <c r="A49" s="99">
        <v>998.7127</v>
      </c>
      <c r="B49" s="100">
        <v>46</v>
      </c>
      <c r="C49" s="35" t="s">
        <v>238</v>
      </c>
      <c r="D49" s="87" t="s">
        <v>235</v>
      </c>
      <c r="E49" s="101" t="s">
        <v>2139</v>
      </c>
      <c r="F49" s="102" t="s">
        <v>2169</v>
      </c>
      <c r="G49" s="101">
        <v>1</v>
      </c>
      <c r="H49" s="12">
        <v>20250801</v>
      </c>
    </row>
    <row r="50" ht="15" spans="1:8">
      <c r="A50" s="99">
        <v>998.705</v>
      </c>
      <c r="B50" s="15">
        <v>47</v>
      </c>
      <c r="C50" s="15" t="s">
        <v>129</v>
      </c>
      <c r="D50" s="87" t="s">
        <v>228</v>
      </c>
      <c r="E50" s="87" t="s">
        <v>716</v>
      </c>
      <c r="F50" s="38" t="s">
        <v>2180</v>
      </c>
      <c r="G50" s="87">
        <v>1</v>
      </c>
      <c r="H50" s="12">
        <v>20250801</v>
      </c>
    </row>
    <row r="51" ht="25.5" spans="1:8">
      <c r="A51" s="99">
        <v>998.7048</v>
      </c>
      <c r="B51" s="35">
        <v>47</v>
      </c>
      <c r="C51" s="35" t="s">
        <v>238</v>
      </c>
      <c r="D51" s="87" t="s">
        <v>2181</v>
      </c>
      <c r="E51" s="101" t="s">
        <v>2139</v>
      </c>
      <c r="F51" s="102" t="s">
        <v>2182</v>
      </c>
      <c r="G51" s="101">
        <v>1</v>
      </c>
      <c r="H51" s="12">
        <v>20250801</v>
      </c>
    </row>
    <row r="52" ht="15" spans="1:8">
      <c r="A52" s="99">
        <v>998.6909</v>
      </c>
      <c r="B52" s="35">
        <v>49</v>
      </c>
      <c r="C52" s="35" t="s">
        <v>268</v>
      </c>
      <c r="D52" s="87" t="s">
        <v>1903</v>
      </c>
      <c r="E52" s="35" t="s">
        <v>1303</v>
      </c>
      <c r="F52" s="105" t="s">
        <v>1771</v>
      </c>
      <c r="G52" s="35">
        <v>1</v>
      </c>
      <c r="H52" s="12">
        <v>20250801</v>
      </c>
    </row>
    <row r="53" ht="15" spans="1:8">
      <c r="A53" s="99">
        <v>998.6809</v>
      </c>
      <c r="B53" s="35">
        <v>50</v>
      </c>
      <c r="C53" s="35" t="s">
        <v>238</v>
      </c>
      <c r="D53" s="87" t="s">
        <v>235</v>
      </c>
      <c r="E53" s="101" t="s">
        <v>2139</v>
      </c>
      <c r="F53" s="102" t="s">
        <v>2183</v>
      </c>
      <c r="G53" s="101">
        <v>1</v>
      </c>
      <c r="H53" s="12">
        <v>20250801</v>
      </c>
    </row>
    <row r="54" ht="15" spans="1:8">
      <c r="A54" s="99">
        <v>998.6492</v>
      </c>
      <c r="B54" s="35">
        <v>54</v>
      </c>
      <c r="C54" s="86" t="s">
        <v>122</v>
      </c>
      <c r="D54" s="103" t="s">
        <v>2184</v>
      </c>
      <c r="E54" s="101" t="s">
        <v>2139</v>
      </c>
      <c r="F54" s="102" t="s">
        <v>2185</v>
      </c>
      <c r="G54" s="100">
        <v>1</v>
      </c>
      <c r="H54" s="12">
        <v>20250801</v>
      </c>
    </row>
    <row r="55" ht="15" spans="1:8">
      <c r="A55" s="99">
        <v>998.6253</v>
      </c>
      <c r="B55" s="35">
        <v>57</v>
      </c>
      <c r="C55" s="35" t="s">
        <v>238</v>
      </c>
      <c r="D55" s="87" t="s">
        <v>228</v>
      </c>
      <c r="E55" s="101" t="s">
        <v>2139</v>
      </c>
      <c r="F55" s="102" t="s">
        <v>2186</v>
      </c>
      <c r="G55" s="101">
        <v>1</v>
      </c>
      <c r="H55" s="12">
        <v>20250801</v>
      </c>
    </row>
    <row r="56" ht="15" spans="1:8">
      <c r="A56" s="99">
        <v>998.6205</v>
      </c>
      <c r="B56" s="86">
        <v>58</v>
      </c>
      <c r="C56" s="86" t="s">
        <v>125</v>
      </c>
      <c r="D56" s="86" t="s">
        <v>261</v>
      </c>
      <c r="E56" s="86" t="s">
        <v>777</v>
      </c>
      <c r="F56" s="107" t="s">
        <v>2187</v>
      </c>
      <c r="G56" s="86">
        <v>1</v>
      </c>
      <c r="H56" s="12">
        <v>20250801</v>
      </c>
    </row>
    <row r="57" ht="15" spans="1:8">
      <c r="A57" s="99">
        <v>998.6175</v>
      </c>
      <c r="B57" s="86">
        <v>58</v>
      </c>
      <c r="C57" s="86" t="s">
        <v>125</v>
      </c>
      <c r="D57" s="86" t="s">
        <v>261</v>
      </c>
      <c r="E57" s="86" t="s">
        <v>1592</v>
      </c>
      <c r="F57" s="107" t="s">
        <v>2188</v>
      </c>
      <c r="G57" s="86">
        <v>1</v>
      </c>
      <c r="H57" s="12">
        <v>20250801</v>
      </c>
    </row>
    <row r="58" ht="15" spans="1:8">
      <c r="A58" s="99">
        <v>998.6175</v>
      </c>
      <c r="B58" s="100">
        <v>58</v>
      </c>
      <c r="C58" s="35" t="s">
        <v>238</v>
      </c>
      <c r="D58" s="87" t="s">
        <v>235</v>
      </c>
      <c r="E58" s="101" t="s">
        <v>2139</v>
      </c>
      <c r="F58" s="102" t="s">
        <v>2169</v>
      </c>
      <c r="G58" s="101">
        <v>1</v>
      </c>
      <c r="H58" s="12">
        <v>20250801</v>
      </c>
    </row>
    <row r="59" ht="15" spans="1:8">
      <c r="A59" s="99">
        <v>998.6097</v>
      </c>
      <c r="B59" s="100">
        <v>59</v>
      </c>
      <c r="C59" s="35" t="s">
        <v>238</v>
      </c>
      <c r="D59" s="87" t="s">
        <v>235</v>
      </c>
      <c r="E59" s="101" t="s">
        <v>2139</v>
      </c>
      <c r="F59" s="102" t="s">
        <v>2169</v>
      </c>
      <c r="G59" s="101">
        <v>1</v>
      </c>
      <c r="H59" s="12">
        <v>20250801</v>
      </c>
    </row>
    <row r="60" ht="15" spans="1:8">
      <c r="A60" s="99">
        <v>998.6088</v>
      </c>
      <c r="B60" s="100">
        <v>60</v>
      </c>
      <c r="C60" s="35" t="s">
        <v>247</v>
      </c>
      <c r="D60" s="87" t="s">
        <v>290</v>
      </c>
      <c r="E60" s="101" t="s">
        <v>2189</v>
      </c>
      <c r="F60" s="106" t="s">
        <v>2190</v>
      </c>
      <c r="G60" s="101"/>
      <c r="H60" s="12">
        <v>20250801</v>
      </c>
    </row>
    <row r="61" ht="15" spans="1:8">
      <c r="A61" s="99">
        <v>998.6043</v>
      </c>
      <c r="B61" s="15">
        <v>60</v>
      </c>
      <c r="C61" s="15" t="s">
        <v>129</v>
      </c>
      <c r="D61" s="87" t="s">
        <v>235</v>
      </c>
      <c r="E61" s="87" t="s">
        <v>236</v>
      </c>
      <c r="F61" s="38" t="s">
        <v>2191</v>
      </c>
      <c r="G61" s="87">
        <v>1</v>
      </c>
      <c r="H61" s="12">
        <v>20250801</v>
      </c>
    </row>
    <row r="62" ht="15" spans="1:8">
      <c r="A62" s="99">
        <v>998.5781</v>
      </c>
      <c r="B62" s="15">
        <v>63</v>
      </c>
      <c r="C62" s="15" t="s">
        <v>129</v>
      </c>
      <c r="D62" s="87" t="s">
        <v>228</v>
      </c>
      <c r="E62" s="87" t="s">
        <v>997</v>
      </c>
      <c r="F62" s="38" t="s">
        <v>1659</v>
      </c>
      <c r="G62" s="87">
        <v>1</v>
      </c>
      <c r="H62" s="12">
        <v>20250801</v>
      </c>
    </row>
    <row r="63" ht="15" spans="1:8">
      <c r="A63" s="99">
        <v>998.5781</v>
      </c>
      <c r="B63" s="35">
        <v>63</v>
      </c>
      <c r="C63" s="35" t="s">
        <v>238</v>
      </c>
      <c r="D63" s="87" t="s">
        <v>235</v>
      </c>
      <c r="E63" s="101" t="s">
        <v>2139</v>
      </c>
      <c r="F63" s="102" t="s">
        <v>2169</v>
      </c>
      <c r="G63" s="101">
        <v>1</v>
      </c>
      <c r="H63" s="12">
        <v>20250801</v>
      </c>
    </row>
    <row r="64" ht="15" spans="1:8">
      <c r="A64" s="99">
        <v>998.5702</v>
      </c>
      <c r="B64" s="15">
        <v>64</v>
      </c>
      <c r="C64" s="15" t="s">
        <v>129</v>
      </c>
      <c r="D64" s="87" t="s">
        <v>231</v>
      </c>
      <c r="E64" s="87" t="s">
        <v>997</v>
      </c>
      <c r="F64" s="38" t="s">
        <v>2192</v>
      </c>
      <c r="G64" s="87">
        <v>1</v>
      </c>
      <c r="H64" s="12">
        <v>20250801</v>
      </c>
    </row>
    <row r="65" ht="15" spans="1:8">
      <c r="A65" s="99">
        <v>998.5732</v>
      </c>
      <c r="B65" s="86">
        <v>64</v>
      </c>
      <c r="C65" s="86" t="s">
        <v>125</v>
      </c>
      <c r="D65" s="86" t="s">
        <v>261</v>
      </c>
      <c r="E65" s="86" t="s">
        <v>777</v>
      </c>
      <c r="F65" s="107" t="s">
        <v>2193</v>
      </c>
      <c r="G65" s="86">
        <v>1</v>
      </c>
      <c r="H65" s="12">
        <v>20250801</v>
      </c>
    </row>
    <row r="66" ht="15" spans="1:8">
      <c r="A66" s="99">
        <v>998.5604</v>
      </c>
      <c r="B66" s="35">
        <v>66</v>
      </c>
      <c r="C66" s="35" t="s">
        <v>268</v>
      </c>
      <c r="D66" s="87" t="s">
        <v>1903</v>
      </c>
      <c r="E66" s="35" t="s">
        <v>1303</v>
      </c>
      <c r="F66" s="105" t="s">
        <v>2194</v>
      </c>
      <c r="G66" s="35">
        <v>1</v>
      </c>
      <c r="H66" s="12">
        <v>20250801</v>
      </c>
    </row>
    <row r="67" ht="15" spans="1:8">
      <c r="A67" s="99">
        <v>998.5385</v>
      </c>
      <c r="B67" s="15">
        <v>68</v>
      </c>
      <c r="C67" s="15" t="s">
        <v>129</v>
      </c>
      <c r="D67" s="87" t="s">
        <v>290</v>
      </c>
      <c r="E67" s="87" t="s">
        <v>511</v>
      </c>
      <c r="F67" s="38" t="s">
        <v>2195</v>
      </c>
      <c r="G67" s="87">
        <v>1</v>
      </c>
      <c r="H67" s="12">
        <v>20250801</v>
      </c>
    </row>
    <row r="68" ht="15" spans="1:8">
      <c r="A68" s="99">
        <v>998.5385</v>
      </c>
      <c r="B68" s="15">
        <v>68</v>
      </c>
      <c r="C68" s="15" t="s">
        <v>129</v>
      </c>
      <c r="D68" s="87" t="s">
        <v>235</v>
      </c>
      <c r="E68" s="87" t="s">
        <v>997</v>
      </c>
      <c r="F68" s="38" t="s">
        <v>2196</v>
      </c>
      <c r="G68" s="87">
        <v>0</v>
      </c>
      <c r="H68" s="12">
        <v>20250801</v>
      </c>
    </row>
    <row r="69" ht="15" spans="1:8">
      <c r="A69" s="99">
        <v>998.5415</v>
      </c>
      <c r="B69" s="15">
        <v>68</v>
      </c>
      <c r="C69" s="15" t="s">
        <v>129</v>
      </c>
      <c r="D69" s="87" t="s">
        <v>272</v>
      </c>
      <c r="E69" s="87" t="s">
        <v>1616</v>
      </c>
      <c r="F69" s="38" t="s">
        <v>2197</v>
      </c>
      <c r="G69" s="87">
        <v>0</v>
      </c>
      <c r="H69" s="12">
        <v>20250801</v>
      </c>
    </row>
    <row r="70" ht="15" spans="1:8">
      <c r="A70" s="99">
        <v>998.5385</v>
      </c>
      <c r="B70" s="35">
        <v>68</v>
      </c>
      <c r="C70" s="35" t="s">
        <v>238</v>
      </c>
      <c r="D70" s="87" t="s">
        <v>290</v>
      </c>
      <c r="E70" s="101" t="s">
        <v>2139</v>
      </c>
      <c r="F70" s="102" t="s">
        <v>2198</v>
      </c>
      <c r="G70" s="101">
        <v>1</v>
      </c>
      <c r="H70" s="12">
        <v>20250801</v>
      </c>
    </row>
    <row r="71" ht="15" spans="1:8">
      <c r="A71" s="99">
        <v>998.5385</v>
      </c>
      <c r="B71" s="35">
        <v>68</v>
      </c>
      <c r="C71" s="86" t="s">
        <v>122</v>
      </c>
      <c r="D71" s="103" t="s">
        <v>2143</v>
      </c>
      <c r="E71" s="108" t="s">
        <v>2199</v>
      </c>
      <c r="F71" s="102" t="s">
        <v>2200</v>
      </c>
      <c r="G71" s="100">
        <v>1</v>
      </c>
      <c r="H71" s="12">
        <v>20250801</v>
      </c>
    </row>
    <row r="72" ht="15" spans="1:8">
      <c r="A72" s="99">
        <v>998.5308</v>
      </c>
      <c r="B72" s="86">
        <v>69</v>
      </c>
      <c r="C72" s="86" t="s">
        <v>253</v>
      </c>
      <c r="D72" s="86" t="s">
        <v>126</v>
      </c>
      <c r="E72" s="86" t="s">
        <v>515</v>
      </c>
      <c r="F72" s="107" t="s">
        <v>2201</v>
      </c>
      <c r="G72" s="86">
        <v>1</v>
      </c>
      <c r="H72" s="12">
        <v>20250801</v>
      </c>
    </row>
    <row r="73" ht="15" spans="1:8">
      <c r="A73" s="99">
        <v>998.5228</v>
      </c>
      <c r="B73" s="15">
        <v>70</v>
      </c>
      <c r="C73" s="15" t="s">
        <v>129</v>
      </c>
      <c r="D73" s="87" t="s">
        <v>235</v>
      </c>
      <c r="E73" s="87" t="s">
        <v>997</v>
      </c>
      <c r="F73" s="38" t="s">
        <v>509</v>
      </c>
      <c r="G73" s="87">
        <v>1</v>
      </c>
      <c r="H73" s="12">
        <v>20250801</v>
      </c>
    </row>
    <row r="74" ht="15" spans="1:8">
      <c r="A74" s="99">
        <v>998.5228</v>
      </c>
      <c r="B74" s="15">
        <v>70</v>
      </c>
      <c r="C74" s="15" t="s">
        <v>129</v>
      </c>
      <c r="D74" s="87" t="s">
        <v>228</v>
      </c>
      <c r="E74" s="87" t="s">
        <v>997</v>
      </c>
      <c r="F74" s="38" t="s">
        <v>2202</v>
      </c>
      <c r="G74" s="87">
        <v>1</v>
      </c>
      <c r="H74" s="12">
        <v>20250801</v>
      </c>
    </row>
    <row r="75" ht="15" spans="1:8">
      <c r="A75" s="99">
        <v>998.5258</v>
      </c>
      <c r="B75" s="86">
        <v>70</v>
      </c>
      <c r="C75" s="86" t="s">
        <v>125</v>
      </c>
      <c r="D75" s="86" t="s">
        <v>261</v>
      </c>
      <c r="E75" s="86" t="s">
        <v>777</v>
      </c>
      <c r="F75" s="107" t="s">
        <v>2203</v>
      </c>
      <c r="G75" s="86">
        <v>1</v>
      </c>
      <c r="H75" s="12">
        <v>20250801</v>
      </c>
    </row>
    <row r="76" ht="15" spans="1:8">
      <c r="A76" s="99">
        <v>998.5308</v>
      </c>
      <c r="B76" s="86">
        <v>70</v>
      </c>
      <c r="C76" s="86" t="s">
        <v>125</v>
      </c>
      <c r="D76" s="86" t="s">
        <v>261</v>
      </c>
      <c r="E76" s="86" t="s">
        <v>1592</v>
      </c>
      <c r="F76" s="107" t="s">
        <v>2204</v>
      </c>
      <c r="G76" s="86">
        <v>1</v>
      </c>
      <c r="H76" s="12">
        <v>20250801</v>
      </c>
    </row>
    <row r="77" ht="25.5" spans="1:8">
      <c r="A77" s="99">
        <v>998.5248</v>
      </c>
      <c r="B77" s="100">
        <v>70</v>
      </c>
      <c r="C77" s="35" t="s">
        <v>238</v>
      </c>
      <c r="D77" s="87" t="s">
        <v>2205</v>
      </c>
      <c r="E77" s="101" t="s">
        <v>2139</v>
      </c>
      <c r="F77" s="104" t="s">
        <v>2206</v>
      </c>
      <c r="G77" s="101">
        <v>1</v>
      </c>
      <c r="H77" s="12">
        <v>20250801</v>
      </c>
    </row>
    <row r="78" ht="15.75" spans="1:8">
      <c r="A78" s="99">
        <v>998.5248</v>
      </c>
      <c r="B78" s="35">
        <v>70</v>
      </c>
      <c r="C78" s="86" t="s">
        <v>2141</v>
      </c>
      <c r="D78" s="103" t="s">
        <v>183</v>
      </c>
      <c r="E78" s="101" t="s">
        <v>2207</v>
      </c>
      <c r="F78" s="104" t="s">
        <v>2066</v>
      </c>
      <c r="G78" s="35">
        <v>1</v>
      </c>
      <c r="H78" s="12">
        <v>20250801</v>
      </c>
    </row>
    <row r="79" ht="27" spans="1:8">
      <c r="A79" s="99">
        <v>999.065</v>
      </c>
      <c r="B79" s="15" t="s">
        <v>94</v>
      </c>
      <c r="C79" s="86" t="s">
        <v>170</v>
      </c>
      <c r="D79" s="86" t="s">
        <v>170</v>
      </c>
      <c r="E79" s="86" t="s">
        <v>172</v>
      </c>
      <c r="F79" s="107" t="s">
        <v>222</v>
      </c>
      <c r="G79" s="86">
        <v>1</v>
      </c>
      <c r="H79" s="12">
        <v>20250801</v>
      </c>
    </row>
    <row r="80" ht="27" spans="1:8">
      <c r="A80" s="99">
        <v>998.99</v>
      </c>
      <c r="B80" s="15" t="s">
        <v>99</v>
      </c>
      <c r="C80" s="86" t="s">
        <v>170</v>
      </c>
      <c r="D80" s="86" t="s">
        <v>170</v>
      </c>
      <c r="E80" s="86" t="s">
        <v>172</v>
      </c>
      <c r="F80" s="107" t="s">
        <v>222</v>
      </c>
      <c r="G80" s="86">
        <v>1</v>
      </c>
      <c r="H80" s="12">
        <v>20250801</v>
      </c>
    </row>
    <row r="81" ht="27" spans="1:8">
      <c r="A81" s="99">
        <v>998.911</v>
      </c>
      <c r="B81" s="15" t="s">
        <v>100</v>
      </c>
      <c r="C81" s="86" t="s">
        <v>170</v>
      </c>
      <c r="D81" s="86" t="s">
        <v>170</v>
      </c>
      <c r="E81" s="86" t="s">
        <v>172</v>
      </c>
      <c r="F81" s="107" t="s">
        <v>222</v>
      </c>
      <c r="G81" s="86">
        <v>1</v>
      </c>
      <c r="H81" s="12">
        <v>20250801</v>
      </c>
    </row>
    <row r="82" ht="27" spans="1:8">
      <c r="A82" s="99">
        <v>998.831</v>
      </c>
      <c r="B82" s="15" t="s">
        <v>101</v>
      </c>
      <c r="C82" s="86" t="s">
        <v>170</v>
      </c>
      <c r="D82" s="86" t="s">
        <v>170</v>
      </c>
      <c r="E82" s="86" t="s">
        <v>172</v>
      </c>
      <c r="F82" s="107" t="s">
        <v>222</v>
      </c>
      <c r="G82" s="86">
        <v>1</v>
      </c>
      <c r="H82" s="12">
        <v>20250801</v>
      </c>
    </row>
    <row r="83" ht="27" spans="1:8">
      <c r="A83" s="99">
        <v>998.752</v>
      </c>
      <c r="B83" s="15" t="s">
        <v>102</v>
      </c>
      <c r="C83" s="86" t="s">
        <v>170</v>
      </c>
      <c r="D83" s="86" t="s">
        <v>170</v>
      </c>
      <c r="E83" s="86" t="s">
        <v>172</v>
      </c>
      <c r="F83" s="107" t="s">
        <v>222</v>
      </c>
      <c r="G83" s="86">
        <v>1</v>
      </c>
      <c r="H83" s="12">
        <v>20250801</v>
      </c>
    </row>
    <row r="84" ht="27" spans="1:8">
      <c r="A84" s="99">
        <v>998.673</v>
      </c>
      <c r="B84" s="15" t="s">
        <v>103</v>
      </c>
      <c r="C84" s="86" t="s">
        <v>170</v>
      </c>
      <c r="D84" s="86" t="s">
        <v>170</v>
      </c>
      <c r="E84" s="86" t="s">
        <v>172</v>
      </c>
      <c r="F84" s="107" t="s">
        <v>222</v>
      </c>
      <c r="G84" s="86">
        <v>1</v>
      </c>
      <c r="H84" s="12">
        <v>20250801</v>
      </c>
    </row>
    <row r="85" ht="27" spans="1:8">
      <c r="A85" s="99">
        <v>998.594</v>
      </c>
      <c r="B85" s="15" t="s">
        <v>223</v>
      </c>
      <c r="C85" s="86" t="s">
        <v>170</v>
      </c>
      <c r="D85" s="86" t="s">
        <v>170</v>
      </c>
      <c r="E85" s="86" t="s">
        <v>172</v>
      </c>
      <c r="F85" s="107" t="s">
        <v>222</v>
      </c>
      <c r="G85" s="86">
        <v>1</v>
      </c>
      <c r="H85" s="12">
        <v>20250801</v>
      </c>
    </row>
    <row r="86" ht="15" spans="1:8">
      <c r="A86" s="99"/>
      <c r="B86" s="86" t="s">
        <v>989</v>
      </c>
      <c r="C86" s="86" t="s">
        <v>125</v>
      </c>
      <c r="D86" s="86" t="s">
        <v>91</v>
      </c>
      <c r="E86" s="86" t="s">
        <v>127</v>
      </c>
      <c r="F86" s="107" t="s">
        <v>2208</v>
      </c>
      <c r="G86" s="86">
        <v>2</v>
      </c>
      <c r="H86" s="12">
        <v>20250801</v>
      </c>
    </row>
    <row r="87" ht="15" spans="1:8">
      <c r="A87" s="99"/>
      <c r="B87" s="86" t="s">
        <v>989</v>
      </c>
      <c r="C87" s="86" t="s">
        <v>12</v>
      </c>
      <c r="D87" s="86" t="s">
        <v>12</v>
      </c>
      <c r="E87" s="86" t="s">
        <v>91</v>
      </c>
      <c r="F87" s="107" t="s">
        <v>2209</v>
      </c>
      <c r="G87" s="86">
        <v>0</v>
      </c>
      <c r="H87" s="12">
        <v>20250801</v>
      </c>
    </row>
  </sheetData>
  <autoFilter xmlns:etc="http://www.wps.cn/officeDocument/2017/etCustomData" ref="A1:H87" etc:filterBottomFollowUsedRange="0">
    <extLst/>
  </autoFilter>
  <sortState ref="A2:H101">
    <sortCondition ref="B2:B101"/>
  </sortState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101"/>
  <sheetViews>
    <sheetView topLeftCell="A82" workbookViewId="0">
      <selection activeCell="L17" sqref="L17"/>
    </sheetView>
  </sheetViews>
  <sheetFormatPr defaultColWidth="9" defaultRowHeight="15" outlineLevelCol="7"/>
  <cols>
    <col min="1" max="1" width="9" style="16"/>
    <col min="2" max="4" width="9" style="12"/>
    <col min="5" max="5" width="11.125" style="12" customWidth="1"/>
    <col min="6" max="6" width="59.125" style="39" customWidth="1"/>
    <col min="7" max="7" width="9" style="16"/>
    <col min="8" max="8" width="9.5" style="16" customWidth="1"/>
    <col min="9" max="16384" width="9" style="16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94" t="s">
        <v>114</v>
      </c>
      <c r="G1" s="14" t="s">
        <v>6</v>
      </c>
      <c r="H1" s="14" t="s">
        <v>7</v>
      </c>
    </row>
    <row r="2" ht="15.75" spans="1:8">
      <c r="A2" s="15">
        <v>1000.085</v>
      </c>
      <c r="B2" s="22">
        <v>0</v>
      </c>
      <c r="C2" s="22" t="s">
        <v>116</v>
      </c>
      <c r="D2" s="22" t="s">
        <v>115</v>
      </c>
      <c r="E2" s="22" t="s">
        <v>120</v>
      </c>
      <c r="F2" s="95" t="s">
        <v>2210</v>
      </c>
      <c r="G2" s="22">
        <v>2</v>
      </c>
      <c r="H2" s="15">
        <v>20240810</v>
      </c>
    </row>
    <row r="3" ht="15.75" spans="1:8">
      <c r="A3" s="15">
        <v>1000.825</v>
      </c>
      <c r="B3" s="22">
        <v>0</v>
      </c>
      <c r="C3" s="22" t="s">
        <v>116</v>
      </c>
      <c r="D3" s="22" t="s">
        <v>2211</v>
      </c>
      <c r="E3" s="22" t="s">
        <v>120</v>
      </c>
      <c r="F3" s="16" t="s">
        <v>2212</v>
      </c>
      <c r="G3" s="22">
        <v>2</v>
      </c>
      <c r="H3" s="15">
        <v>20240810</v>
      </c>
    </row>
    <row r="4" spans="1:8">
      <c r="A4" s="15">
        <v>1000.085</v>
      </c>
      <c r="B4" s="22">
        <v>0</v>
      </c>
      <c r="C4" s="15" t="s">
        <v>224</v>
      </c>
      <c r="D4" s="22" t="s">
        <v>2213</v>
      </c>
      <c r="E4" s="22" t="s">
        <v>2214</v>
      </c>
      <c r="F4" s="95" t="s">
        <v>2215</v>
      </c>
      <c r="G4" s="19">
        <v>1</v>
      </c>
      <c r="H4" s="15">
        <v>20240810</v>
      </c>
    </row>
    <row r="5" spans="1:8">
      <c r="A5" s="15">
        <v>1000.825</v>
      </c>
      <c r="B5" s="22">
        <v>0</v>
      </c>
      <c r="C5" s="15" t="s">
        <v>224</v>
      </c>
      <c r="D5" s="15" t="s">
        <v>225</v>
      </c>
      <c r="E5" s="19" t="s">
        <v>997</v>
      </c>
      <c r="F5" s="21" t="s">
        <v>2216</v>
      </c>
      <c r="G5" s="19">
        <v>1</v>
      </c>
      <c r="H5" s="15">
        <v>20240810</v>
      </c>
    </row>
    <row r="6" ht="15.75" spans="1:8">
      <c r="A6" s="15">
        <v>1000.825</v>
      </c>
      <c r="B6" s="25">
        <v>0</v>
      </c>
      <c r="C6" s="25" t="s">
        <v>321</v>
      </c>
      <c r="D6" s="27" t="s">
        <v>225</v>
      </c>
      <c r="E6" s="27" t="s">
        <v>2217</v>
      </c>
      <c r="F6" s="31" t="s">
        <v>2218</v>
      </c>
      <c r="G6" s="27">
        <v>1</v>
      </c>
      <c r="H6" s="25">
        <v>20240810</v>
      </c>
    </row>
    <row r="7" ht="15.75" spans="1:8">
      <c r="A7" s="15">
        <v>1000.825</v>
      </c>
      <c r="B7" s="12">
        <v>0</v>
      </c>
      <c r="C7" s="22" t="s">
        <v>116</v>
      </c>
      <c r="D7" s="22" t="s">
        <v>2211</v>
      </c>
      <c r="E7" s="22" t="s">
        <v>120</v>
      </c>
      <c r="F7" s="39" t="s">
        <v>2219</v>
      </c>
      <c r="G7" s="22">
        <v>1</v>
      </c>
      <c r="H7" s="15">
        <v>20240810</v>
      </c>
    </row>
    <row r="8" spans="1:8">
      <c r="A8" s="18">
        <v>1000.089</v>
      </c>
      <c r="B8" s="15">
        <v>1</v>
      </c>
      <c r="C8" s="15" t="s">
        <v>340</v>
      </c>
      <c r="D8" s="15" t="s">
        <v>341</v>
      </c>
      <c r="E8" s="19" t="s">
        <v>1003</v>
      </c>
      <c r="F8" s="21" t="s">
        <v>1377</v>
      </c>
      <c r="G8" s="19">
        <v>1</v>
      </c>
      <c r="H8" s="15">
        <v>20240810</v>
      </c>
    </row>
    <row r="9" spans="1:8">
      <c r="A9" s="18">
        <v>1000.091</v>
      </c>
      <c r="B9" s="15">
        <v>1</v>
      </c>
      <c r="C9" s="15" t="s">
        <v>340</v>
      </c>
      <c r="D9" s="15" t="s">
        <v>341</v>
      </c>
      <c r="E9" s="19" t="s">
        <v>1003</v>
      </c>
      <c r="F9" s="21" t="s">
        <v>2220</v>
      </c>
      <c r="G9" s="19">
        <v>1</v>
      </c>
      <c r="H9" s="15">
        <v>20240810</v>
      </c>
    </row>
    <row r="10" ht="15.75" spans="1:8">
      <c r="A10" s="18">
        <v>1000.093</v>
      </c>
      <c r="B10" s="35">
        <v>1</v>
      </c>
      <c r="C10" s="25" t="s">
        <v>238</v>
      </c>
      <c r="D10" s="27" t="s">
        <v>151</v>
      </c>
      <c r="E10" s="27" t="s">
        <v>2064</v>
      </c>
      <c r="F10" s="31" t="s">
        <v>2221</v>
      </c>
      <c r="G10" s="27">
        <v>1</v>
      </c>
      <c r="H10" s="25">
        <v>20240810</v>
      </c>
    </row>
    <row r="11" ht="40.5" spans="1:8">
      <c r="A11" s="18">
        <v>1000.0927</v>
      </c>
      <c r="B11" s="15">
        <v>2</v>
      </c>
      <c r="C11" s="36" t="s">
        <v>1006</v>
      </c>
      <c r="D11" s="15" t="s">
        <v>341</v>
      </c>
      <c r="E11" s="19" t="s">
        <v>2222</v>
      </c>
      <c r="F11" s="21" t="s">
        <v>2223</v>
      </c>
      <c r="G11" s="19">
        <v>1</v>
      </c>
      <c r="H11" s="15">
        <v>20240810</v>
      </c>
    </row>
    <row r="12" ht="15.75" spans="1:8">
      <c r="A12" s="18">
        <v>1000.1016</v>
      </c>
      <c r="B12" s="25">
        <v>3</v>
      </c>
      <c r="C12" s="25" t="s">
        <v>238</v>
      </c>
      <c r="D12" s="27" t="s">
        <v>135</v>
      </c>
      <c r="E12" s="27" t="s">
        <v>2064</v>
      </c>
      <c r="F12" s="31" t="s">
        <v>2224</v>
      </c>
      <c r="G12" s="27">
        <v>1</v>
      </c>
      <c r="H12" s="25">
        <v>20240810</v>
      </c>
    </row>
    <row r="13" spans="1:8">
      <c r="A13" s="18">
        <v>1000.1098</v>
      </c>
      <c r="B13" s="15">
        <v>4</v>
      </c>
      <c r="C13" s="36" t="s">
        <v>129</v>
      </c>
      <c r="D13" s="15" t="s">
        <v>151</v>
      </c>
      <c r="E13" s="19" t="s">
        <v>236</v>
      </c>
      <c r="F13" s="21" t="s">
        <v>2225</v>
      </c>
      <c r="G13" s="19">
        <v>1</v>
      </c>
      <c r="H13" s="15">
        <v>20240810</v>
      </c>
    </row>
    <row r="14" spans="1:8">
      <c r="A14" s="18">
        <v>1000.1098</v>
      </c>
      <c r="B14" s="22">
        <v>4</v>
      </c>
      <c r="C14" s="22" t="s">
        <v>12</v>
      </c>
      <c r="D14" s="22" t="s">
        <v>12</v>
      </c>
      <c r="E14" s="22" t="s">
        <v>13</v>
      </c>
      <c r="F14" s="31" t="s">
        <v>2226</v>
      </c>
      <c r="G14" s="22">
        <v>1</v>
      </c>
      <c r="H14" s="12">
        <v>20240810</v>
      </c>
    </row>
    <row r="15" ht="25.5" spans="1:8">
      <c r="A15" s="18">
        <v>1000.1179</v>
      </c>
      <c r="B15" s="15">
        <v>5</v>
      </c>
      <c r="C15" s="15" t="s">
        <v>129</v>
      </c>
      <c r="D15" s="20" t="s">
        <v>85</v>
      </c>
      <c r="E15" s="19" t="s">
        <v>236</v>
      </c>
      <c r="F15" s="21" t="s">
        <v>2227</v>
      </c>
      <c r="G15" s="19">
        <v>1</v>
      </c>
      <c r="H15" s="15">
        <v>20240810</v>
      </c>
    </row>
    <row r="16" ht="40.5" spans="1:8">
      <c r="A16" s="18">
        <v>1000.1318</v>
      </c>
      <c r="B16" s="15">
        <v>6</v>
      </c>
      <c r="C16" s="36" t="s">
        <v>1006</v>
      </c>
      <c r="D16" s="15" t="s">
        <v>1013</v>
      </c>
      <c r="E16" s="19" t="s">
        <v>2222</v>
      </c>
      <c r="F16" s="21" t="s">
        <v>2228</v>
      </c>
      <c r="G16" s="19">
        <v>1</v>
      </c>
      <c r="H16" s="15">
        <v>20240810</v>
      </c>
    </row>
    <row r="17" spans="1:8">
      <c r="A17" s="18">
        <v>1000.1298</v>
      </c>
      <c r="B17" s="15">
        <v>6</v>
      </c>
      <c r="C17" s="15" t="s">
        <v>129</v>
      </c>
      <c r="D17" s="19" t="s">
        <v>235</v>
      </c>
      <c r="E17" s="19" t="s">
        <v>236</v>
      </c>
      <c r="F17" s="21" t="s">
        <v>2229</v>
      </c>
      <c r="G17" s="19">
        <v>1</v>
      </c>
      <c r="H17" s="15">
        <v>20240810</v>
      </c>
    </row>
    <row r="18" ht="40.5" spans="1:8">
      <c r="A18" s="18">
        <v>1000.142</v>
      </c>
      <c r="B18" s="15">
        <v>8</v>
      </c>
      <c r="C18" s="36" t="s">
        <v>1006</v>
      </c>
      <c r="D18" s="15" t="s">
        <v>1013</v>
      </c>
      <c r="E18" s="19" t="s">
        <v>2222</v>
      </c>
      <c r="F18" s="21" t="s">
        <v>2230</v>
      </c>
      <c r="G18" s="19">
        <v>1</v>
      </c>
      <c r="H18" s="15">
        <v>20240810</v>
      </c>
    </row>
    <row r="19" ht="15.75" spans="1:8">
      <c r="A19" s="18">
        <v>1000.1582</v>
      </c>
      <c r="B19" s="29">
        <v>9</v>
      </c>
      <c r="C19" s="25" t="s">
        <v>238</v>
      </c>
      <c r="D19" s="27" t="s">
        <v>130</v>
      </c>
      <c r="E19" s="27" t="s">
        <v>2064</v>
      </c>
      <c r="F19" s="31" t="s">
        <v>2231</v>
      </c>
      <c r="G19" s="27">
        <v>1</v>
      </c>
      <c r="H19" s="25">
        <v>20240810</v>
      </c>
    </row>
    <row r="20" ht="27" spans="1:8">
      <c r="A20" s="18">
        <v>1000.1585</v>
      </c>
      <c r="B20" s="29">
        <v>10</v>
      </c>
      <c r="C20" s="25" t="s">
        <v>238</v>
      </c>
      <c r="D20" s="27" t="s">
        <v>2232</v>
      </c>
      <c r="E20" s="27" t="s">
        <v>2064</v>
      </c>
      <c r="F20" s="31" t="s">
        <v>2233</v>
      </c>
      <c r="G20" s="27">
        <v>1</v>
      </c>
      <c r="H20" s="25">
        <v>20240810</v>
      </c>
    </row>
    <row r="21" ht="15.75" spans="1:8">
      <c r="A21" s="18">
        <v>1000.1747</v>
      </c>
      <c r="B21" s="25">
        <v>12</v>
      </c>
      <c r="C21" s="25" t="s">
        <v>238</v>
      </c>
      <c r="D21" s="27" t="s">
        <v>130</v>
      </c>
      <c r="E21" s="27" t="s">
        <v>2064</v>
      </c>
      <c r="F21" s="31" t="s">
        <v>2234</v>
      </c>
      <c r="G21" s="27">
        <v>1</v>
      </c>
      <c r="H21" s="25">
        <v>20240810</v>
      </c>
    </row>
    <row r="22" ht="15.75" spans="1:8">
      <c r="A22" s="18">
        <v>1000.1826</v>
      </c>
      <c r="B22" s="29">
        <v>13</v>
      </c>
      <c r="C22" s="25" t="s">
        <v>238</v>
      </c>
      <c r="D22" s="27" t="s">
        <v>130</v>
      </c>
      <c r="E22" s="27" t="s">
        <v>2064</v>
      </c>
      <c r="F22" s="31" t="s">
        <v>2235</v>
      </c>
      <c r="G22" s="27">
        <v>1</v>
      </c>
      <c r="H22" s="25">
        <v>20240810</v>
      </c>
    </row>
    <row r="23" ht="15.75" spans="1:8">
      <c r="A23" s="18">
        <v>1000.1826</v>
      </c>
      <c r="B23" s="29">
        <v>13</v>
      </c>
      <c r="C23" s="25" t="s">
        <v>238</v>
      </c>
      <c r="D23" s="27" t="s">
        <v>179</v>
      </c>
      <c r="E23" s="27" t="s">
        <v>2236</v>
      </c>
      <c r="F23" s="31" t="s">
        <v>2237</v>
      </c>
      <c r="G23" s="27">
        <v>1</v>
      </c>
      <c r="H23" s="25">
        <v>20240810</v>
      </c>
    </row>
    <row r="24" ht="15.75" spans="1:8">
      <c r="A24" s="18">
        <v>1000.2066</v>
      </c>
      <c r="B24" s="29">
        <v>16</v>
      </c>
      <c r="C24" s="25" t="s">
        <v>238</v>
      </c>
      <c r="D24" s="27" t="s">
        <v>130</v>
      </c>
      <c r="E24" s="27" t="s">
        <v>2064</v>
      </c>
      <c r="F24" s="31" t="s">
        <v>2238</v>
      </c>
      <c r="G24" s="27">
        <v>1</v>
      </c>
      <c r="H24" s="25">
        <v>20240810</v>
      </c>
    </row>
    <row r="25" spans="1:8">
      <c r="A25" s="18">
        <v>1000.2187</v>
      </c>
      <c r="B25" s="25">
        <v>17</v>
      </c>
      <c r="C25" s="25" t="s">
        <v>268</v>
      </c>
      <c r="D25" s="27" t="s">
        <v>360</v>
      </c>
      <c r="E25" s="30" t="s">
        <v>2239</v>
      </c>
      <c r="F25" s="96" t="s">
        <v>2240</v>
      </c>
      <c r="G25" s="30">
        <v>1</v>
      </c>
      <c r="H25" s="25">
        <v>20240810</v>
      </c>
    </row>
    <row r="26" ht="15.75" spans="1:8">
      <c r="A26" s="18">
        <v>1000.2309</v>
      </c>
      <c r="B26" s="25">
        <v>19</v>
      </c>
      <c r="C26" s="25" t="s">
        <v>238</v>
      </c>
      <c r="D26" s="27" t="s">
        <v>130</v>
      </c>
      <c r="E26" s="27" t="s">
        <v>2064</v>
      </c>
      <c r="F26" s="31" t="s">
        <v>2241</v>
      </c>
      <c r="G26" s="27">
        <v>1</v>
      </c>
      <c r="H26" s="25">
        <v>20240810</v>
      </c>
    </row>
    <row r="27" spans="1:8">
      <c r="A27" s="18">
        <v>1000.239</v>
      </c>
      <c r="B27" s="15">
        <v>20</v>
      </c>
      <c r="C27" s="15" t="s">
        <v>129</v>
      </c>
      <c r="D27" s="19" t="s">
        <v>235</v>
      </c>
      <c r="E27" s="19" t="s">
        <v>997</v>
      </c>
      <c r="F27" s="21" t="s">
        <v>2242</v>
      </c>
      <c r="G27" s="19">
        <v>1</v>
      </c>
      <c r="H27" s="15">
        <v>20240810</v>
      </c>
    </row>
    <row r="28" spans="1:8">
      <c r="A28" s="18">
        <v>1000.239</v>
      </c>
      <c r="B28" s="15">
        <v>20</v>
      </c>
      <c r="C28" s="15" t="s">
        <v>129</v>
      </c>
      <c r="D28" s="19" t="s">
        <v>235</v>
      </c>
      <c r="E28" s="19" t="s">
        <v>689</v>
      </c>
      <c r="F28" s="21" t="s">
        <v>2243</v>
      </c>
      <c r="G28" s="19">
        <v>0</v>
      </c>
      <c r="H28" s="15">
        <v>20240810</v>
      </c>
    </row>
    <row r="29" spans="1:8">
      <c r="A29" s="18">
        <v>1000.2393</v>
      </c>
      <c r="B29" s="15">
        <v>20</v>
      </c>
      <c r="C29" s="15" t="s">
        <v>129</v>
      </c>
      <c r="D29" s="19" t="s">
        <v>235</v>
      </c>
      <c r="E29" s="19" t="s">
        <v>716</v>
      </c>
      <c r="F29" s="21" t="s">
        <v>2244</v>
      </c>
      <c r="G29" s="19">
        <v>1</v>
      </c>
      <c r="H29" s="15">
        <v>20240810</v>
      </c>
    </row>
    <row r="30" spans="1:8">
      <c r="A30" s="18">
        <v>1000.2469</v>
      </c>
      <c r="B30" s="15">
        <v>21</v>
      </c>
      <c r="C30" s="15" t="s">
        <v>129</v>
      </c>
      <c r="D30" s="19" t="s">
        <v>228</v>
      </c>
      <c r="E30" s="19" t="s">
        <v>689</v>
      </c>
      <c r="F30" s="21" t="s">
        <v>2245</v>
      </c>
      <c r="G30" s="19">
        <v>0</v>
      </c>
      <c r="H30" s="15">
        <v>20240810</v>
      </c>
    </row>
    <row r="31" ht="15.75" spans="1:8">
      <c r="A31" s="18">
        <v>1000.2469</v>
      </c>
      <c r="B31" s="25">
        <v>21</v>
      </c>
      <c r="C31" s="25" t="s">
        <v>238</v>
      </c>
      <c r="D31" s="27" t="s">
        <v>135</v>
      </c>
      <c r="E31" s="27" t="s">
        <v>2064</v>
      </c>
      <c r="F31" s="31" t="s">
        <v>2246</v>
      </c>
      <c r="G31" s="27">
        <v>1</v>
      </c>
      <c r="H31" s="25">
        <v>20240810</v>
      </c>
    </row>
    <row r="32" ht="15.75" spans="1:8">
      <c r="A32" s="18">
        <v>1000.2598</v>
      </c>
      <c r="B32" s="25">
        <v>22</v>
      </c>
      <c r="C32" s="25" t="s">
        <v>238</v>
      </c>
      <c r="D32" s="27" t="s">
        <v>130</v>
      </c>
      <c r="E32" s="27" t="s">
        <v>2064</v>
      </c>
      <c r="F32" s="31" t="s">
        <v>2247</v>
      </c>
      <c r="G32" s="27">
        <v>1</v>
      </c>
      <c r="H32" s="25">
        <v>20240810</v>
      </c>
    </row>
    <row r="33" ht="15.75" spans="1:8">
      <c r="A33" s="18">
        <v>1000.2706</v>
      </c>
      <c r="B33" s="25">
        <v>24</v>
      </c>
      <c r="C33" s="25" t="s">
        <v>238</v>
      </c>
      <c r="D33" s="27" t="s">
        <v>130</v>
      </c>
      <c r="E33" s="27" t="s">
        <v>2064</v>
      </c>
      <c r="F33" s="31" t="s">
        <v>2248</v>
      </c>
      <c r="G33" s="27">
        <v>1</v>
      </c>
      <c r="H33" s="25">
        <v>20240810</v>
      </c>
    </row>
    <row r="34" spans="1:8">
      <c r="A34" s="18">
        <v>1000.2851</v>
      </c>
      <c r="B34" s="22">
        <v>25</v>
      </c>
      <c r="C34" s="22" t="s">
        <v>253</v>
      </c>
      <c r="D34" s="22" t="s">
        <v>126</v>
      </c>
      <c r="E34" s="22" t="s">
        <v>515</v>
      </c>
      <c r="F34" s="31" t="s">
        <v>2249</v>
      </c>
      <c r="G34" s="22">
        <v>1</v>
      </c>
      <c r="H34" s="12">
        <v>20240810</v>
      </c>
    </row>
    <row r="35" ht="28.5" spans="1:8">
      <c r="A35" s="18">
        <v>1000.2786</v>
      </c>
      <c r="B35" s="15">
        <v>25</v>
      </c>
      <c r="C35" s="22" t="s">
        <v>170</v>
      </c>
      <c r="D35" s="22" t="s">
        <v>170</v>
      </c>
      <c r="E35" s="22" t="s">
        <v>172</v>
      </c>
      <c r="F35" s="31" t="s">
        <v>614</v>
      </c>
      <c r="G35" s="22">
        <v>2</v>
      </c>
      <c r="H35" s="15">
        <v>20240810</v>
      </c>
    </row>
    <row r="36" spans="1:8">
      <c r="A36" s="18">
        <v>1000.2866</v>
      </c>
      <c r="B36" s="25">
        <v>25</v>
      </c>
      <c r="C36" s="25" t="s">
        <v>268</v>
      </c>
      <c r="D36" s="36" t="s">
        <v>360</v>
      </c>
      <c r="E36" s="15" t="s">
        <v>2239</v>
      </c>
      <c r="F36" s="91" t="s">
        <v>2250</v>
      </c>
      <c r="G36" s="15">
        <v>1</v>
      </c>
      <c r="H36" s="25">
        <v>20240810</v>
      </c>
    </row>
    <row r="37" spans="1:8">
      <c r="A37" s="18">
        <v>1000.2866</v>
      </c>
      <c r="B37" s="15">
        <v>26</v>
      </c>
      <c r="C37" s="15" t="s">
        <v>129</v>
      </c>
      <c r="D37" s="19" t="s">
        <v>290</v>
      </c>
      <c r="E37" s="19" t="s">
        <v>689</v>
      </c>
      <c r="F37" s="21" t="s">
        <v>2251</v>
      </c>
      <c r="G37" s="19">
        <v>1</v>
      </c>
      <c r="H37" s="15">
        <v>20240810</v>
      </c>
    </row>
    <row r="38" spans="1:8">
      <c r="A38" s="18">
        <v>1000.2981</v>
      </c>
      <c r="B38" s="22">
        <v>27</v>
      </c>
      <c r="C38" s="22" t="s">
        <v>12</v>
      </c>
      <c r="D38" s="22" t="s">
        <v>12</v>
      </c>
      <c r="E38" s="22" t="s">
        <v>13</v>
      </c>
      <c r="F38" s="31" t="s">
        <v>2252</v>
      </c>
      <c r="G38" s="22">
        <v>1</v>
      </c>
      <c r="H38" s="12">
        <v>20240810</v>
      </c>
    </row>
    <row r="39" ht="15.75" spans="1:8">
      <c r="A39" s="18">
        <v>1000.2946</v>
      </c>
      <c r="B39" s="25">
        <v>27</v>
      </c>
      <c r="C39" s="25" t="s">
        <v>238</v>
      </c>
      <c r="D39" s="27" t="s">
        <v>130</v>
      </c>
      <c r="E39" s="27" t="s">
        <v>2064</v>
      </c>
      <c r="F39" s="31" t="s">
        <v>2253</v>
      </c>
      <c r="G39" s="27">
        <v>1</v>
      </c>
      <c r="H39" s="25">
        <v>20240810</v>
      </c>
    </row>
    <row r="40" spans="1:8">
      <c r="A40" s="18">
        <v>1000.3145</v>
      </c>
      <c r="B40" s="15">
        <v>29</v>
      </c>
      <c r="C40" s="15" t="s">
        <v>129</v>
      </c>
      <c r="D40" s="19" t="s">
        <v>235</v>
      </c>
      <c r="E40" s="19" t="s">
        <v>236</v>
      </c>
      <c r="F40" s="21" t="s">
        <v>2254</v>
      </c>
      <c r="G40" s="19">
        <v>1</v>
      </c>
      <c r="H40" s="15">
        <v>20240810</v>
      </c>
    </row>
    <row r="41" ht="40.5" spans="1:8">
      <c r="A41" s="18">
        <v>1000.3254</v>
      </c>
      <c r="B41" s="15">
        <v>30</v>
      </c>
      <c r="C41" s="36" t="s">
        <v>1006</v>
      </c>
      <c r="D41" s="15" t="s">
        <v>341</v>
      </c>
      <c r="E41" s="19" t="s">
        <v>2255</v>
      </c>
      <c r="F41" s="21" t="s">
        <v>2256</v>
      </c>
      <c r="G41" s="19">
        <v>1</v>
      </c>
      <c r="H41" s="15">
        <v>20240810</v>
      </c>
    </row>
    <row r="42" spans="1:8">
      <c r="A42" s="18">
        <v>1000.3249</v>
      </c>
      <c r="B42" s="22">
        <v>30</v>
      </c>
      <c r="C42" s="22" t="s">
        <v>12</v>
      </c>
      <c r="D42" s="22" t="s">
        <v>12</v>
      </c>
      <c r="E42" s="22" t="s">
        <v>13</v>
      </c>
      <c r="F42" s="31" t="s">
        <v>2257</v>
      </c>
      <c r="G42" s="22">
        <v>1</v>
      </c>
      <c r="H42" s="12">
        <v>20240810</v>
      </c>
    </row>
    <row r="43" ht="15.75" spans="1:8">
      <c r="A43" s="18">
        <v>1000.3184</v>
      </c>
      <c r="B43" s="25">
        <v>30</v>
      </c>
      <c r="C43" s="25" t="s">
        <v>238</v>
      </c>
      <c r="D43" s="27" t="s">
        <v>135</v>
      </c>
      <c r="E43" s="27" t="s">
        <v>2064</v>
      </c>
      <c r="F43" s="31" t="s">
        <v>2258</v>
      </c>
      <c r="G43" s="27">
        <v>1</v>
      </c>
      <c r="H43" s="25">
        <v>20240810</v>
      </c>
    </row>
    <row r="44" spans="1:8">
      <c r="A44" s="18">
        <v>1000.3329</v>
      </c>
      <c r="B44" s="15">
        <v>31</v>
      </c>
      <c r="C44" s="15" t="s">
        <v>129</v>
      </c>
      <c r="D44" s="19" t="s">
        <v>235</v>
      </c>
      <c r="E44" s="19" t="s">
        <v>236</v>
      </c>
      <c r="F44" s="21" t="s">
        <v>2259</v>
      </c>
      <c r="G44" s="19">
        <v>1</v>
      </c>
      <c r="H44" s="15">
        <v>20240810</v>
      </c>
    </row>
    <row r="45" spans="1:8">
      <c r="A45" s="18">
        <v>1000.3324</v>
      </c>
      <c r="B45" s="22">
        <v>31</v>
      </c>
      <c r="C45" s="22" t="s">
        <v>12</v>
      </c>
      <c r="D45" s="22" t="s">
        <v>12</v>
      </c>
      <c r="E45" s="22" t="s">
        <v>13</v>
      </c>
      <c r="F45" s="31" t="s">
        <v>2260</v>
      </c>
      <c r="G45" s="22">
        <v>1</v>
      </c>
      <c r="H45" s="12">
        <v>20240810</v>
      </c>
    </row>
    <row r="46" ht="15.75" spans="1:8">
      <c r="A46" s="18">
        <v>1000.3264</v>
      </c>
      <c r="B46" s="25">
        <v>31</v>
      </c>
      <c r="C46" s="25" t="s">
        <v>238</v>
      </c>
      <c r="D46" s="27" t="s">
        <v>135</v>
      </c>
      <c r="E46" s="27" t="s">
        <v>2064</v>
      </c>
      <c r="F46" s="31" t="s">
        <v>2246</v>
      </c>
      <c r="G46" s="27">
        <v>1</v>
      </c>
      <c r="H46" s="25">
        <v>20240810</v>
      </c>
    </row>
    <row r="47" spans="1:8">
      <c r="A47" s="18">
        <v>1000.3408</v>
      </c>
      <c r="B47" s="15">
        <v>32</v>
      </c>
      <c r="C47" s="15" t="s">
        <v>129</v>
      </c>
      <c r="D47" s="19" t="s">
        <v>228</v>
      </c>
      <c r="E47" s="19" t="s">
        <v>236</v>
      </c>
      <c r="F47" s="21" t="s">
        <v>2261</v>
      </c>
      <c r="G47" s="19">
        <v>1</v>
      </c>
      <c r="H47" s="15">
        <v>20240810</v>
      </c>
    </row>
    <row r="48" spans="1:8">
      <c r="A48" s="18">
        <v>1000.3353</v>
      </c>
      <c r="B48" s="22">
        <v>32</v>
      </c>
      <c r="C48" s="22" t="s">
        <v>253</v>
      </c>
      <c r="D48" s="22" t="s">
        <v>126</v>
      </c>
      <c r="E48" s="22" t="s">
        <v>515</v>
      </c>
      <c r="F48" s="31" t="s">
        <v>600</v>
      </c>
      <c r="G48" s="22">
        <v>1</v>
      </c>
      <c r="H48" s="12">
        <v>20240810</v>
      </c>
    </row>
    <row r="49" spans="1:8">
      <c r="A49" s="18">
        <v>1000.3531</v>
      </c>
      <c r="B49" s="22">
        <v>34</v>
      </c>
      <c r="C49" s="22" t="s">
        <v>12</v>
      </c>
      <c r="D49" s="22" t="s">
        <v>12</v>
      </c>
      <c r="E49" s="22" t="s">
        <v>13</v>
      </c>
      <c r="F49" s="31" t="s">
        <v>2262</v>
      </c>
      <c r="G49" s="22">
        <v>1</v>
      </c>
      <c r="H49" s="12">
        <v>20240810</v>
      </c>
    </row>
    <row r="50" ht="15.75" spans="1:8">
      <c r="A50" s="18">
        <v>1000.3581</v>
      </c>
      <c r="B50" s="25">
        <v>35</v>
      </c>
      <c r="C50" s="25" t="s">
        <v>238</v>
      </c>
      <c r="D50" s="27" t="s">
        <v>135</v>
      </c>
      <c r="E50" s="27" t="s">
        <v>2064</v>
      </c>
      <c r="F50" s="31" t="s">
        <v>2263</v>
      </c>
      <c r="G50" s="27">
        <v>1</v>
      </c>
      <c r="H50" s="25">
        <v>20240810</v>
      </c>
    </row>
    <row r="51" spans="1:8">
      <c r="A51" s="18">
        <v>1000.3661</v>
      </c>
      <c r="B51" s="22">
        <v>36</v>
      </c>
      <c r="C51" s="22" t="s">
        <v>12</v>
      </c>
      <c r="D51" s="22" t="s">
        <v>12</v>
      </c>
      <c r="E51" s="22" t="s">
        <v>13</v>
      </c>
      <c r="F51" s="31" t="s">
        <v>2264</v>
      </c>
      <c r="G51" s="22">
        <v>1</v>
      </c>
      <c r="H51" s="12">
        <v>20240810</v>
      </c>
    </row>
    <row r="52" spans="1:8">
      <c r="A52" s="18">
        <v>1000.3742</v>
      </c>
      <c r="B52" s="15">
        <v>37</v>
      </c>
      <c r="C52" s="15" t="s">
        <v>129</v>
      </c>
      <c r="D52" s="19" t="s">
        <v>235</v>
      </c>
      <c r="E52" s="19" t="s">
        <v>2265</v>
      </c>
      <c r="F52" s="21" t="s">
        <v>2266</v>
      </c>
      <c r="G52" s="19">
        <v>1</v>
      </c>
      <c r="H52" s="15">
        <v>20240810</v>
      </c>
    </row>
    <row r="53" spans="1:8">
      <c r="A53" s="18">
        <v>1000.3792</v>
      </c>
      <c r="B53" s="22">
        <v>37</v>
      </c>
      <c r="C53" s="22" t="s">
        <v>12</v>
      </c>
      <c r="D53" s="22" t="s">
        <v>12</v>
      </c>
      <c r="E53" s="22" t="s">
        <v>13</v>
      </c>
      <c r="F53" s="31" t="s">
        <v>2267</v>
      </c>
      <c r="G53" s="22">
        <v>1</v>
      </c>
      <c r="H53" s="12">
        <v>20240810</v>
      </c>
    </row>
    <row r="54" ht="26.25" spans="1:8">
      <c r="A54" s="18">
        <v>1000.3823</v>
      </c>
      <c r="B54" s="15">
        <v>38</v>
      </c>
      <c r="C54" s="15" t="s">
        <v>129</v>
      </c>
      <c r="D54" s="19" t="s">
        <v>228</v>
      </c>
      <c r="E54" s="19" t="s">
        <v>689</v>
      </c>
      <c r="F54" s="97" t="s">
        <v>2268</v>
      </c>
      <c r="G54" s="19">
        <v>1</v>
      </c>
      <c r="H54" s="15">
        <v>20240810</v>
      </c>
    </row>
    <row r="55" spans="1:8">
      <c r="A55" s="18">
        <v>1000.3908</v>
      </c>
      <c r="B55" s="22">
        <v>39</v>
      </c>
      <c r="C55" s="22" t="s">
        <v>253</v>
      </c>
      <c r="D55" s="22" t="s">
        <v>126</v>
      </c>
      <c r="E55" s="22" t="s">
        <v>515</v>
      </c>
      <c r="F55" s="31" t="s">
        <v>2269</v>
      </c>
      <c r="G55" s="22">
        <v>1</v>
      </c>
      <c r="H55" s="12">
        <v>20240810</v>
      </c>
    </row>
    <row r="56" spans="1:8">
      <c r="A56" s="18">
        <v>1000.4091</v>
      </c>
      <c r="B56" s="22">
        <v>41</v>
      </c>
      <c r="C56" s="22" t="s">
        <v>12</v>
      </c>
      <c r="D56" s="22" t="s">
        <v>12</v>
      </c>
      <c r="E56" s="22" t="s">
        <v>13</v>
      </c>
      <c r="F56" s="31" t="s">
        <v>2270</v>
      </c>
      <c r="G56" s="22">
        <v>1</v>
      </c>
      <c r="H56" s="12">
        <v>20240810</v>
      </c>
    </row>
    <row r="57" spans="1:8">
      <c r="A57" s="18">
        <v>1000.4381</v>
      </c>
      <c r="B57" s="22">
        <v>44</v>
      </c>
      <c r="C57" s="22" t="s">
        <v>12</v>
      </c>
      <c r="D57" s="22" t="s">
        <v>12</v>
      </c>
      <c r="E57" s="22" t="s">
        <v>13</v>
      </c>
      <c r="F57" s="31" t="s">
        <v>2271</v>
      </c>
      <c r="G57" s="22">
        <v>1</v>
      </c>
      <c r="H57" s="12">
        <v>20240810</v>
      </c>
    </row>
    <row r="58" ht="28.5" spans="1:8">
      <c r="A58" s="18">
        <v>1000.4301</v>
      </c>
      <c r="B58" s="15">
        <v>44</v>
      </c>
      <c r="C58" s="22" t="s">
        <v>170</v>
      </c>
      <c r="D58" s="22" t="s">
        <v>170</v>
      </c>
      <c r="E58" s="22" t="s">
        <v>172</v>
      </c>
      <c r="F58" s="31" t="s">
        <v>614</v>
      </c>
      <c r="G58" s="22">
        <v>2</v>
      </c>
      <c r="H58" s="15">
        <v>20240810</v>
      </c>
    </row>
    <row r="59" spans="1:8">
      <c r="A59" s="18">
        <v>1000.4495</v>
      </c>
      <c r="B59" s="22">
        <v>46</v>
      </c>
      <c r="C59" s="22" t="s">
        <v>12</v>
      </c>
      <c r="D59" s="22" t="s">
        <v>12</v>
      </c>
      <c r="E59" s="22" t="s">
        <v>13</v>
      </c>
      <c r="F59" s="31" t="s">
        <v>2272</v>
      </c>
      <c r="G59" s="22">
        <v>1</v>
      </c>
      <c r="H59" s="12">
        <v>20240810</v>
      </c>
    </row>
    <row r="60" ht="15.75" spans="1:8">
      <c r="A60" s="18">
        <v>1000.446</v>
      </c>
      <c r="B60" s="25">
        <v>46</v>
      </c>
      <c r="C60" s="25" t="s">
        <v>238</v>
      </c>
      <c r="D60" s="27" t="s">
        <v>151</v>
      </c>
      <c r="E60" s="27" t="s">
        <v>2064</v>
      </c>
      <c r="F60" s="31" t="s">
        <v>2273</v>
      </c>
      <c r="G60" s="27">
        <v>1</v>
      </c>
      <c r="H60" s="25">
        <v>20240810</v>
      </c>
    </row>
    <row r="61" spans="1:8">
      <c r="A61" s="18">
        <v>1000.4804</v>
      </c>
      <c r="B61" s="22">
        <v>50</v>
      </c>
      <c r="C61" s="22" t="s">
        <v>12</v>
      </c>
      <c r="D61" s="22" t="s">
        <v>12</v>
      </c>
      <c r="E61" s="22" t="s">
        <v>13</v>
      </c>
      <c r="F61" s="31" t="s">
        <v>2274</v>
      </c>
      <c r="G61" s="22">
        <v>1</v>
      </c>
      <c r="H61" s="12">
        <v>20240810</v>
      </c>
    </row>
    <row r="62" spans="1:8">
      <c r="A62" s="18">
        <v>1000.4799</v>
      </c>
      <c r="B62" s="25">
        <v>50</v>
      </c>
      <c r="C62" s="25" t="s">
        <v>268</v>
      </c>
      <c r="D62" s="27" t="s">
        <v>360</v>
      </c>
      <c r="E62" s="30" t="s">
        <v>2275</v>
      </c>
      <c r="F62" s="96" t="s">
        <v>2276</v>
      </c>
      <c r="G62" s="30">
        <v>1</v>
      </c>
      <c r="H62" s="25">
        <v>20240810</v>
      </c>
    </row>
    <row r="63" spans="1:8">
      <c r="A63" s="18">
        <v>1000.5141</v>
      </c>
      <c r="B63" s="22">
        <v>54</v>
      </c>
      <c r="C63" s="22" t="s">
        <v>12</v>
      </c>
      <c r="D63" s="22" t="s">
        <v>12</v>
      </c>
      <c r="E63" s="22" t="s">
        <v>13</v>
      </c>
      <c r="F63" s="31" t="s">
        <v>2277</v>
      </c>
      <c r="G63" s="22">
        <v>1</v>
      </c>
      <c r="H63" s="12">
        <v>20240810</v>
      </c>
    </row>
    <row r="64" spans="1:8">
      <c r="A64" s="18">
        <v>1000.5151</v>
      </c>
      <c r="B64" s="25">
        <v>54</v>
      </c>
      <c r="C64" s="25" t="s">
        <v>268</v>
      </c>
      <c r="D64" s="27" t="s">
        <v>360</v>
      </c>
      <c r="E64" s="98" t="s">
        <v>1205</v>
      </c>
      <c r="F64" s="96" t="s">
        <v>2278</v>
      </c>
      <c r="G64" s="30">
        <v>1</v>
      </c>
      <c r="H64" s="25">
        <v>20240810</v>
      </c>
    </row>
    <row r="65" spans="1:8">
      <c r="A65" s="18">
        <v>1000.5262</v>
      </c>
      <c r="B65" s="22">
        <v>56</v>
      </c>
      <c r="C65" s="22" t="s">
        <v>12</v>
      </c>
      <c r="D65" s="22" t="s">
        <v>12</v>
      </c>
      <c r="E65" s="22" t="s">
        <v>13</v>
      </c>
      <c r="F65" s="31" t="s">
        <v>2279</v>
      </c>
      <c r="G65" s="22">
        <v>1</v>
      </c>
      <c r="H65" s="12">
        <v>20240810</v>
      </c>
    </row>
    <row r="66" spans="1:8">
      <c r="A66" s="18">
        <v>1000.5417</v>
      </c>
      <c r="B66" s="15">
        <v>58</v>
      </c>
      <c r="C66" s="15" t="s">
        <v>129</v>
      </c>
      <c r="D66" s="19" t="s">
        <v>290</v>
      </c>
      <c r="E66" s="19" t="s">
        <v>689</v>
      </c>
      <c r="F66" s="21" t="s">
        <v>2280</v>
      </c>
      <c r="G66" s="19">
        <v>1</v>
      </c>
      <c r="H66" s="15">
        <v>20240810</v>
      </c>
    </row>
    <row r="67" ht="15.75" spans="1:8">
      <c r="A67" s="18">
        <v>1000.5417</v>
      </c>
      <c r="B67" s="25">
        <v>58</v>
      </c>
      <c r="C67" s="25" t="s">
        <v>238</v>
      </c>
      <c r="D67" s="27" t="s">
        <v>135</v>
      </c>
      <c r="E67" s="27" t="s">
        <v>2064</v>
      </c>
      <c r="F67" s="31" t="s">
        <v>2281</v>
      </c>
      <c r="G67" s="27">
        <v>1</v>
      </c>
      <c r="H67" s="25">
        <v>20240810</v>
      </c>
    </row>
    <row r="68" spans="1:8">
      <c r="A68" s="18">
        <v>1000.5496</v>
      </c>
      <c r="B68" s="15">
        <v>59</v>
      </c>
      <c r="C68" s="15" t="s">
        <v>129</v>
      </c>
      <c r="D68" s="19" t="s">
        <v>235</v>
      </c>
      <c r="E68" s="19" t="s">
        <v>689</v>
      </c>
      <c r="F68" s="21" t="s">
        <v>2282</v>
      </c>
      <c r="G68" s="19">
        <v>0</v>
      </c>
      <c r="H68" s="15">
        <v>20240810</v>
      </c>
    </row>
    <row r="69" spans="1:8">
      <c r="A69" s="18">
        <v>1000.5577</v>
      </c>
      <c r="B69" s="15">
        <v>60</v>
      </c>
      <c r="C69" s="15" t="s">
        <v>129</v>
      </c>
      <c r="D69" s="19" t="s">
        <v>228</v>
      </c>
      <c r="E69" s="19" t="s">
        <v>2265</v>
      </c>
      <c r="F69" s="21" t="s">
        <v>2283</v>
      </c>
      <c r="G69" s="19">
        <v>1</v>
      </c>
      <c r="H69" s="15">
        <v>20240810</v>
      </c>
    </row>
    <row r="70" ht="15.75" spans="1:8">
      <c r="A70" s="18">
        <v>1000.5577</v>
      </c>
      <c r="B70" s="25">
        <v>60</v>
      </c>
      <c r="C70" s="25" t="s">
        <v>238</v>
      </c>
      <c r="D70" s="27" t="s">
        <v>135</v>
      </c>
      <c r="E70" s="27" t="s">
        <v>2064</v>
      </c>
      <c r="F70" s="31" t="s">
        <v>2258</v>
      </c>
      <c r="G70" s="27">
        <v>1</v>
      </c>
      <c r="H70" s="25">
        <v>20240810</v>
      </c>
    </row>
    <row r="71" ht="15.75" spans="1:8">
      <c r="A71" s="18">
        <v>1000.5738</v>
      </c>
      <c r="B71" s="25">
        <v>62</v>
      </c>
      <c r="C71" s="25" t="s">
        <v>238</v>
      </c>
      <c r="D71" s="27" t="s">
        <v>135</v>
      </c>
      <c r="E71" s="27" t="s">
        <v>2064</v>
      </c>
      <c r="F71" s="31" t="s">
        <v>2284</v>
      </c>
      <c r="G71" s="27">
        <v>1</v>
      </c>
      <c r="H71" s="25">
        <v>20240810</v>
      </c>
    </row>
    <row r="72" spans="1:8">
      <c r="A72" s="18">
        <v>1000.586</v>
      </c>
      <c r="B72" s="22">
        <v>63</v>
      </c>
      <c r="C72" s="22" t="s">
        <v>12</v>
      </c>
      <c r="D72" s="22" t="s">
        <v>12</v>
      </c>
      <c r="E72" s="22" t="s">
        <v>13</v>
      </c>
      <c r="F72" s="31" t="s">
        <v>2277</v>
      </c>
      <c r="G72" s="22">
        <v>1</v>
      </c>
      <c r="H72" s="12">
        <v>20240810</v>
      </c>
    </row>
    <row r="73" spans="1:8">
      <c r="A73" s="18">
        <v>1000.597</v>
      </c>
      <c r="B73" s="22">
        <v>64</v>
      </c>
      <c r="C73" s="22" t="s">
        <v>12</v>
      </c>
      <c r="D73" s="22" t="s">
        <v>12</v>
      </c>
      <c r="E73" s="23" t="s">
        <v>894</v>
      </c>
      <c r="F73" s="31" t="s">
        <v>2285</v>
      </c>
      <c r="G73" s="22">
        <v>1</v>
      </c>
      <c r="H73" s="12">
        <v>20240810</v>
      </c>
    </row>
    <row r="74" spans="1:8">
      <c r="A74" s="18">
        <v>1000.6371</v>
      </c>
      <c r="B74" s="15">
        <v>70</v>
      </c>
      <c r="C74" s="15" t="s">
        <v>129</v>
      </c>
      <c r="D74" s="19" t="s">
        <v>290</v>
      </c>
      <c r="E74" s="19" t="s">
        <v>689</v>
      </c>
      <c r="F74" s="21" t="s">
        <v>2251</v>
      </c>
      <c r="G74" s="19">
        <v>1</v>
      </c>
      <c r="H74" s="15">
        <v>20240810</v>
      </c>
    </row>
    <row r="75" ht="15.75" spans="1:8">
      <c r="A75" s="18">
        <v>1000.6371</v>
      </c>
      <c r="B75" s="25">
        <v>70</v>
      </c>
      <c r="C75" s="25" t="s">
        <v>247</v>
      </c>
      <c r="D75" s="27" t="s">
        <v>135</v>
      </c>
      <c r="E75" s="27" t="s">
        <v>2217</v>
      </c>
      <c r="F75" s="31" t="s">
        <v>2286</v>
      </c>
      <c r="G75" s="27">
        <v>1</v>
      </c>
      <c r="H75" s="25">
        <v>20240810</v>
      </c>
    </row>
    <row r="76" spans="1:8">
      <c r="A76" s="18">
        <v>1000.6522</v>
      </c>
      <c r="B76" s="15">
        <v>72</v>
      </c>
      <c r="C76" s="15" t="s">
        <v>129</v>
      </c>
      <c r="D76" s="19" t="s">
        <v>228</v>
      </c>
      <c r="E76" s="19" t="s">
        <v>997</v>
      </c>
      <c r="F76" s="21" t="s">
        <v>740</v>
      </c>
      <c r="G76" s="19">
        <v>1</v>
      </c>
      <c r="H76" s="15">
        <v>20240810</v>
      </c>
    </row>
    <row r="77" ht="27" spans="1:8">
      <c r="A77" s="18">
        <v>1000.6703</v>
      </c>
      <c r="B77" s="22">
        <v>74</v>
      </c>
      <c r="C77" s="22" t="s">
        <v>253</v>
      </c>
      <c r="D77" s="22" t="s">
        <v>126</v>
      </c>
      <c r="E77" s="23" t="s">
        <v>2287</v>
      </c>
      <c r="F77" s="31" t="s">
        <v>2288</v>
      </c>
      <c r="G77" s="22">
        <v>1</v>
      </c>
      <c r="H77" s="12">
        <v>20240810</v>
      </c>
    </row>
    <row r="78" spans="1:8">
      <c r="A78" s="18">
        <v>1000.7079</v>
      </c>
      <c r="B78" s="15">
        <v>79</v>
      </c>
      <c r="C78" s="15" t="s">
        <v>129</v>
      </c>
      <c r="D78" s="19" t="s">
        <v>228</v>
      </c>
      <c r="E78" s="19" t="s">
        <v>689</v>
      </c>
      <c r="F78" s="21" t="s">
        <v>1597</v>
      </c>
      <c r="G78" s="19">
        <v>0</v>
      </c>
      <c r="H78" s="15">
        <v>20240810</v>
      </c>
    </row>
    <row r="79" spans="1:8">
      <c r="A79" s="18">
        <v>1000.7229</v>
      </c>
      <c r="B79" s="22">
        <v>80</v>
      </c>
      <c r="C79" s="22" t="s">
        <v>12</v>
      </c>
      <c r="D79" s="22" t="s">
        <v>12</v>
      </c>
      <c r="E79" s="22" t="s">
        <v>13</v>
      </c>
      <c r="F79" s="31" t="s">
        <v>2285</v>
      </c>
      <c r="G79" s="22">
        <v>1</v>
      </c>
      <c r="H79" s="12">
        <v>20240810</v>
      </c>
    </row>
    <row r="80" spans="1:8">
      <c r="A80" s="18">
        <v>1000.7238</v>
      </c>
      <c r="B80" s="15">
        <v>81</v>
      </c>
      <c r="C80" s="15" t="s">
        <v>129</v>
      </c>
      <c r="D80" s="19" t="s">
        <v>235</v>
      </c>
      <c r="E80" s="19" t="s">
        <v>689</v>
      </c>
      <c r="F80" s="21" t="s">
        <v>2289</v>
      </c>
      <c r="G80" s="19">
        <v>0</v>
      </c>
      <c r="H80" s="15">
        <v>20240810</v>
      </c>
    </row>
    <row r="81" spans="1:8">
      <c r="A81" s="18">
        <v>1000.7317</v>
      </c>
      <c r="B81" s="15">
        <v>82</v>
      </c>
      <c r="C81" s="15" t="s">
        <v>129</v>
      </c>
      <c r="D81" s="19" t="s">
        <v>290</v>
      </c>
      <c r="E81" s="19" t="s">
        <v>689</v>
      </c>
      <c r="F81" s="21" t="s">
        <v>900</v>
      </c>
      <c r="G81" s="19">
        <v>0</v>
      </c>
      <c r="H81" s="15">
        <v>20240810</v>
      </c>
    </row>
    <row r="82" spans="1:8">
      <c r="A82" s="18">
        <v>1000.7475</v>
      </c>
      <c r="B82" s="22">
        <v>84</v>
      </c>
      <c r="C82" s="22" t="s">
        <v>12</v>
      </c>
      <c r="D82" s="22" t="s">
        <v>12</v>
      </c>
      <c r="E82" s="23" t="s">
        <v>894</v>
      </c>
      <c r="F82" s="31" t="s">
        <v>2290</v>
      </c>
      <c r="G82" s="22">
        <v>1</v>
      </c>
      <c r="H82" s="12">
        <v>20240810</v>
      </c>
    </row>
    <row r="83" ht="15.75" spans="1:8">
      <c r="A83" s="18">
        <v>1000.7475</v>
      </c>
      <c r="B83" s="25">
        <v>84</v>
      </c>
      <c r="C83" s="25" t="s">
        <v>238</v>
      </c>
      <c r="D83" s="27" t="s">
        <v>151</v>
      </c>
      <c r="E83" s="27" t="s">
        <v>2064</v>
      </c>
      <c r="F83" s="31" t="s">
        <v>2291</v>
      </c>
      <c r="G83" s="27">
        <v>1</v>
      </c>
      <c r="H83" s="25">
        <v>20240810</v>
      </c>
    </row>
    <row r="84" spans="1:8">
      <c r="A84" s="18">
        <v>1000.7623</v>
      </c>
      <c r="B84" s="22">
        <v>85</v>
      </c>
      <c r="C84" s="22" t="s">
        <v>12</v>
      </c>
      <c r="D84" s="22" t="s">
        <v>12</v>
      </c>
      <c r="E84" s="22" t="s">
        <v>13</v>
      </c>
      <c r="F84" s="31" t="s">
        <v>2292</v>
      </c>
      <c r="G84" s="22">
        <v>1</v>
      </c>
      <c r="H84" s="12">
        <v>20240810</v>
      </c>
    </row>
    <row r="85" spans="1:8">
      <c r="A85" s="18">
        <v>1000.7713</v>
      </c>
      <c r="B85" s="15">
        <v>87</v>
      </c>
      <c r="C85" s="15" t="s">
        <v>129</v>
      </c>
      <c r="D85" s="19" t="s">
        <v>228</v>
      </c>
      <c r="E85" s="19" t="s">
        <v>689</v>
      </c>
      <c r="F85" s="21" t="s">
        <v>2293</v>
      </c>
      <c r="G85" s="19">
        <v>0</v>
      </c>
      <c r="H85" s="15">
        <v>20240810</v>
      </c>
    </row>
    <row r="86" spans="1:8">
      <c r="A86" s="18">
        <v>1000.7793</v>
      </c>
      <c r="B86" s="22">
        <v>88</v>
      </c>
      <c r="C86" s="22" t="s">
        <v>12</v>
      </c>
      <c r="D86" s="22" t="s">
        <v>12</v>
      </c>
      <c r="E86" s="22" t="s">
        <v>13</v>
      </c>
      <c r="F86" s="31" t="s">
        <v>2294</v>
      </c>
      <c r="G86" s="22">
        <v>1</v>
      </c>
      <c r="H86" s="12">
        <v>20240810</v>
      </c>
    </row>
    <row r="87" ht="15.75" spans="1:8">
      <c r="A87" s="18">
        <v>1000.7793</v>
      </c>
      <c r="B87" s="25">
        <v>88</v>
      </c>
      <c r="C87" s="25" t="s">
        <v>238</v>
      </c>
      <c r="D87" s="27" t="s">
        <v>130</v>
      </c>
      <c r="E87" s="27" t="s">
        <v>2064</v>
      </c>
      <c r="F87" s="31" t="s">
        <v>2295</v>
      </c>
      <c r="G87" s="27">
        <v>1</v>
      </c>
      <c r="H87" s="25">
        <v>20240810</v>
      </c>
    </row>
    <row r="88" ht="30.75" spans="1:8">
      <c r="A88" s="18">
        <v>1000.7949</v>
      </c>
      <c r="B88" s="22">
        <v>89</v>
      </c>
      <c r="C88" s="22" t="s">
        <v>12</v>
      </c>
      <c r="D88" s="22" t="s">
        <v>12</v>
      </c>
      <c r="E88" s="23" t="s">
        <v>1468</v>
      </c>
      <c r="F88" s="31" t="s">
        <v>2296</v>
      </c>
      <c r="G88" s="22">
        <v>1</v>
      </c>
      <c r="H88" s="15">
        <v>20240810</v>
      </c>
    </row>
    <row r="89" spans="1:8">
      <c r="A89" s="18">
        <v>1000.7979</v>
      </c>
      <c r="B89" s="22">
        <v>90</v>
      </c>
      <c r="C89" s="22" t="s">
        <v>12</v>
      </c>
      <c r="D89" s="22" t="s">
        <v>12</v>
      </c>
      <c r="E89" s="22" t="s">
        <v>13</v>
      </c>
      <c r="F89" s="31" t="s">
        <v>2297</v>
      </c>
      <c r="G89" s="22">
        <v>1</v>
      </c>
      <c r="H89" s="15">
        <v>20240810</v>
      </c>
    </row>
    <row r="90" spans="1:8">
      <c r="A90" s="18">
        <v>1000.8091</v>
      </c>
      <c r="B90" s="22">
        <v>91</v>
      </c>
      <c r="C90" s="22" t="s">
        <v>12</v>
      </c>
      <c r="D90" s="22" t="s">
        <v>12</v>
      </c>
      <c r="E90" s="22" t="s">
        <v>13</v>
      </c>
      <c r="F90" s="31" t="s">
        <v>2298</v>
      </c>
      <c r="G90" s="22">
        <v>1</v>
      </c>
      <c r="H90" s="15">
        <v>20240810</v>
      </c>
    </row>
    <row r="91" spans="1:8">
      <c r="A91" s="18">
        <v>1000.8192</v>
      </c>
      <c r="B91" s="15">
        <v>93</v>
      </c>
      <c r="C91" s="15" t="s">
        <v>129</v>
      </c>
      <c r="D91" s="19" t="s">
        <v>228</v>
      </c>
      <c r="E91" s="19" t="s">
        <v>997</v>
      </c>
      <c r="F91" s="21" t="s">
        <v>2299</v>
      </c>
      <c r="G91" s="19">
        <v>1</v>
      </c>
      <c r="H91" s="15">
        <v>20240810</v>
      </c>
    </row>
    <row r="92" ht="27" spans="1:8">
      <c r="A92" s="15">
        <v>1000.085</v>
      </c>
      <c r="B92" s="15" t="s">
        <v>94</v>
      </c>
      <c r="C92" s="22" t="s">
        <v>170</v>
      </c>
      <c r="D92" s="22" t="s">
        <v>170</v>
      </c>
      <c r="E92" s="22" t="s">
        <v>172</v>
      </c>
      <c r="F92" s="31" t="s">
        <v>222</v>
      </c>
      <c r="G92" s="22">
        <v>1</v>
      </c>
      <c r="H92" s="15">
        <v>20240810</v>
      </c>
    </row>
    <row r="93" ht="27" spans="1:8">
      <c r="A93" s="15">
        <v>1000.167</v>
      </c>
      <c r="B93" s="15" t="s">
        <v>99</v>
      </c>
      <c r="C93" s="22" t="s">
        <v>170</v>
      </c>
      <c r="D93" s="22" t="s">
        <v>170</v>
      </c>
      <c r="E93" s="22" t="s">
        <v>172</v>
      </c>
      <c r="F93" s="31" t="s">
        <v>222</v>
      </c>
      <c r="G93" s="22">
        <v>1</v>
      </c>
      <c r="H93" s="15">
        <v>20240810</v>
      </c>
    </row>
    <row r="94" ht="27" spans="1:8">
      <c r="A94" s="15">
        <v>1000.247</v>
      </c>
      <c r="B94" s="15" t="s">
        <v>100</v>
      </c>
      <c r="C94" s="22" t="s">
        <v>170</v>
      </c>
      <c r="D94" s="22" t="s">
        <v>170</v>
      </c>
      <c r="E94" s="22" t="s">
        <v>172</v>
      </c>
      <c r="F94" s="31" t="s">
        <v>222</v>
      </c>
      <c r="G94" s="22">
        <v>1</v>
      </c>
      <c r="H94" s="15">
        <v>20240810</v>
      </c>
    </row>
    <row r="95" ht="27" spans="1:8">
      <c r="A95" s="15">
        <v>1000.326</v>
      </c>
      <c r="B95" s="15" t="s">
        <v>101</v>
      </c>
      <c r="C95" s="22" t="s">
        <v>170</v>
      </c>
      <c r="D95" s="22" t="s">
        <v>170</v>
      </c>
      <c r="E95" s="22" t="s">
        <v>172</v>
      </c>
      <c r="F95" s="31" t="s">
        <v>222</v>
      </c>
      <c r="G95" s="22">
        <v>1</v>
      </c>
      <c r="H95" s="15">
        <v>20240810</v>
      </c>
    </row>
    <row r="96" ht="27" spans="1:8">
      <c r="A96" s="15">
        <v>1000.406</v>
      </c>
      <c r="B96" s="15" t="s">
        <v>102</v>
      </c>
      <c r="C96" s="22" t="s">
        <v>170</v>
      </c>
      <c r="D96" s="22" t="s">
        <v>170</v>
      </c>
      <c r="E96" s="22" t="s">
        <v>172</v>
      </c>
      <c r="F96" s="31" t="s">
        <v>222</v>
      </c>
      <c r="G96" s="22">
        <v>1</v>
      </c>
      <c r="H96" s="15">
        <v>20240810</v>
      </c>
    </row>
    <row r="97" ht="27" spans="1:8">
      <c r="A97" s="15">
        <v>1000.486</v>
      </c>
      <c r="B97" s="15" t="s">
        <v>103</v>
      </c>
      <c r="C97" s="22" t="s">
        <v>170</v>
      </c>
      <c r="D97" s="22" t="s">
        <v>170</v>
      </c>
      <c r="E97" s="22" t="s">
        <v>172</v>
      </c>
      <c r="F97" s="31" t="s">
        <v>222</v>
      </c>
      <c r="G97" s="22">
        <v>1</v>
      </c>
      <c r="H97" s="15">
        <v>20240810</v>
      </c>
    </row>
    <row r="98" ht="27" spans="1:8">
      <c r="A98" s="15">
        <v>1000.566</v>
      </c>
      <c r="B98" s="15" t="s">
        <v>223</v>
      </c>
      <c r="C98" s="22" t="s">
        <v>170</v>
      </c>
      <c r="D98" s="22" t="s">
        <v>170</v>
      </c>
      <c r="E98" s="22" t="s">
        <v>172</v>
      </c>
      <c r="F98" s="31" t="s">
        <v>222</v>
      </c>
      <c r="G98" s="22">
        <v>1</v>
      </c>
      <c r="H98" s="15">
        <v>20240810</v>
      </c>
    </row>
    <row r="99" ht="27" spans="1:8">
      <c r="A99" s="15">
        <v>1000.645</v>
      </c>
      <c r="B99" s="15" t="s">
        <v>449</v>
      </c>
      <c r="C99" s="22" t="s">
        <v>170</v>
      </c>
      <c r="D99" s="22" t="s">
        <v>170</v>
      </c>
      <c r="E99" s="22" t="s">
        <v>172</v>
      </c>
      <c r="F99" s="31" t="s">
        <v>222</v>
      </c>
      <c r="G99" s="22">
        <v>1</v>
      </c>
      <c r="H99" s="15">
        <v>20240810</v>
      </c>
    </row>
    <row r="100" ht="27" spans="1:8">
      <c r="A100" s="15">
        <v>1000.724</v>
      </c>
      <c r="B100" s="15" t="s">
        <v>2300</v>
      </c>
      <c r="C100" s="22" t="s">
        <v>170</v>
      </c>
      <c r="D100" s="22" t="s">
        <v>170</v>
      </c>
      <c r="E100" s="22" t="s">
        <v>172</v>
      </c>
      <c r="F100" s="31" t="s">
        <v>222</v>
      </c>
      <c r="G100" s="22">
        <v>1</v>
      </c>
      <c r="H100" s="15">
        <v>20240810</v>
      </c>
    </row>
    <row r="101" spans="1:8">
      <c r="B101" s="86" t="s">
        <v>989</v>
      </c>
      <c r="C101" s="22" t="s">
        <v>125</v>
      </c>
      <c r="D101" s="22" t="s">
        <v>91</v>
      </c>
      <c r="E101" s="22" t="s">
        <v>91</v>
      </c>
      <c r="F101" s="31" t="s">
        <v>2301</v>
      </c>
      <c r="G101" s="22">
        <v>0</v>
      </c>
      <c r="H101" s="15">
        <v>20240810</v>
      </c>
    </row>
  </sheetData>
  <autoFilter xmlns:etc="http://www.wps.cn/officeDocument/2017/etCustomData" ref="A1:H101" etc:filterBottomFollowUsedRange="0">
    <extLst/>
  </autoFilter>
  <sortState ref="A2:H101">
    <sortCondition ref="B2:B101"/>
  </sortState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91"/>
  <sheetViews>
    <sheetView workbookViewId="0">
      <selection activeCell="L17" sqref="L17"/>
    </sheetView>
  </sheetViews>
  <sheetFormatPr defaultColWidth="9" defaultRowHeight="14.25" outlineLevelCol="7"/>
  <cols>
    <col min="2" max="2" width="7.75" style="4" customWidth="1"/>
    <col min="3" max="4" width="9" style="4"/>
    <col min="5" max="5" width="10.75" style="4" customWidth="1"/>
    <col min="6" max="6" width="74.625" style="84" customWidth="1"/>
    <col min="7" max="7" width="9.125" style="4" customWidth="1"/>
    <col min="8" max="8" width="9.5" customWidth="1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ht="15" spans="1:8">
      <c r="A2" s="85">
        <v>1000.85</v>
      </c>
      <c r="B2" s="86">
        <v>0</v>
      </c>
      <c r="C2" s="15" t="s">
        <v>542</v>
      </c>
      <c r="D2" s="15" t="s">
        <v>550</v>
      </c>
      <c r="E2" s="87" t="s">
        <v>2302</v>
      </c>
      <c r="F2" s="88" t="s">
        <v>2303</v>
      </c>
      <c r="G2" s="86">
        <v>2</v>
      </c>
      <c r="H2" s="15">
        <v>20240810</v>
      </c>
    </row>
    <row r="3" ht="15" spans="1:8">
      <c r="A3" s="85">
        <v>1000.85</v>
      </c>
      <c r="B3" s="86">
        <v>0</v>
      </c>
      <c r="C3" s="15" t="s">
        <v>542</v>
      </c>
      <c r="D3" s="15" t="s">
        <v>550</v>
      </c>
      <c r="E3" s="87" t="s">
        <v>2304</v>
      </c>
      <c r="F3" s="88" t="s">
        <v>2305</v>
      </c>
      <c r="G3" s="86">
        <v>1</v>
      </c>
      <c r="H3" s="15">
        <v>20240810</v>
      </c>
    </row>
    <row r="4" ht="15" spans="1:8">
      <c r="A4" s="85">
        <v>1000.85</v>
      </c>
      <c r="B4" s="86">
        <v>0</v>
      </c>
      <c r="C4" s="15" t="s">
        <v>542</v>
      </c>
      <c r="D4" s="15" t="s">
        <v>550</v>
      </c>
      <c r="E4" s="87" t="s">
        <v>2302</v>
      </c>
      <c r="F4" s="89" t="s">
        <v>2306</v>
      </c>
      <c r="G4" s="87">
        <v>1</v>
      </c>
      <c r="H4" s="15">
        <v>20240810</v>
      </c>
    </row>
    <row r="5" ht="15" spans="1:8">
      <c r="A5" s="85">
        <v>1000.85</v>
      </c>
      <c r="B5" s="86">
        <v>0</v>
      </c>
      <c r="C5" s="15" t="s">
        <v>542</v>
      </c>
      <c r="D5" s="15" t="s">
        <v>550</v>
      </c>
      <c r="E5" s="87" t="s">
        <v>771</v>
      </c>
      <c r="F5" s="89" t="s">
        <v>2307</v>
      </c>
      <c r="G5" s="87">
        <v>2</v>
      </c>
      <c r="H5" s="15">
        <v>20240810</v>
      </c>
    </row>
    <row r="6" ht="15" spans="1:8">
      <c r="A6" s="85">
        <v>1000.11</v>
      </c>
      <c r="B6" s="86">
        <v>0</v>
      </c>
      <c r="C6" s="15" t="s">
        <v>542</v>
      </c>
      <c r="D6" s="15" t="s">
        <v>546</v>
      </c>
      <c r="E6" s="87" t="s">
        <v>771</v>
      </c>
      <c r="F6" s="89" t="s">
        <v>2308</v>
      </c>
      <c r="G6" s="87">
        <v>2</v>
      </c>
      <c r="H6" s="15">
        <v>20240810</v>
      </c>
    </row>
    <row r="7" ht="15" spans="1:8">
      <c r="A7" s="85">
        <v>1000.85</v>
      </c>
      <c r="B7" s="86">
        <v>0</v>
      </c>
      <c r="C7" s="15" t="s">
        <v>224</v>
      </c>
      <c r="D7" s="15" t="s">
        <v>550</v>
      </c>
      <c r="E7" s="87" t="s">
        <v>997</v>
      </c>
      <c r="F7" s="89" t="s">
        <v>2309</v>
      </c>
      <c r="G7" s="87">
        <v>1</v>
      </c>
      <c r="H7" s="15">
        <v>20240810</v>
      </c>
    </row>
    <row r="8" ht="15" spans="1:8">
      <c r="A8" s="85">
        <v>1000.851</v>
      </c>
      <c r="B8" s="15">
        <v>1</v>
      </c>
      <c r="C8" s="15" t="s">
        <v>129</v>
      </c>
      <c r="D8" s="87" t="s">
        <v>235</v>
      </c>
      <c r="E8" s="87" t="s">
        <v>997</v>
      </c>
      <c r="F8" s="89" t="s">
        <v>2310</v>
      </c>
      <c r="G8" s="87">
        <v>1</v>
      </c>
      <c r="H8" s="15">
        <v>20240810</v>
      </c>
    </row>
    <row r="9" ht="15" spans="1:8">
      <c r="A9" s="85">
        <v>1000.854</v>
      </c>
      <c r="B9" s="15">
        <v>1</v>
      </c>
      <c r="C9" s="15" t="s">
        <v>129</v>
      </c>
      <c r="D9" s="87" t="s">
        <v>228</v>
      </c>
      <c r="E9" s="87" t="s">
        <v>997</v>
      </c>
      <c r="F9" s="89" t="s">
        <v>2311</v>
      </c>
      <c r="G9" s="87">
        <v>1</v>
      </c>
      <c r="H9" s="15">
        <v>20240810</v>
      </c>
    </row>
    <row r="10" ht="15" spans="1:8">
      <c r="A10" s="85">
        <v>1000.85</v>
      </c>
      <c r="B10" s="86">
        <v>1</v>
      </c>
      <c r="C10" s="86" t="s">
        <v>125</v>
      </c>
      <c r="D10" s="86" t="s">
        <v>126</v>
      </c>
      <c r="E10" s="86" t="s">
        <v>1592</v>
      </c>
      <c r="F10" s="90" t="s">
        <v>2312</v>
      </c>
      <c r="G10" s="86">
        <v>1</v>
      </c>
      <c r="H10" s="12">
        <v>20240809</v>
      </c>
    </row>
    <row r="11" ht="15" spans="1:8">
      <c r="A11" s="85">
        <v>1000.8453</v>
      </c>
      <c r="B11" s="15">
        <v>2</v>
      </c>
      <c r="C11" s="15" t="s">
        <v>129</v>
      </c>
      <c r="D11" s="87" t="s">
        <v>235</v>
      </c>
      <c r="E11" s="87" t="s">
        <v>716</v>
      </c>
      <c r="F11" s="89" t="s">
        <v>2313</v>
      </c>
      <c r="G11" s="87">
        <v>0</v>
      </c>
      <c r="H11" s="15">
        <v>20240810</v>
      </c>
    </row>
    <row r="12" ht="15" spans="1:8">
      <c r="A12" s="85">
        <v>1000.8423</v>
      </c>
      <c r="B12" s="15">
        <v>2</v>
      </c>
      <c r="C12" s="15" t="s">
        <v>129</v>
      </c>
      <c r="D12" s="87" t="s">
        <v>235</v>
      </c>
      <c r="E12" s="87" t="s">
        <v>997</v>
      </c>
      <c r="F12" s="89" t="s">
        <v>2314</v>
      </c>
      <c r="G12" s="87">
        <v>1</v>
      </c>
      <c r="H12" s="15">
        <v>20240810</v>
      </c>
    </row>
    <row r="13" ht="15" spans="1:8">
      <c r="A13" s="85">
        <v>1000.8423</v>
      </c>
      <c r="B13" s="15">
        <v>2</v>
      </c>
      <c r="C13" s="15" t="s">
        <v>129</v>
      </c>
      <c r="D13" s="87" t="s">
        <v>235</v>
      </c>
      <c r="E13" s="87" t="s">
        <v>689</v>
      </c>
      <c r="F13" s="89" t="s">
        <v>2315</v>
      </c>
      <c r="G13" s="87">
        <v>0</v>
      </c>
      <c r="H13" s="15">
        <v>20240810</v>
      </c>
    </row>
    <row r="14" ht="15" spans="1:8">
      <c r="A14" s="85">
        <v>1000.8448</v>
      </c>
      <c r="B14" s="15">
        <v>2</v>
      </c>
      <c r="C14" s="15" t="s">
        <v>129</v>
      </c>
      <c r="D14" s="87" t="s">
        <v>228</v>
      </c>
      <c r="E14" s="87" t="s">
        <v>997</v>
      </c>
      <c r="F14" s="89" t="s">
        <v>2316</v>
      </c>
      <c r="G14" s="87">
        <v>1</v>
      </c>
      <c r="H14" s="15">
        <v>20240810</v>
      </c>
    </row>
    <row r="15" ht="15" spans="1:8">
      <c r="A15" s="85">
        <v>1000.8334</v>
      </c>
      <c r="B15" s="15">
        <v>3</v>
      </c>
      <c r="C15" s="15" t="s">
        <v>129</v>
      </c>
      <c r="D15" s="87" t="s">
        <v>235</v>
      </c>
      <c r="E15" s="87" t="s">
        <v>997</v>
      </c>
      <c r="F15" s="89" t="s">
        <v>2314</v>
      </c>
      <c r="G15" s="87">
        <v>1</v>
      </c>
      <c r="H15" s="15">
        <v>20240810</v>
      </c>
    </row>
    <row r="16" ht="25.5" spans="1:8">
      <c r="A16" s="85">
        <v>1000.8252</v>
      </c>
      <c r="B16" s="15">
        <v>4</v>
      </c>
      <c r="C16" s="15" t="s">
        <v>129</v>
      </c>
      <c r="D16" s="87" t="s">
        <v>2317</v>
      </c>
      <c r="E16" s="87" t="s">
        <v>997</v>
      </c>
      <c r="F16" s="89" t="s">
        <v>2314</v>
      </c>
      <c r="G16" s="87">
        <v>1</v>
      </c>
      <c r="H16" s="15">
        <v>20240810</v>
      </c>
    </row>
    <row r="17" ht="15" spans="1:8">
      <c r="A17" s="85">
        <v>1000.8092</v>
      </c>
      <c r="B17" s="15">
        <v>6</v>
      </c>
      <c r="C17" s="15" t="s">
        <v>129</v>
      </c>
      <c r="D17" s="87" t="s">
        <v>235</v>
      </c>
      <c r="E17" s="87" t="s">
        <v>997</v>
      </c>
      <c r="F17" s="89" t="s">
        <v>2318</v>
      </c>
      <c r="G17" s="87">
        <v>1</v>
      </c>
      <c r="H17" s="15">
        <v>20240810</v>
      </c>
    </row>
    <row r="18" ht="15" spans="1:8">
      <c r="A18" s="85">
        <v>1000.8092</v>
      </c>
      <c r="B18" s="35">
        <v>6</v>
      </c>
      <c r="C18" s="35" t="s">
        <v>238</v>
      </c>
      <c r="D18" s="87" t="s">
        <v>290</v>
      </c>
      <c r="E18" s="87" t="s">
        <v>1030</v>
      </c>
      <c r="F18" s="89" t="s">
        <v>2319</v>
      </c>
      <c r="G18" s="87">
        <v>1</v>
      </c>
      <c r="H18" s="30">
        <v>20240810</v>
      </c>
    </row>
    <row r="19" ht="15" spans="1:8">
      <c r="A19" s="85">
        <v>1000.8092</v>
      </c>
      <c r="B19" s="35">
        <v>6</v>
      </c>
      <c r="C19" s="35" t="s">
        <v>238</v>
      </c>
      <c r="D19" s="87" t="s">
        <v>228</v>
      </c>
      <c r="E19" s="87" t="s">
        <v>1030</v>
      </c>
      <c r="F19" s="89" t="s">
        <v>2320</v>
      </c>
      <c r="G19" s="87">
        <v>1</v>
      </c>
      <c r="H19" s="30">
        <v>20240810</v>
      </c>
    </row>
    <row r="20" ht="15" spans="1:8">
      <c r="A20" s="85">
        <v>1000.8092</v>
      </c>
      <c r="B20" s="35">
        <v>6</v>
      </c>
      <c r="C20" s="35" t="s">
        <v>238</v>
      </c>
      <c r="D20" s="87" t="s">
        <v>235</v>
      </c>
      <c r="E20" s="87" t="s">
        <v>1030</v>
      </c>
      <c r="F20" s="89" t="s">
        <v>2321</v>
      </c>
      <c r="G20" s="87">
        <v>1</v>
      </c>
      <c r="H20" s="30">
        <v>20240810</v>
      </c>
    </row>
    <row r="21" ht="40.5" spans="1:8">
      <c r="A21" s="85">
        <v>1000.7863</v>
      </c>
      <c r="B21" s="15">
        <v>9</v>
      </c>
      <c r="C21" s="36" t="s">
        <v>1006</v>
      </c>
      <c r="D21" s="87" t="s">
        <v>1002</v>
      </c>
      <c r="E21" s="87" t="s">
        <v>2322</v>
      </c>
      <c r="F21" s="89" t="s">
        <v>2323</v>
      </c>
      <c r="G21" s="87">
        <v>1</v>
      </c>
      <c r="H21" s="15">
        <v>20240810</v>
      </c>
    </row>
    <row r="22" ht="15" spans="1:8">
      <c r="A22" s="85">
        <v>1000.7848</v>
      </c>
      <c r="B22" s="15">
        <v>9</v>
      </c>
      <c r="C22" s="15" t="s">
        <v>129</v>
      </c>
      <c r="D22" s="87" t="s">
        <v>228</v>
      </c>
      <c r="E22" s="87" t="s">
        <v>689</v>
      </c>
      <c r="F22" s="89" t="s">
        <v>2324</v>
      </c>
      <c r="G22" s="87">
        <v>0</v>
      </c>
      <c r="H22" s="15">
        <v>20240810</v>
      </c>
    </row>
    <row r="23" ht="15" spans="1:8">
      <c r="A23" s="85">
        <v>1000.7765</v>
      </c>
      <c r="B23" s="15">
        <v>10</v>
      </c>
      <c r="C23" s="15" t="s">
        <v>129</v>
      </c>
      <c r="D23" s="87" t="s">
        <v>290</v>
      </c>
      <c r="E23" s="87" t="s">
        <v>689</v>
      </c>
      <c r="F23" s="89" t="s">
        <v>2325</v>
      </c>
      <c r="G23" s="87">
        <v>0</v>
      </c>
      <c r="H23" s="15">
        <v>20240810</v>
      </c>
    </row>
    <row r="24" ht="15" spans="1:8">
      <c r="A24" s="85">
        <v>1000.7603</v>
      </c>
      <c r="B24" s="15">
        <v>12</v>
      </c>
      <c r="C24" s="15" t="s">
        <v>129</v>
      </c>
      <c r="D24" s="87" t="s">
        <v>290</v>
      </c>
      <c r="E24" s="87" t="s">
        <v>689</v>
      </c>
      <c r="F24" s="89" t="s">
        <v>2326</v>
      </c>
      <c r="G24" s="87">
        <v>0</v>
      </c>
      <c r="H24" s="15">
        <v>20240810</v>
      </c>
    </row>
    <row r="25" ht="15" spans="1:8">
      <c r="A25" s="85">
        <v>1000.7653</v>
      </c>
      <c r="B25" s="35">
        <v>12</v>
      </c>
      <c r="C25" s="35" t="s">
        <v>247</v>
      </c>
      <c r="D25" s="87" t="s">
        <v>272</v>
      </c>
      <c r="E25" s="15" t="s">
        <v>158</v>
      </c>
      <c r="F25" s="91" t="s">
        <v>2327</v>
      </c>
      <c r="G25" s="15">
        <v>1</v>
      </c>
      <c r="H25" s="30">
        <v>20240810</v>
      </c>
    </row>
    <row r="26" ht="40.5" spans="1:8">
      <c r="A26" s="85">
        <v>1000.7473</v>
      </c>
      <c r="B26" s="15">
        <v>14</v>
      </c>
      <c r="C26" s="36" t="s">
        <v>1006</v>
      </c>
      <c r="D26" s="87" t="s">
        <v>1002</v>
      </c>
      <c r="E26" s="87" t="s">
        <v>2255</v>
      </c>
      <c r="F26" s="89" t="s">
        <v>2328</v>
      </c>
      <c r="G26" s="87">
        <v>1</v>
      </c>
      <c r="H26" s="15">
        <v>20240810</v>
      </c>
    </row>
    <row r="27" ht="40.5" spans="1:8">
      <c r="A27" s="85">
        <v>1000.7473</v>
      </c>
      <c r="B27" s="86">
        <v>14</v>
      </c>
      <c r="C27" s="86" t="s">
        <v>21</v>
      </c>
      <c r="D27" s="87" t="s">
        <v>1002</v>
      </c>
      <c r="E27" s="15" t="s">
        <v>571</v>
      </c>
      <c r="F27" s="90" t="s">
        <v>2329</v>
      </c>
      <c r="G27" s="86">
        <v>1</v>
      </c>
      <c r="H27" s="15">
        <v>20240809</v>
      </c>
    </row>
    <row r="28" ht="15" spans="1:8">
      <c r="A28" s="85">
        <v>1000.7443</v>
      </c>
      <c r="B28" s="35">
        <v>14</v>
      </c>
      <c r="C28" s="35" t="s">
        <v>238</v>
      </c>
      <c r="D28" s="87" t="s">
        <v>290</v>
      </c>
      <c r="E28" s="87" t="s">
        <v>1030</v>
      </c>
      <c r="F28" s="89" t="s">
        <v>2330</v>
      </c>
      <c r="G28" s="87">
        <v>1</v>
      </c>
      <c r="H28" s="30">
        <v>20240810</v>
      </c>
    </row>
    <row r="29" ht="15" spans="1:8">
      <c r="A29" s="85">
        <v>1000.7203</v>
      </c>
      <c r="B29" s="15">
        <v>17</v>
      </c>
      <c r="C29" s="15" t="s">
        <v>129</v>
      </c>
      <c r="D29" s="87" t="s">
        <v>228</v>
      </c>
      <c r="E29" s="87" t="s">
        <v>689</v>
      </c>
      <c r="F29" s="89" t="s">
        <v>2331</v>
      </c>
      <c r="G29" s="87">
        <v>0</v>
      </c>
      <c r="H29" s="15">
        <v>20240810</v>
      </c>
    </row>
    <row r="30" ht="49.5" customHeight="1" spans="1:8">
      <c r="A30" s="85">
        <v>1000.697</v>
      </c>
      <c r="B30" s="15">
        <v>20</v>
      </c>
      <c r="C30" s="36" t="s">
        <v>1006</v>
      </c>
      <c r="D30" s="87" t="s">
        <v>1002</v>
      </c>
      <c r="E30" s="87" t="s">
        <v>2255</v>
      </c>
      <c r="F30" s="89" t="s">
        <v>2332</v>
      </c>
      <c r="G30" s="87">
        <v>1</v>
      </c>
      <c r="H30" s="15">
        <v>20240810</v>
      </c>
    </row>
    <row r="31" ht="15" spans="1:8">
      <c r="A31" s="85">
        <v>1000.6951</v>
      </c>
      <c r="B31" s="86">
        <v>21</v>
      </c>
      <c r="C31" s="86" t="s">
        <v>253</v>
      </c>
      <c r="D31" s="86" t="s">
        <v>126</v>
      </c>
      <c r="E31" s="86" t="s">
        <v>1632</v>
      </c>
      <c r="F31" s="90" t="s">
        <v>2333</v>
      </c>
      <c r="G31" s="86">
        <v>1</v>
      </c>
      <c r="H31" s="12">
        <v>20240809</v>
      </c>
    </row>
    <row r="32" ht="15" spans="1:8">
      <c r="A32" s="85">
        <v>1000.6721</v>
      </c>
      <c r="B32" s="15">
        <v>23</v>
      </c>
      <c r="C32" s="15" t="s">
        <v>129</v>
      </c>
      <c r="D32" s="87" t="s">
        <v>290</v>
      </c>
      <c r="E32" s="87" t="s">
        <v>689</v>
      </c>
      <c r="F32" s="89" t="s">
        <v>2334</v>
      </c>
      <c r="G32" s="87">
        <v>0</v>
      </c>
      <c r="H32" s="15">
        <v>20240810</v>
      </c>
    </row>
    <row r="33" ht="15" spans="1:8">
      <c r="A33" s="85">
        <v>1000.6644</v>
      </c>
      <c r="B33" s="35">
        <v>24</v>
      </c>
      <c r="C33" s="35" t="s">
        <v>238</v>
      </c>
      <c r="D33" s="87" t="s">
        <v>231</v>
      </c>
      <c r="E33" s="87" t="s">
        <v>1150</v>
      </c>
      <c r="F33" s="89" t="s">
        <v>2335</v>
      </c>
      <c r="G33" s="87">
        <v>1</v>
      </c>
      <c r="H33" s="30">
        <v>20240810</v>
      </c>
    </row>
    <row r="34" ht="15" spans="1:8">
      <c r="A34" s="85">
        <v>1000.6404</v>
      </c>
      <c r="B34" s="15">
        <v>27</v>
      </c>
      <c r="C34" s="15" t="s">
        <v>129</v>
      </c>
      <c r="D34" s="87" t="s">
        <v>235</v>
      </c>
      <c r="E34" s="87" t="s">
        <v>689</v>
      </c>
      <c r="F34" s="89" t="s">
        <v>2336</v>
      </c>
      <c r="G34" s="87">
        <v>0</v>
      </c>
      <c r="H34" s="15">
        <v>20240810</v>
      </c>
    </row>
    <row r="35" ht="15" spans="1:8">
      <c r="A35" s="85">
        <v>1000.6404</v>
      </c>
      <c r="B35" s="35">
        <v>27</v>
      </c>
      <c r="C35" s="35" t="s">
        <v>238</v>
      </c>
      <c r="D35" s="87" t="s">
        <v>272</v>
      </c>
      <c r="E35" s="87" t="s">
        <v>1150</v>
      </c>
      <c r="F35" s="89" t="s">
        <v>2337</v>
      </c>
      <c r="G35" s="87">
        <v>1</v>
      </c>
      <c r="H35" s="30">
        <v>20240810</v>
      </c>
    </row>
    <row r="36" ht="15" spans="1:8">
      <c r="A36" s="85">
        <v>1000.6086</v>
      </c>
      <c r="B36" s="15">
        <v>31</v>
      </c>
      <c r="C36" s="15" t="s">
        <v>129</v>
      </c>
      <c r="D36" s="87" t="s">
        <v>290</v>
      </c>
      <c r="E36" s="87" t="s">
        <v>689</v>
      </c>
      <c r="F36" s="89" t="s">
        <v>2338</v>
      </c>
      <c r="G36" s="87">
        <v>0</v>
      </c>
      <c r="H36" s="15">
        <v>20240810</v>
      </c>
    </row>
    <row r="37" ht="15" spans="1:8">
      <c r="A37" s="85">
        <v>1000.6007</v>
      </c>
      <c r="B37" s="35">
        <v>32</v>
      </c>
      <c r="C37" s="35" t="s">
        <v>238</v>
      </c>
      <c r="D37" s="87" t="s">
        <v>272</v>
      </c>
      <c r="E37" s="87" t="s">
        <v>1150</v>
      </c>
      <c r="F37" s="89" t="s">
        <v>2339</v>
      </c>
      <c r="G37" s="87">
        <v>1</v>
      </c>
      <c r="H37" s="30">
        <v>20240810</v>
      </c>
    </row>
    <row r="38" ht="15" spans="1:8">
      <c r="A38" s="85">
        <v>1000.5769</v>
      </c>
      <c r="B38" s="15">
        <v>35</v>
      </c>
      <c r="C38" s="15" t="s">
        <v>129</v>
      </c>
      <c r="D38" s="87" t="s">
        <v>235</v>
      </c>
      <c r="E38" s="87" t="s">
        <v>689</v>
      </c>
      <c r="F38" s="89" t="s">
        <v>2340</v>
      </c>
      <c r="G38" s="87">
        <v>0</v>
      </c>
      <c r="H38" s="15">
        <v>20240810</v>
      </c>
    </row>
    <row r="39" ht="15" spans="1:8">
      <c r="A39" s="85">
        <v>1000.5794</v>
      </c>
      <c r="B39" s="15">
        <v>35</v>
      </c>
      <c r="C39" s="15" t="s">
        <v>129</v>
      </c>
      <c r="D39" s="87" t="s">
        <v>235</v>
      </c>
      <c r="E39" s="87" t="s">
        <v>997</v>
      </c>
      <c r="F39" s="89" t="s">
        <v>2341</v>
      </c>
      <c r="G39" s="87">
        <v>0</v>
      </c>
      <c r="H39" s="15">
        <v>20240810</v>
      </c>
    </row>
    <row r="40" ht="15" spans="1:8">
      <c r="A40" s="85">
        <v>1000.5789</v>
      </c>
      <c r="B40" s="15">
        <v>35</v>
      </c>
      <c r="C40" s="15" t="s">
        <v>129</v>
      </c>
      <c r="D40" s="87" t="s">
        <v>235</v>
      </c>
      <c r="E40" s="92" t="s">
        <v>2342</v>
      </c>
      <c r="F40" s="89" t="s">
        <v>2343</v>
      </c>
      <c r="G40" s="87">
        <v>1</v>
      </c>
      <c r="H40" s="15">
        <v>20240810</v>
      </c>
    </row>
    <row r="41" ht="15" spans="1:8">
      <c r="A41" s="85">
        <v>1000.5709</v>
      </c>
      <c r="B41" s="35">
        <v>36</v>
      </c>
      <c r="C41" s="35" t="s">
        <v>238</v>
      </c>
      <c r="D41" s="87" t="s">
        <v>231</v>
      </c>
      <c r="E41" s="87" t="s">
        <v>1150</v>
      </c>
      <c r="F41" s="89" t="s">
        <v>2344</v>
      </c>
      <c r="G41" s="87">
        <v>1</v>
      </c>
      <c r="H41" s="30">
        <v>20240810</v>
      </c>
    </row>
    <row r="42" ht="15" spans="1:8">
      <c r="A42" s="85">
        <v>1000.5608</v>
      </c>
      <c r="B42" s="15">
        <v>37</v>
      </c>
      <c r="C42" s="15" t="s">
        <v>129</v>
      </c>
      <c r="D42" s="87" t="s">
        <v>235</v>
      </c>
      <c r="E42" s="87" t="s">
        <v>1616</v>
      </c>
      <c r="F42" s="89" t="s">
        <v>2345</v>
      </c>
      <c r="G42" s="87">
        <v>1</v>
      </c>
      <c r="H42" s="15">
        <v>20240810</v>
      </c>
    </row>
    <row r="43" ht="15" spans="1:8">
      <c r="A43" s="85">
        <v>1000.5648</v>
      </c>
      <c r="B43" s="35">
        <v>37</v>
      </c>
      <c r="C43" s="35" t="s">
        <v>238</v>
      </c>
      <c r="D43" s="87" t="s">
        <v>231</v>
      </c>
      <c r="E43" s="87" t="s">
        <v>1150</v>
      </c>
      <c r="F43" s="89" t="s">
        <v>2346</v>
      </c>
      <c r="G43" s="87">
        <v>1</v>
      </c>
      <c r="H43" s="30">
        <v>20240810</v>
      </c>
    </row>
    <row r="44" ht="15" spans="1:8">
      <c r="A44" s="85">
        <v>1000.5547</v>
      </c>
      <c r="B44" s="35">
        <v>38</v>
      </c>
      <c r="C44" s="35" t="s">
        <v>238</v>
      </c>
      <c r="D44" s="87" t="s">
        <v>272</v>
      </c>
      <c r="E44" s="87" t="s">
        <v>1150</v>
      </c>
      <c r="F44" s="89" t="s">
        <v>2347</v>
      </c>
      <c r="G44" s="87">
        <v>1</v>
      </c>
      <c r="H44" s="30">
        <v>20240810</v>
      </c>
    </row>
    <row r="45" ht="15" spans="1:8">
      <c r="A45" s="85">
        <v>1000.5447</v>
      </c>
      <c r="B45" s="15">
        <v>39</v>
      </c>
      <c r="C45" s="15" t="s">
        <v>129</v>
      </c>
      <c r="D45" s="87" t="s">
        <v>290</v>
      </c>
      <c r="E45" s="87" t="s">
        <v>689</v>
      </c>
      <c r="F45" s="89" t="s">
        <v>1407</v>
      </c>
      <c r="G45" s="87">
        <v>0</v>
      </c>
      <c r="H45" s="15">
        <v>20240810</v>
      </c>
    </row>
    <row r="46" ht="15" spans="1:8">
      <c r="A46" s="85">
        <v>1000.5427</v>
      </c>
      <c r="B46" s="15">
        <v>40</v>
      </c>
      <c r="C46" s="15" t="s">
        <v>129</v>
      </c>
      <c r="D46" s="87" t="s">
        <v>235</v>
      </c>
      <c r="E46" s="87" t="s">
        <v>997</v>
      </c>
      <c r="F46" s="89" t="s">
        <v>2348</v>
      </c>
      <c r="G46" s="87">
        <v>1</v>
      </c>
      <c r="H46" s="15">
        <v>20240810</v>
      </c>
    </row>
    <row r="47" ht="15" spans="1:8">
      <c r="A47" s="85">
        <v>1000.5011</v>
      </c>
      <c r="B47" s="35">
        <v>45</v>
      </c>
      <c r="C47" s="35" t="s">
        <v>238</v>
      </c>
      <c r="D47" s="87" t="s">
        <v>272</v>
      </c>
      <c r="E47" s="87" t="s">
        <v>1150</v>
      </c>
      <c r="F47" s="89" t="s">
        <v>2349</v>
      </c>
      <c r="G47" s="87">
        <v>1</v>
      </c>
      <c r="H47" s="30">
        <v>20240810</v>
      </c>
    </row>
    <row r="48" ht="15" spans="1:8">
      <c r="A48" s="85">
        <v>1000.496</v>
      </c>
      <c r="B48" s="35">
        <v>46</v>
      </c>
      <c r="C48" s="35" t="s">
        <v>268</v>
      </c>
      <c r="D48" s="87" t="s">
        <v>1903</v>
      </c>
      <c r="E48" s="15" t="s">
        <v>2239</v>
      </c>
      <c r="F48" s="91" t="s">
        <v>2350</v>
      </c>
      <c r="G48" s="15">
        <v>1</v>
      </c>
      <c r="H48" s="30">
        <v>20240810</v>
      </c>
    </row>
    <row r="49" ht="27" spans="1:8">
      <c r="A49" s="85">
        <v>1000.4646</v>
      </c>
      <c r="B49" s="15">
        <v>49</v>
      </c>
      <c r="C49" s="86" t="s">
        <v>170</v>
      </c>
      <c r="D49" s="86" t="s">
        <v>170</v>
      </c>
      <c r="E49" s="86" t="s">
        <v>172</v>
      </c>
      <c r="F49" s="90" t="s">
        <v>2351</v>
      </c>
      <c r="G49" s="86">
        <v>2</v>
      </c>
      <c r="H49" s="15">
        <v>20240810</v>
      </c>
    </row>
    <row r="50" ht="15" spans="1:8">
      <c r="A50" s="85">
        <v>1000.4646</v>
      </c>
      <c r="B50" s="35">
        <v>49</v>
      </c>
      <c r="C50" s="35" t="s">
        <v>238</v>
      </c>
      <c r="D50" s="87" t="s">
        <v>231</v>
      </c>
      <c r="E50" s="87" t="s">
        <v>1150</v>
      </c>
      <c r="F50" s="89" t="s">
        <v>2352</v>
      </c>
      <c r="G50" s="87">
        <v>1</v>
      </c>
      <c r="H50" s="30">
        <v>20240810</v>
      </c>
    </row>
    <row r="51" ht="15" spans="1:8">
      <c r="A51" s="85">
        <v>1000.4571</v>
      </c>
      <c r="B51" s="15">
        <v>50</v>
      </c>
      <c r="C51" s="15" t="s">
        <v>129</v>
      </c>
      <c r="D51" s="87" t="s">
        <v>228</v>
      </c>
      <c r="E51" s="87" t="s">
        <v>689</v>
      </c>
      <c r="F51" s="89" t="s">
        <v>2353</v>
      </c>
      <c r="G51" s="87">
        <v>1</v>
      </c>
      <c r="H51" s="15">
        <v>20240810</v>
      </c>
    </row>
    <row r="52" ht="15" spans="1:8">
      <c r="A52" s="85">
        <v>1000.4571</v>
      </c>
      <c r="B52" s="15">
        <v>50</v>
      </c>
      <c r="C52" s="15" t="s">
        <v>129</v>
      </c>
      <c r="D52" s="87" t="s">
        <v>228</v>
      </c>
      <c r="E52" s="87" t="s">
        <v>997</v>
      </c>
      <c r="F52" s="89" t="s">
        <v>2354</v>
      </c>
      <c r="G52" s="87">
        <v>1</v>
      </c>
      <c r="H52" s="15">
        <v>20240810</v>
      </c>
    </row>
    <row r="53" ht="40.5" spans="1:8">
      <c r="A53" s="85">
        <v>1000.4471</v>
      </c>
      <c r="B53" s="93">
        <v>52</v>
      </c>
      <c r="C53" s="93" t="s">
        <v>820</v>
      </c>
      <c r="D53" s="36" t="s">
        <v>360</v>
      </c>
      <c r="E53" s="15" t="s">
        <v>376</v>
      </c>
      <c r="F53" s="90" t="s">
        <v>2355</v>
      </c>
      <c r="G53" s="15">
        <v>1</v>
      </c>
      <c r="H53" s="30">
        <v>20240810</v>
      </c>
    </row>
    <row r="54" ht="15" spans="1:8">
      <c r="A54" s="85">
        <v>1000.433</v>
      </c>
      <c r="B54" s="15">
        <v>53</v>
      </c>
      <c r="C54" s="15" t="s">
        <v>129</v>
      </c>
      <c r="D54" s="87" t="s">
        <v>290</v>
      </c>
      <c r="E54" s="87" t="s">
        <v>689</v>
      </c>
      <c r="F54" s="89" t="s">
        <v>2356</v>
      </c>
      <c r="G54" s="87">
        <v>0</v>
      </c>
      <c r="H54" s="15">
        <v>20240810</v>
      </c>
    </row>
    <row r="55" ht="15" spans="1:8">
      <c r="A55" s="85">
        <v>1000.4168</v>
      </c>
      <c r="B55" s="35">
        <v>55</v>
      </c>
      <c r="C55" s="35" t="s">
        <v>238</v>
      </c>
      <c r="D55" s="87" t="s">
        <v>2357</v>
      </c>
      <c r="E55" s="87" t="s">
        <v>1030</v>
      </c>
      <c r="F55" s="89" t="s">
        <v>2319</v>
      </c>
      <c r="G55" s="87">
        <v>1</v>
      </c>
      <c r="H55" s="30">
        <v>20240810</v>
      </c>
    </row>
    <row r="56" ht="15" spans="1:8">
      <c r="A56" s="85">
        <v>1000.3854</v>
      </c>
      <c r="B56" s="15">
        <v>59</v>
      </c>
      <c r="C56" s="15" t="s">
        <v>129</v>
      </c>
      <c r="D56" s="92" t="s">
        <v>484</v>
      </c>
      <c r="E56" s="87" t="s">
        <v>236</v>
      </c>
      <c r="F56" s="89" t="s">
        <v>2358</v>
      </c>
      <c r="G56" s="87">
        <v>1</v>
      </c>
      <c r="H56" s="15">
        <v>20240810</v>
      </c>
    </row>
    <row r="57" ht="15" spans="1:8">
      <c r="A57" s="85">
        <v>1000.3874</v>
      </c>
      <c r="B57" s="35">
        <v>59</v>
      </c>
      <c r="C57" s="35" t="s">
        <v>238</v>
      </c>
      <c r="D57" s="87" t="s">
        <v>228</v>
      </c>
      <c r="E57" s="87" t="s">
        <v>1030</v>
      </c>
      <c r="F57" s="89" t="s">
        <v>2359</v>
      </c>
      <c r="G57" s="87">
        <v>1</v>
      </c>
      <c r="H57" s="30">
        <v>20240810</v>
      </c>
    </row>
    <row r="58" ht="15" spans="1:8">
      <c r="A58" s="85">
        <v>1000.3773</v>
      </c>
      <c r="B58" s="35">
        <v>60</v>
      </c>
      <c r="C58" s="35" t="s">
        <v>238</v>
      </c>
      <c r="D58" s="87" t="s">
        <v>272</v>
      </c>
      <c r="E58" s="87" t="s">
        <v>1150</v>
      </c>
      <c r="F58" s="89" t="s">
        <v>2360</v>
      </c>
      <c r="G58" s="87">
        <v>1</v>
      </c>
      <c r="H58" s="30">
        <v>20240810</v>
      </c>
    </row>
    <row r="59" ht="40.5" spans="1:8">
      <c r="A59" s="85">
        <v>1000.354</v>
      </c>
      <c r="B59" s="15">
        <v>63</v>
      </c>
      <c r="C59" s="36" t="s">
        <v>1006</v>
      </c>
      <c r="D59" s="87" t="s">
        <v>1002</v>
      </c>
      <c r="E59" s="87" t="s">
        <v>1011</v>
      </c>
      <c r="F59" s="89" t="s">
        <v>2361</v>
      </c>
      <c r="G59" s="87">
        <v>1</v>
      </c>
      <c r="H59" s="15">
        <v>20240810</v>
      </c>
    </row>
    <row r="60" ht="15" spans="1:8">
      <c r="A60" s="85">
        <v>1000.353</v>
      </c>
      <c r="B60" s="35">
        <v>63</v>
      </c>
      <c r="C60" s="35" t="s">
        <v>238</v>
      </c>
      <c r="D60" s="87" t="s">
        <v>228</v>
      </c>
      <c r="E60" s="87" t="s">
        <v>1030</v>
      </c>
      <c r="F60" s="89" t="s">
        <v>2362</v>
      </c>
      <c r="G60" s="87">
        <v>1</v>
      </c>
      <c r="H60" s="30">
        <v>20240810</v>
      </c>
    </row>
    <row r="61" ht="15" spans="1:8">
      <c r="A61" s="85">
        <v>1000.348</v>
      </c>
      <c r="B61" s="15">
        <v>64</v>
      </c>
      <c r="C61" s="15" t="s">
        <v>129</v>
      </c>
      <c r="D61" s="87" t="s">
        <v>290</v>
      </c>
      <c r="E61" s="87" t="s">
        <v>689</v>
      </c>
      <c r="F61" s="89" t="s">
        <v>2363</v>
      </c>
      <c r="G61" s="87">
        <v>0</v>
      </c>
      <c r="H61" s="15">
        <v>20240810</v>
      </c>
    </row>
    <row r="62" ht="15" spans="1:8">
      <c r="A62" s="85">
        <v>1000.3372</v>
      </c>
      <c r="B62" s="15">
        <v>65</v>
      </c>
      <c r="C62" s="15" t="s">
        <v>129</v>
      </c>
      <c r="D62" s="87" t="s">
        <v>290</v>
      </c>
      <c r="E62" s="87" t="s">
        <v>689</v>
      </c>
      <c r="F62" s="89" t="s">
        <v>2364</v>
      </c>
      <c r="G62" s="87">
        <v>0</v>
      </c>
      <c r="H62" s="15">
        <v>20240810</v>
      </c>
    </row>
    <row r="63" ht="27" spans="1:8">
      <c r="A63" s="85">
        <v>1000.3059</v>
      </c>
      <c r="B63" s="15">
        <v>69</v>
      </c>
      <c r="C63" s="86" t="s">
        <v>170</v>
      </c>
      <c r="D63" s="86" t="s">
        <v>170</v>
      </c>
      <c r="E63" s="86" t="s">
        <v>172</v>
      </c>
      <c r="F63" s="90" t="s">
        <v>2351</v>
      </c>
      <c r="G63" s="86">
        <v>2</v>
      </c>
      <c r="H63" s="15">
        <v>20240810</v>
      </c>
    </row>
    <row r="64" ht="15" spans="1:8">
      <c r="A64" s="85">
        <v>1000.3099</v>
      </c>
      <c r="B64" s="35">
        <v>69</v>
      </c>
      <c r="C64" s="35" t="s">
        <v>268</v>
      </c>
      <c r="D64" s="87" t="s">
        <v>1903</v>
      </c>
      <c r="E64" s="15" t="s">
        <v>2239</v>
      </c>
      <c r="F64" s="91" t="s">
        <v>2365</v>
      </c>
      <c r="G64" s="15">
        <v>1</v>
      </c>
      <c r="H64" s="30">
        <v>20240810</v>
      </c>
    </row>
    <row r="65" ht="15" spans="1:8">
      <c r="A65" s="85">
        <v>1000.2431</v>
      </c>
      <c r="B65" s="15">
        <v>77</v>
      </c>
      <c r="C65" s="15" t="s">
        <v>129</v>
      </c>
      <c r="D65" s="87" t="s">
        <v>290</v>
      </c>
      <c r="E65" s="87" t="s">
        <v>689</v>
      </c>
      <c r="F65" s="89" t="s">
        <v>2366</v>
      </c>
      <c r="G65" s="36">
        <v>1</v>
      </c>
      <c r="H65" s="15">
        <v>20240810</v>
      </c>
    </row>
    <row r="66" ht="15" spans="1:8">
      <c r="A66" s="85">
        <v>1000.2142</v>
      </c>
      <c r="B66" s="86">
        <v>81</v>
      </c>
      <c r="C66" s="86" t="s">
        <v>125</v>
      </c>
      <c r="D66" s="86" t="s">
        <v>126</v>
      </c>
      <c r="E66" s="86" t="s">
        <v>1592</v>
      </c>
      <c r="F66" s="90" t="s">
        <v>2367</v>
      </c>
      <c r="G66" s="86">
        <v>1</v>
      </c>
      <c r="H66" s="12">
        <v>20240809</v>
      </c>
    </row>
    <row r="67" ht="15" spans="1:8">
      <c r="A67" s="85">
        <v>1000.2033</v>
      </c>
      <c r="B67" s="15">
        <v>82</v>
      </c>
      <c r="C67" s="15" t="s">
        <v>129</v>
      </c>
      <c r="D67" s="87" t="s">
        <v>290</v>
      </c>
      <c r="E67" s="87" t="s">
        <v>689</v>
      </c>
      <c r="F67" s="89" t="s">
        <v>1930</v>
      </c>
      <c r="G67" s="87">
        <v>1</v>
      </c>
      <c r="H67" s="15">
        <v>20240810</v>
      </c>
    </row>
    <row r="68" ht="15" spans="1:8">
      <c r="A68" s="85">
        <v>1000.193</v>
      </c>
      <c r="B68" s="15">
        <v>84</v>
      </c>
      <c r="C68" s="15" t="s">
        <v>129</v>
      </c>
      <c r="D68" s="87" t="s">
        <v>272</v>
      </c>
      <c r="E68" s="87" t="s">
        <v>997</v>
      </c>
      <c r="F68" s="89" t="s">
        <v>2368</v>
      </c>
      <c r="G68" s="87">
        <v>1</v>
      </c>
      <c r="H68" s="15">
        <v>20240810</v>
      </c>
    </row>
    <row r="69" ht="15" spans="1:8">
      <c r="A69" s="85">
        <v>1000.1875</v>
      </c>
      <c r="B69" s="35">
        <v>84</v>
      </c>
      <c r="C69" s="35" t="s">
        <v>238</v>
      </c>
      <c r="D69" s="87" t="s">
        <v>228</v>
      </c>
      <c r="E69" s="87" t="s">
        <v>1030</v>
      </c>
      <c r="F69" s="89" t="s">
        <v>2320</v>
      </c>
      <c r="G69" s="87">
        <v>1</v>
      </c>
      <c r="H69" s="30">
        <v>20240810</v>
      </c>
    </row>
    <row r="70" ht="40.5" spans="1:8">
      <c r="A70" s="85">
        <v>1000.1778</v>
      </c>
      <c r="B70" s="93">
        <v>86</v>
      </c>
      <c r="C70" s="93" t="s">
        <v>820</v>
      </c>
      <c r="D70" s="36" t="s">
        <v>360</v>
      </c>
      <c r="E70" s="15" t="s">
        <v>376</v>
      </c>
      <c r="F70" s="90" t="s">
        <v>2369</v>
      </c>
      <c r="G70" s="15">
        <v>1</v>
      </c>
      <c r="H70" s="30">
        <v>20240810</v>
      </c>
    </row>
    <row r="71" ht="15" spans="1:8">
      <c r="A71" s="85">
        <v>1000.1637</v>
      </c>
      <c r="B71" s="35">
        <v>87</v>
      </c>
      <c r="C71" s="35" t="s">
        <v>238</v>
      </c>
      <c r="D71" s="87" t="s">
        <v>228</v>
      </c>
      <c r="E71" s="87" t="s">
        <v>1030</v>
      </c>
      <c r="F71" s="89" t="s">
        <v>2370</v>
      </c>
      <c r="G71" s="87">
        <v>1</v>
      </c>
      <c r="H71" s="30">
        <v>20240810</v>
      </c>
    </row>
    <row r="72" ht="15" spans="1:8">
      <c r="A72" s="85">
        <v>1000.1396</v>
      </c>
      <c r="B72" s="15">
        <v>90</v>
      </c>
      <c r="C72" s="15" t="s">
        <v>129</v>
      </c>
      <c r="D72" s="87" t="s">
        <v>290</v>
      </c>
      <c r="E72" s="87" t="s">
        <v>997</v>
      </c>
      <c r="F72" s="89" t="s">
        <v>2354</v>
      </c>
      <c r="G72" s="87">
        <v>1</v>
      </c>
      <c r="H72" s="15">
        <v>20240810</v>
      </c>
    </row>
    <row r="73" ht="40.5" spans="1:8">
      <c r="A73" s="85">
        <v>1000.1401</v>
      </c>
      <c r="B73" s="86">
        <v>90</v>
      </c>
      <c r="C73" s="86" t="s">
        <v>21</v>
      </c>
      <c r="D73" s="87" t="s">
        <v>1002</v>
      </c>
      <c r="E73" s="15" t="s">
        <v>571</v>
      </c>
      <c r="F73" s="90" t="s">
        <v>2371</v>
      </c>
      <c r="G73" s="86">
        <v>1</v>
      </c>
      <c r="H73" s="15">
        <v>20240809</v>
      </c>
    </row>
    <row r="74" ht="15" spans="1:8">
      <c r="A74" s="85">
        <v>1000.1396</v>
      </c>
      <c r="B74" s="35">
        <v>90</v>
      </c>
      <c r="C74" s="35" t="s">
        <v>238</v>
      </c>
      <c r="D74" s="87" t="s">
        <v>235</v>
      </c>
      <c r="E74" s="87" t="s">
        <v>1030</v>
      </c>
      <c r="F74" s="89" t="s">
        <v>2372</v>
      </c>
      <c r="G74" s="87">
        <v>1</v>
      </c>
      <c r="H74" s="30">
        <v>20240810</v>
      </c>
    </row>
    <row r="75" ht="40.5" spans="1:8">
      <c r="A75" s="85">
        <v>1000.1399</v>
      </c>
      <c r="B75" s="86">
        <v>91</v>
      </c>
      <c r="C75" s="86" t="s">
        <v>21</v>
      </c>
      <c r="D75" s="87" t="s">
        <v>1002</v>
      </c>
      <c r="E75" s="15" t="s">
        <v>571</v>
      </c>
      <c r="F75" s="90" t="s">
        <v>2373</v>
      </c>
      <c r="G75" s="86">
        <v>1</v>
      </c>
      <c r="H75" s="15">
        <v>20240809</v>
      </c>
    </row>
    <row r="76" ht="15" spans="1:8">
      <c r="A76" s="85">
        <v>1000.1349</v>
      </c>
      <c r="B76" s="35">
        <v>91</v>
      </c>
      <c r="C76" s="35" t="s">
        <v>268</v>
      </c>
      <c r="D76" s="87" t="s">
        <v>1903</v>
      </c>
      <c r="E76" s="15" t="s">
        <v>2239</v>
      </c>
      <c r="F76" s="91" t="s">
        <v>1112</v>
      </c>
      <c r="G76" s="15">
        <v>1</v>
      </c>
      <c r="H76" s="30">
        <v>20240810</v>
      </c>
    </row>
    <row r="77" ht="15" spans="1:8">
      <c r="A77" s="85">
        <v>1000.1254</v>
      </c>
      <c r="B77" s="86">
        <v>92</v>
      </c>
      <c r="C77" s="86" t="s">
        <v>253</v>
      </c>
      <c r="D77" s="86" t="s">
        <v>126</v>
      </c>
      <c r="E77" s="86" t="s">
        <v>254</v>
      </c>
      <c r="F77" s="90" t="s">
        <v>2374</v>
      </c>
      <c r="G77" s="86">
        <v>1</v>
      </c>
      <c r="H77" s="12">
        <v>20240809</v>
      </c>
    </row>
    <row r="78" ht="40.5" spans="1:8">
      <c r="A78" s="85">
        <v>1000.1269</v>
      </c>
      <c r="B78" s="86">
        <v>92</v>
      </c>
      <c r="C78" s="86" t="s">
        <v>21</v>
      </c>
      <c r="D78" s="87" t="s">
        <v>1002</v>
      </c>
      <c r="E78" s="15" t="s">
        <v>571</v>
      </c>
      <c r="F78" s="90" t="s">
        <v>2375</v>
      </c>
      <c r="G78" s="86">
        <v>1</v>
      </c>
      <c r="H78" s="15">
        <v>20240809</v>
      </c>
    </row>
    <row r="79" ht="15" spans="1:8">
      <c r="A79" s="85">
        <v>1000.1239</v>
      </c>
      <c r="B79" s="35">
        <v>92</v>
      </c>
      <c r="C79" s="35" t="s">
        <v>238</v>
      </c>
      <c r="D79" s="87" t="s">
        <v>235</v>
      </c>
      <c r="E79" s="87" t="s">
        <v>1030</v>
      </c>
      <c r="F79" s="89" t="s">
        <v>2320</v>
      </c>
      <c r="G79" s="87">
        <v>1</v>
      </c>
      <c r="H79" s="30">
        <v>20240810</v>
      </c>
    </row>
    <row r="80" ht="26.25" spans="1:8">
      <c r="A80" s="85">
        <v>1000.1188</v>
      </c>
      <c r="B80" s="35">
        <v>93</v>
      </c>
      <c r="C80" s="35" t="s">
        <v>238</v>
      </c>
      <c r="D80" s="87" t="s">
        <v>2376</v>
      </c>
      <c r="E80" s="87" t="s">
        <v>1030</v>
      </c>
      <c r="F80" s="89" t="s">
        <v>2377</v>
      </c>
      <c r="G80" s="87">
        <v>1</v>
      </c>
      <c r="H80" s="30">
        <v>20240810</v>
      </c>
    </row>
    <row r="81" ht="15.75" spans="1:8">
      <c r="A81" s="85">
        <v>1000.1168</v>
      </c>
      <c r="B81" s="35">
        <v>93</v>
      </c>
      <c r="C81" s="93" t="s">
        <v>247</v>
      </c>
      <c r="D81" s="87" t="s">
        <v>272</v>
      </c>
      <c r="E81" s="15" t="s">
        <v>136</v>
      </c>
      <c r="F81" s="90" t="s">
        <v>2378</v>
      </c>
      <c r="G81" s="15">
        <v>1</v>
      </c>
      <c r="H81" s="30">
        <v>20240810</v>
      </c>
    </row>
    <row r="82" ht="27" spans="1:8">
      <c r="A82" s="85">
        <v>1000.85</v>
      </c>
      <c r="B82" s="15" t="s">
        <v>94</v>
      </c>
      <c r="C82" s="86" t="s">
        <v>170</v>
      </c>
      <c r="D82" s="86" t="s">
        <v>170</v>
      </c>
      <c r="E82" s="86" t="s">
        <v>172</v>
      </c>
      <c r="F82" s="90" t="s">
        <v>222</v>
      </c>
      <c r="G82" s="86">
        <v>1</v>
      </c>
      <c r="H82" s="15">
        <v>20240810</v>
      </c>
    </row>
    <row r="83" ht="27" spans="1:8">
      <c r="A83" s="85">
        <v>1000.768</v>
      </c>
      <c r="B83" s="15" t="s">
        <v>99</v>
      </c>
      <c r="C83" s="86" t="s">
        <v>170</v>
      </c>
      <c r="D83" s="86" t="s">
        <v>170</v>
      </c>
      <c r="E83" s="86" t="s">
        <v>172</v>
      </c>
      <c r="F83" s="90" t="s">
        <v>222</v>
      </c>
      <c r="G83" s="86">
        <v>1</v>
      </c>
      <c r="H83" s="15">
        <v>20240810</v>
      </c>
    </row>
    <row r="84" ht="27" spans="1:8">
      <c r="A84" s="85">
        <v>1000.688</v>
      </c>
      <c r="B84" s="15" t="s">
        <v>100</v>
      </c>
      <c r="C84" s="86" t="s">
        <v>170</v>
      </c>
      <c r="D84" s="86" t="s">
        <v>170</v>
      </c>
      <c r="E84" s="86" t="s">
        <v>172</v>
      </c>
      <c r="F84" s="90" t="s">
        <v>222</v>
      </c>
      <c r="G84" s="86">
        <v>1</v>
      </c>
      <c r="H84" s="15">
        <v>20240810</v>
      </c>
    </row>
    <row r="85" ht="27" spans="1:8">
      <c r="A85" s="85">
        <v>1000.609</v>
      </c>
      <c r="B85" s="15" t="s">
        <v>101</v>
      </c>
      <c r="C85" s="86" t="s">
        <v>170</v>
      </c>
      <c r="D85" s="86" t="s">
        <v>170</v>
      </c>
      <c r="E85" s="86" t="s">
        <v>172</v>
      </c>
      <c r="F85" s="90" t="s">
        <v>222</v>
      </c>
      <c r="G85" s="86">
        <v>1</v>
      </c>
      <c r="H85" s="15">
        <v>20240810</v>
      </c>
    </row>
    <row r="86" ht="27" spans="1:8">
      <c r="A86" s="85">
        <v>1000.529</v>
      </c>
      <c r="B86" s="15" t="s">
        <v>102</v>
      </c>
      <c r="C86" s="86" t="s">
        <v>170</v>
      </c>
      <c r="D86" s="86" t="s">
        <v>170</v>
      </c>
      <c r="E86" s="86" t="s">
        <v>172</v>
      </c>
      <c r="F86" s="90" t="s">
        <v>222</v>
      </c>
      <c r="G86" s="86">
        <v>1</v>
      </c>
      <c r="H86" s="15">
        <v>20240810</v>
      </c>
    </row>
    <row r="87" ht="27" spans="1:8">
      <c r="A87" s="85">
        <v>1000.449</v>
      </c>
      <c r="B87" s="15" t="s">
        <v>103</v>
      </c>
      <c r="C87" s="86" t="s">
        <v>170</v>
      </c>
      <c r="D87" s="86" t="s">
        <v>170</v>
      </c>
      <c r="E87" s="86" t="s">
        <v>172</v>
      </c>
      <c r="F87" s="90" t="s">
        <v>222</v>
      </c>
      <c r="G87" s="86">
        <v>1</v>
      </c>
      <c r="H87" s="15">
        <v>20240810</v>
      </c>
    </row>
    <row r="88" ht="27" spans="1:8">
      <c r="A88" s="85">
        <v>1000.369</v>
      </c>
      <c r="B88" s="15" t="s">
        <v>223</v>
      </c>
      <c r="C88" s="86" t="s">
        <v>170</v>
      </c>
      <c r="D88" s="86" t="s">
        <v>170</v>
      </c>
      <c r="E88" s="86" t="s">
        <v>172</v>
      </c>
      <c r="F88" s="90" t="s">
        <v>222</v>
      </c>
      <c r="G88" s="86">
        <v>1</v>
      </c>
      <c r="H88" s="15">
        <v>20240810</v>
      </c>
    </row>
    <row r="89" ht="27" spans="1:8">
      <c r="A89" s="85">
        <v>1000.29</v>
      </c>
      <c r="B89" s="15" t="s">
        <v>449</v>
      </c>
      <c r="C89" s="86" t="s">
        <v>170</v>
      </c>
      <c r="D89" s="86" t="s">
        <v>170</v>
      </c>
      <c r="E89" s="86" t="s">
        <v>172</v>
      </c>
      <c r="F89" s="90" t="s">
        <v>222</v>
      </c>
      <c r="G89" s="86">
        <v>1</v>
      </c>
      <c r="H89" s="15">
        <v>20240810</v>
      </c>
    </row>
    <row r="90" ht="27" spans="1:8">
      <c r="A90" s="85">
        <v>1000.211</v>
      </c>
      <c r="B90" s="15" t="s">
        <v>2300</v>
      </c>
      <c r="C90" s="86" t="s">
        <v>170</v>
      </c>
      <c r="D90" s="86" t="s">
        <v>170</v>
      </c>
      <c r="E90" s="86" t="s">
        <v>172</v>
      </c>
      <c r="F90" s="90" t="s">
        <v>222</v>
      </c>
      <c r="G90" s="86">
        <v>1</v>
      </c>
      <c r="H90" s="15">
        <v>20240810</v>
      </c>
    </row>
    <row r="91" ht="15" spans="1:8">
      <c r="A91" s="85"/>
      <c r="B91" s="86" t="s">
        <v>989</v>
      </c>
      <c r="C91" s="86" t="s">
        <v>12</v>
      </c>
      <c r="D91" s="86" t="s">
        <v>12</v>
      </c>
      <c r="E91" s="86" t="s">
        <v>91</v>
      </c>
      <c r="F91" s="90" t="s">
        <v>2209</v>
      </c>
      <c r="G91" s="86">
        <v>0</v>
      </c>
      <c r="H91" s="15">
        <v>20240810</v>
      </c>
    </row>
  </sheetData>
  <autoFilter xmlns:etc="http://www.wps.cn/officeDocument/2017/etCustomData" ref="A1:H91" etc:filterBottomFollowUsedRange="0">
    <extLst/>
  </autoFilter>
  <sortState ref="A2:H91">
    <sortCondition ref="B2:B91"/>
  </sortState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80"/>
  <sheetViews>
    <sheetView topLeftCell="A51" workbookViewId="0">
      <selection activeCell="H16" sqref="H16:H23"/>
    </sheetView>
  </sheetViews>
  <sheetFormatPr defaultColWidth="9" defaultRowHeight="14.25" outlineLevelCol="7"/>
  <cols>
    <col min="2" max="2" width="9.125" style="4" customWidth="1"/>
    <col min="3" max="5" width="9" style="4"/>
    <col min="6" max="6" width="77" style="74" customWidth="1"/>
    <col min="7" max="7" width="9.125" customWidth="1"/>
    <col min="8" max="8" width="9.5" customWidth="1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ht="15" spans="1:8">
      <c r="A2" s="40">
        <v>1002.44</v>
      </c>
      <c r="B2" s="41">
        <v>0</v>
      </c>
      <c r="C2" s="42" t="s">
        <v>106</v>
      </c>
      <c r="D2" s="42" t="s">
        <v>107</v>
      </c>
      <c r="E2" s="49" t="s">
        <v>2379</v>
      </c>
      <c r="F2" s="50" t="s">
        <v>2380</v>
      </c>
      <c r="G2" s="47">
        <v>1</v>
      </c>
      <c r="H2" s="15">
        <v>20250731</v>
      </c>
    </row>
    <row r="3" ht="15" spans="1:8">
      <c r="A3" s="40">
        <v>1002.09</v>
      </c>
      <c r="B3" s="41">
        <v>0</v>
      </c>
      <c r="C3" s="42" t="s">
        <v>765</v>
      </c>
      <c r="D3" s="42" t="s">
        <v>1072</v>
      </c>
      <c r="E3" s="42" t="s">
        <v>767</v>
      </c>
      <c r="F3" s="43" t="s">
        <v>2381</v>
      </c>
      <c r="G3" s="41">
        <v>1</v>
      </c>
      <c r="H3" s="15">
        <v>20250731</v>
      </c>
    </row>
    <row r="4" ht="15" customHeight="1" spans="1:8">
      <c r="A4" s="40">
        <v>1002.092</v>
      </c>
      <c r="B4" s="41">
        <v>1</v>
      </c>
      <c r="C4" s="42" t="s">
        <v>8</v>
      </c>
      <c r="D4" s="42" t="s">
        <v>40</v>
      </c>
      <c r="E4" s="49" t="s">
        <v>232</v>
      </c>
      <c r="F4" s="50" t="s">
        <v>2382</v>
      </c>
      <c r="G4" s="47">
        <v>1</v>
      </c>
      <c r="H4" s="15">
        <v>20250731</v>
      </c>
    </row>
    <row r="5" ht="40.5" spans="1:8">
      <c r="A5" s="40">
        <v>1002.09</v>
      </c>
      <c r="B5" s="41">
        <v>1</v>
      </c>
      <c r="C5" s="45" t="s">
        <v>878</v>
      </c>
      <c r="D5" s="42" t="s">
        <v>2080</v>
      </c>
      <c r="E5" s="49" t="s">
        <v>2081</v>
      </c>
      <c r="F5" s="75" t="s">
        <v>2383</v>
      </c>
      <c r="G5" s="47">
        <v>1</v>
      </c>
      <c r="H5" s="15">
        <v>20250731</v>
      </c>
    </row>
    <row r="6" ht="15.75" spans="1:8">
      <c r="A6" s="40">
        <v>1002.09</v>
      </c>
      <c r="B6" s="44">
        <v>1</v>
      </c>
      <c r="C6" s="45" t="s">
        <v>219</v>
      </c>
      <c r="D6" s="45" t="s">
        <v>219</v>
      </c>
      <c r="E6" s="45" t="s">
        <v>871</v>
      </c>
      <c r="F6" s="62" t="s">
        <v>2384</v>
      </c>
      <c r="G6" s="44">
        <v>2</v>
      </c>
      <c r="H6" s="15">
        <v>20250731</v>
      </c>
    </row>
    <row r="7" ht="15" spans="1:8">
      <c r="A7" s="40">
        <v>1002.093</v>
      </c>
      <c r="B7" s="51">
        <v>1</v>
      </c>
      <c r="C7" s="76" t="s">
        <v>8</v>
      </c>
      <c r="D7" s="52" t="s">
        <v>26</v>
      </c>
      <c r="E7" s="52" t="s">
        <v>232</v>
      </c>
      <c r="F7" s="77" t="s">
        <v>2385</v>
      </c>
      <c r="G7" s="78">
        <v>1</v>
      </c>
      <c r="H7" s="15">
        <v>20250731</v>
      </c>
    </row>
    <row r="8" ht="15" spans="1:8">
      <c r="A8" s="40">
        <v>1002.1006</v>
      </c>
      <c r="B8" s="41">
        <v>2</v>
      </c>
      <c r="C8" s="42" t="s">
        <v>8</v>
      </c>
      <c r="D8" s="49" t="s">
        <v>49</v>
      </c>
      <c r="E8" s="49" t="s">
        <v>41</v>
      </c>
      <c r="F8" s="50" t="s">
        <v>2386</v>
      </c>
      <c r="G8" s="47">
        <v>0</v>
      </c>
      <c r="H8" s="15">
        <v>20250731</v>
      </c>
    </row>
    <row r="9" ht="15" spans="1:8">
      <c r="A9" s="40">
        <v>1002.0986</v>
      </c>
      <c r="B9" s="41">
        <v>2</v>
      </c>
      <c r="C9" s="42" t="s">
        <v>8</v>
      </c>
      <c r="D9" s="49" t="s">
        <v>49</v>
      </c>
      <c r="E9" s="49" t="s">
        <v>41</v>
      </c>
      <c r="F9" s="50" t="s">
        <v>2387</v>
      </c>
      <c r="G9" s="47">
        <v>1</v>
      </c>
      <c r="H9" s="15">
        <v>20250731</v>
      </c>
    </row>
    <row r="10" ht="15" spans="1:8">
      <c r="A10" s="40">
        <v>1002.1114</v>
      </c>
      <c r="B10" s="51">
        <v>3</v>
      </c>
      <c r="C10" s="76" t="s">
        <v>8</v>
      </c>
      <c r="D10" s="52" t="s">
        <v>26</v>
      </c>
      <c r="E10" s="52" t="s">
        <v>15</v>
      </c>
      <c r="F10" s="77" t="s">
        <v>2388</v>
      </c>
      <c r="G10" s="78">
        <v>1</v>
      </c>
      <c r="H10" s="15">
        <v>20250731</v>
      </c>
    </row>
    <row r="11" ht="15.75" spans="1:8">
      <c r="A11" s="40">
        <v>1002.1207</v>
      </c>
      <c r="B11" s="44">
        <v>4</v>
      </c>
      <c r="C11" s="45" t="s">
        <v>219</v>
      </c>
      <c r="D11" s="45" t="s">
        <v>219</v>
      </c>
      <c r="E11" s="45" t="s">
        <v>1468</v>
      </c>
      <c r="F11" s="46" t="s">
        <v>2389</v>
      </c>
      <c r="G11" s="44">
        <v>1</v>
      </c>
      <c r="H11" s="15">
        <v>20250731</v>
      </c>
    </row>
    <row r="12" ht="15" spans="1:8">
      <c r="A12" s="40">
        <v>1002.1182</v>
      </c>
      <c r="B12" s="44">
        <v>4</v>
      </c>
      <c r="C12" s="45" t="s">
        <v>219</v>
      </c>
      <c r="D12" s="45" t="s">
        <v>219</v>
      </c>
      <c r="E12" s="45" t="s">
        <v>314</v>
      </c>
      <c r="F12" s="46" t="s">
        <v>2390</v>
      </c>
      <c r="G12" s="44">
        <v>1</v>
      </c>
      <c r="H12" s="15">
        <v>20250731</v>
      </c>
    </row>
    <row r="13" ht="15" spans="1:8">
      <c r="A13" s="40">
        <v>1002.1305</v>
      </c>
      <c r="B13" s="41">
        <v>5</v>
      </c>
      <c r="C13" s="42" t="s">
        <v>8</v>
      </c>
      <c r="D13" s="49" t="s">
        <v>40</v>
      </c>
      <c r="E13" s="49" t="s">
        <v>15</v>
      </c>
      <c r="F13" s="50" t="s">
        <v>2391</v>
      </c>
      <c r="G13" s="47">
        <v>1</v>
      </c>
      <c r="H13" s="15">
        <v>20250731</v>
      </c>
    </row>
    <row r="14" ht="15" spans="1:8">
      <c r="A14" s="40">
        <v>1002.133</v>
      </c>
      <c r="B14" s="44">
        <v>5</v>
      </c>
      <c r="C14" s="45" t="s">
        <v>17</v>
      </c>
      <c r="D14" s="45" t="s">
        <v>18</v>
      </c>
      <c r="E14" s="45" t="s">
        <v>19</v>
      </c>
      <c r="F14" s="46" t="s">
        <v>2392</v>
      </c>
      <c r="G14" s="44">
        <v>1</v>
      </c>
      <c r="H14" s="15">
        <v>20250731</v>
      </c>
    </row>
    <row r="15" ht="15" spans="1:8">
      <c r="A15" s="40">
        <v>1002.134</v>
      </c>
      <c r="B15" s="44">
        <v>5</v>
      </c>
      <c r="C15" s="45" t="s">
        <v>88</v>
      </c>
      <c r="D15" s="45" t="s">
        <v>18</v>
      </c>
      <c r="E15" s="45" t="s">
        <v>787</v>
      </c>
      <c r="F15" s="46" t="s">
        <v>2393</v>
      </c>
      <c r="G15" s="44">
        <v>1</v>
      </c>
      <c r="H15" s="15">
        <v>20250731</v>
      </c>
    </row>
    <row r="16" ht="15" spans="1:8">
      <c r="A16" s="40">
        <v>1002.1478</v>
      </c>
      <c r="B16" s="41">
        <v>6</v>
      </c>
      <c r="C16" s="42" t="s">
        <v>8</v>
      </c>
      <c r="D16" s="49" t="s">
        <v>49</v>
      </c>
      <c r="E16" s="49" t="s">
        <v>15</v>
      </c>
      <c r="F16" s="50" t="s">
        <v>2394</v>
      </c>
      <c r="G16" s="47">
        <v>1</v>
      </c>
      <c r="H16" s="15">
        <v>20250731</v>
      </c>
    </row>
    <row r="17" ht="15" spans="1:8">
      <c r="A17" s="40">
        <v>1002.1378</v>
      </c>
      <c r="B17" s="78">
        <v>6</v>
      </c>
      <c r="C17" s="79" t="s">
        <v>25</v>
      </c>
      <c r="D17" s="52" t="s">
        <v>9</v>
      </c>
      <c r="E17" s="52" t="s">
        <v>470</v>
      </c>
      <c r="F17" s="77" t="s">
        <v>2395</v>
      </c>
      <c r="G17" s="78">
        <v>1</v>
      </c>
      <c r="H17" s="15">
        <v>20250731</v>
      </c>
    </row>
    <row r="18" ht="15" spans="1:8">
      <c r="A18" s="40">
        <v>1002.1428</v>
      </c>
      <c r="B18" s="51">
        <v>6</v>
      </c>
      <c r="C18" s="76" t="s">
        <v>17</v>
      </c>
      <c r="D18" s="52" t="s">
        <v>177</v>
      </c>
      <c r="E18" s="80" t="s">
        <v>19</v>
      </c>
      <c r="F18" s="81" t="s">
        <v>2396</v>
      </c>
      <c r="G18" s="80">
        <v>1</v>
      </c>
      <c r="H18" s="15">
        <v>20250731</v>
      </c>
    </row>
    <row r="19" ht="15" spans="1:8">
      <c r="A19" s="40">
        <v>1002.1476</v>
      </c>
      <c r="B19" s="78">
        <v>7</v>
      </c>
      <c r="C19" s="79" t="s">
        <v>25</v>
      </c>
      <c r="D19" s="52" t="s">
        <v>49</v>
      </c>
      <c r="E19" s="52" t="s">
        <v>470</v>
      </c>
      <c r="F19" s="77" t="s">
        <v>2397</v>
      </c>
      <c r="G19" s="78">
        <v>1</v>
      </c>
      <c r="H19" s="15">
        <v>20250731</v>
      </c>
    </row>
    <row r="20" ht="15" spans="1:8">
      <c r="A20" s="40">
        <v>1002.1574</v>
      </c>
      <c r="B20" s="44">
        <v>8</v>
      </c>
      <c r="C20" s="45" t="s">
        <v>88</v>
      </c>
      <c r="D20" s="45" t="s">
        <v>18</v>
      </c>
      <c r="E20" s="45" t="s">
        <v>314</v>
      </c>
      <c r="F20" s="62" t="s">
        <v>2398</v>
      </c>
      <c r="G20" s="44">
        <v>1</v>
      </c>
      <c r="H20" s="15">
        <v>20250731</v>
      </c>
    </row>
    <row r="21" ht="15" spans="1:8">
      <c r="A21" s="40">
        <v>1002.1574</v>
      </c>
      <c r="B21" s="44">
        <v>8</v>
      </c>
      <c r="C21" s="45" t="s">
        <v>88</v>
      </c>
      <c r="D21" s="45" t="s">
        <v>18</v>
      </c>
      <c r="E21" s="45" t="s">
        <v>256</v>
      </c>
      <c r="F21" s="62" t="s">
        <v>2399</v>
      </c>
      <c r="G21" s="44">
        <v>1</v>
      </c>
      <c r="H21" s="15">
        <v>20250731</v>
      </c>
    </row>
    <row r="22" ht="15" spans="1:8">
      <c r="A22" s="40">
        <v>1002.1574</v>
      </c>
      <c r="B22" s="78">
        <v>8</v>
      </c>
      <c r="C22" s="79" t="s">
        <v>25</v>
      </c>
      <c r="D22" s="52" t="s">
        <v>49</v>
      </c>
      <c r="E22" s="52" t="s">
        <v>470</v>
      </c>
      <c r="F22" s="77" t="s">
        <v>2400</v>
      </c>
      <c r="G22" s="78">
        <v>1</v>
      </c>
      <c r="H22" s="15">
        <v>20250731</v>
      </c>
    </row>
    <row r="23" ht="15" spans="1:8">
      <c r="A23" s="40">
        <v>1002.1672</v>
      </c>
      <c r="B23" s="44">
        <v>9</v>
      </c>
      <c r="C23" s="45" t="s">
        <v>17</v>
      </c>
      <c r="D23" s="45" t="s">
        <v>18</v>
      </c>
      <c r="E23" s="45" t="s">
        <v>19</v>
      </c>
      <c r="F23" s="46" t="s">
        <v>2401</v>
      </c>
      <c r="G23" s="44">
        <v>1</v>
      </c>
      <c r="H23" s="15">
        <v>20250731</v>
      </c>
    </row>
    <row r="24" ht="25.5" spans="1:8">
      <c r="A24" s="40">
        <v>1002.1672</v>
      </c>
      <c r="B24" s="51">
        <v>9</v>
      </c>
      <c r="C24" s="76" t="s">
        <v>25</v>
      </c>
      <c r="D24" s="52" t="s">
        <v>2071</v>
      </c>
      <c r="E24" s="52" t="s">
        <v>470</v>
      </c>
      <c r="F24" s="77" t="s">
        <v>2402</v>
      </c>
      <c r="G24" s="78">
        <v>1</v>
      </c>
      <c r="H24" s="15">
        <v>20250731</v>
      </c>
    </row>
    <row r="25" ht="15.75" spans="1:8">
      <c r="A25" s="40">
        <v>1002.1682</v>
      </c>
      <c r="B25" s="55">
        <v>9</v>
      </c>
      <c r="C25" s="59" t="s">
        <v>8</v>
      </c>
      <c r="D25" s="57" t="s">
        <v>9</v>
      </c>
      <c r="E25" s="57" t="s">
        <v>804</v>
      </c>
      <c r="F25" s="58" t="s">
        <v>2403</v>
      </c>
      <c r="G25" s="41">
        <v>1</v>
      </c>
      <c r="H25" s="15">
        <v>20250731</v>
      </c>
    </row>
    <row r="26" ht="15" spans="1:8">
      <c r="A26" s="40">
        <v>1002.178</v>
      </c>
      <c r="B26" s="41">
        <v>10</v>
      </c>
      <c r="C26" s="42" t="s">
        <v>8</v>
      </c>
      <c r="D26" s="49" t="s">
        <v>9</v>
      </c>
      <c r="E26" s="49" t="s">
        <v>10</v>
      </c>
      <c r="F26" s="50" t="s">
        <v>2404</v>
      </c>
      <c r="G26" s="47">
        <v>1</v>
      </c>
      <c r="H26" s="15">
        <v>20250731</v>
      </c>
    </row>
    <row r="27" ht="15" spans="1:8">
      <c r="A27" s="40">
        <v>1002.1868</v>
      </c>
      <c r="B27" s="41">
        <v>10</v>
      </c>
      <c r="C27" s="42" t="s">
        <v>8</v>
      </c>
      <c r="D27" s="49" t="s">
        <v>9</v>
      </c>
      <c r="E27" s="49" t="s">
        <v>15</v>
      </c>
      <c r="F27" s="50" t="s">
        <v>2405</v>
      </c>
      <c r="G27" s="47">
        <v>1</v>
      </c>
      <c r="H27" s="15">
        <v>20250731</v>
      </c>
    </row>
    <row r="28" ht="15" spans="1:8">
      <c r="A28" s="40">
        <v>1002.177</v>
      </c>
      <c r="B28" s="51">
        <v>10</v>
      </c>
      <c r="C28" s="76" t="s">
        <v>25</v>
      </c>
      <c r="D28" s="52" t="s">
        <v>1474</v>
      </c>
      <c r="E28" s="52" t="s">
        <v>470</v>
      </c>
      <c r="F28" s="77" t="s">
        <v>2406</v>
      </c>
      <c r="G28" s="78">
        <v>1</v>
      </c>
      <c r="H28" s="15">
        <v>20250731</v>
      </c>
    </row>
    <row r="29" ht="15" spans="1:8">
      <c r="A29" s="40">
        <v>1002.1888</v>
      </c>
      <c r="B29" s="41">
        <v>11</v>
      </c>
      <c r="C29" s="42" t="s">
        <v>8</v>
      </c>
      <c r="D29" s="49" t="s">
        <v>43</v>
      </c>
      <c r="E29" s="49" t="s">
        <v>33</v>
      </c>
      <c r="F29" s="50" t="s">
        <v>2407</v>
      </c>
      <c r="G29" s="47">
        <v>0</v>
      </c>
      <c r="H29" s="15">
        <v>20250731</v>
      </c>
    </row>
    <row r="30" ht="15" spans="1:8">
      <c r="A30" s="40">
        <v>1002.1918</v>
      </c>
      <c r="B30" s="80">
        <v>11</v>
      </c>
      <c r="C30" s="76" t="s">
        <v>17</v>
      </c>
      <c r="D30" s="52" t="s">
        <v>177</v>
      </c>
      <c r="E30" s="80" t="s">
        <v>19</v>
      </c>
      <c r="F30" s="81" t="s">
        <v>2408</v>
      </c>
      <c r="G30" s="80">
        <v>1</v>
      </c>
      <c r="H30" s="15">
        <v>20250731</v>
      </c>
    </row>
    <row r="31" ht="15" spans="1:8">
      <c r="A31" s="40">
        <v>1002.1868</v>
      </c>
      <c r="B31" s="55">
        <v>11</v>
      </c>
      <c r="C31" s="59" t="s">
        <v>25</v>
      </c>
      <c r="D31" s="57" t="s">
        <v>9</v>
      </c>
      <c r="E31" s="57" t="s">
        <v>470</v>
      </c>
      <c r="F31" s="58" t="s">
        <v>2409</v>
      </c>
      <c r="G31" s="41">
        <v>1</v>
      </c>
      <c r="H31" s="15">
        <v>20250731</v>
      </c>
    </row>
    <row r="32" ht="15" spans="1:8">
      <c r="A32" s="40">
        <v>1002.1968</v>
      </c>
      <c r="B32" s="41">
        <v>12</v>
      </c>
      <c r="C32" s="42" t="s">
        <v>8</v>
      </c>
      <c r="D32" s="49" t="s">
        <v>49</v>
      </c>
      <c r="E32" s="49" t="s">
        <v>15</v>
      </c>
      <c r="F32" s="50" t="s">
        <v>2410</v>
      </c>
      <c r="G32" s="47">
        <v>1</v>
      </c>
      <c r="H32" s="15">
        <v>20250731</v>
      </c>
    </row>
    <row r="33" ht="15" spans="1:8">
      <c r="A33" s="40">
        <v>1002.1966</v>
      </c>
      <c r="B33" s="78">
        <v>12</v>
      </c>
      <c r="C33" s="79" t="s">
        <v>25</v>
      </c>
      <c r="D33" s="52" t="s">
        <v>49</v>
      </c>
      <c r="E33" s="52" t="s">
        <v>470</v>
      </c>
      <c r="F33" s="77" t="s">
        <v>2411</v>
      </c>
      <c r="G33" s="78">
        <v>1</v>
      </c>
      <c r="H33" s="15">
        <v>20250731</v>
      </c>
    </row>
    <row r="34" ht="15" spans="1:8">
      <c r="A34" s="40">
        <v>1002.2064</v>
      </c>
      <c r="B34" s="41">
        <v>13</v>
      </c>
      <c r="C34" s="42" t="s">
        <v>8</v>
      </c>
      <c r="D34" s="49" t="s">
        <v>43</v>
      </c>
      <c r="E34" s="49" t="s">
        <v>33</v>
      </c>
      <c r="F34" s="50" t="s">
        <v>2412</v>
      </c>
      <c r="G34" s="47">
        <v>0</v>
      </c>
      <c r="H34" s="15">
        <v>20250731</v>
      </c>
    </row>
    <row r="35" ht="15" spans="1:8">
      <c r="A35" s="40">
        <v>1002.2065</v>
      </c>
      <c r="B35" s="41">
        <v>13</v>
      </c>
      <c r="C35" s="42" t="s">
        <v>8</v>
      </c>
      <c r="D35" s="49" t="s">
        <v>49</v>
      </c>
      <c r="E35" s="49" t="s">
        <v>15</v>
      </c>
      <c r="F35" s="50" t="s">
        <v>2413</v>
      </c>
      <c r="G35" s="47">
        <v>1</v>
      </c>
      <c r="H35" s="15">
        <v>20250731</v>
      </c>
    </row>
    <row r="36" ht="15" spans="1:8">
      <c r="A36" s="40">
        <v>1002.2064</v>
      </c>
      <c r="B36" s="78">
        <v>13</v>
      </c>
      <c r="C36" s="79" t="s">
        <v>25</v>
      </c>
      <c r="D36" s="52" t="s">
        <v>49</v>
      </c>
      <c r="E36" s="52" t="s">
        <v>470</v>
      </c>
      <c r="F36" s="77" t="s">
        <v>2414</v>
      </c>
      <c r="G36" s="78">
        <v>1</v>
      </c>
      <c r="H36" s="15">
        <v>20250731</v>
      </c>
    </row>
    <row r="37" ht="15" spans="1:8">
      <c r="A37" s="40">
        <v>1002.2162</v>
      </c>
      <c r="B37" s="41">
        <v>14</v>
      </c>
      <c r="C37" s="42" t="s">
        <v>8</v>
      </c>
      <c r="D37" s="49" t="s">
        <v>9</v>
      </c>
      <c r="E37" s="49" t="s">
        <v>33</v>
      </c>
      <c r="F37" s="50" t="s">
        <v>2415</v>
      </c>
      <c r="G37" s="47">
        <v>0</v>
      </c>
      <c r="H37" s="15">
        <v>20250731</v>
      </c>
    </row>
    <row r="38" ht="15" spans="1:8">
      <c r="A38" s="40">
        <v>1002.2252</v>
      </c>
      <c r="B38" s="51">
        <v>14</v>
      </c>
      <c r="C38" s="76" t="s">
        <v>17</v>
      </c>
      <c r="D38" s="52" t="s">
        <v>177</v>
      </c>
      <c r="E38" s="76" t="s">
        <v>154</v>
      </c>
      <c r="F38" s="82" t="s">
        <v>2416</v>
      </c>
      <c r="G38" s="80">
        <v>1</v>
      </c>
      <c r="H38" s="15">
        <v>20250731</v>
      </c>
    </row>
    <row r="39" ht="15" spans="1:8">
      <c r="A39" s="40">
        <v>1002.2358</v>
      </c>
      <c r="B39" s="41">
        <v>16</v>
      </c>
      <c r="C39" s="42" t="s">
        <v>8</v>
      </c>
      <c r="D39" s="49" t="s">
        <v>9</v>
      </c>
      <c r="E39" s="49" t="s">
        <v>33</v>
      </c>
      <c r="F39" s="50" t="s">
        <v>2417</v>
      </c>
      <c r="G39" s="47">
        <v>0</v>
      </c>
      <c r="H39" s="15">
        <v>20250731</v>
      </c>
    </row>
    <row r="40" ht="15" spans="1:8">
      <c r="A40" s="40">
        <v>1002.2456</v>
      </c>
      <c r="B40" s="78">
        <v>17</v>
      </c>
      <c r="C40" s="79" t="s">
        <v>25</v>
      </c>
      <c r="D40" s="52" t="s">
        <v>49</v>
      </c>
      <c r="E40" s="52" t="s">
        <v>470</v>
      </c>
      <c r="F40" s="77" t="s">
        <v>2414</v>
      </c>
      <c r="G40" s="78">
        <v>1</v>
      </c>
      <c r="H40" s="15">
        <v>20250731</v>
      </c>
    </row>
    <row r="41" ht="15" spans="1:8">
      <c r="A41" s="40">
        <v>1002.2476</v>
      </c>
      <c r="B41" s="80">
        <v>17</v>
      </c>
      <c r="C41" s="76" t="s">
        <v>17</v>
      </c>
      <c r="D41" s="52" t="s">
        <v>177</v>
      </c>
      <c r="E41" s="80" t="s">
        <v>19</v>
      </c>
      <c r="F41" s="81" t="s">
        <v>1110</v>
      </c>
      <c r="G41" s="80">
        <v>1</v>
      </c>
      <c r="H41" s="15">
        <v>20250731</v>
      </c>
    </row>
    <row r="42" ht="15" spans="1:8">
      <c r="A42" s="40">
        <v>1002.2564</v>
      </c>
      <c r="B42" s="44">
        <v>18</v>
      </c>
      <c r="C42" s="45" t="s">
        <v>88</v>
      </c>
      <c r="D42" s="45" t="s">
        <v>18</v>
      </c>
      <c r="E42" s="45" t="s">
        <v>314</v>
      </c>
      <c r="F42" s="46" t="s">
        <v>2418</v>
      </c>
      <c r="G42" s="44">
        <v>1</v>
      </c>
      <c r="H42" s="15">
        <v>20250731</v>
      </c>
    </row>
    <row r="43" ht="15" spans="1:8">
      <c r="A43" s="83">
        <v>1002.2653</v>
      </c>
      <c r="B43" s="41">
        <v>19</v>
      </c>
      <c r="C43" s="42" t="s">
        <v>8</v>
      </c>
      <c r="D43" s="49" t="s">
        <v>49</v>
      </c>
      <c r="E43" s="49" t="s">
        <v>33</v>
      </c>
      <c r="F43" s="50" t="s">
        <v>2419</v>
      </c>
      <c r="G43" s="47">
        <v>0</v>
      </c>
      <c r="H43" s="15">
        <v>20250731</v>
      </c>
    </row>
    <row r="44" ht="15" spans="1:8">
      <c r="A44" s="40">
        <v>1002.2801</v>
      </c>
      <c r="B44" s="44">
        <v>20</v>
      </c>
      <c r="C44" s="45" t="s">
        <v>17</v>
      </c>
      <c r="D44" s="45" t="s">
        <v>18</v>
      </c>
      <c r="E44" s="45" t="s">
        <v>19</v>
      </c>
      <c r="F44" s="46" t="s">
        <v>2392</v>
      </c>
      <c r="G44" s="44">
        <v>1</v>
      </c>
      <c r="H44" s="15">
        <v>20250731</v>
      </c>
    </row>
    <row r="45" ht="15" spans="1:8">
      <c r="A45" s="40">
        <v>1002.285</v>
      </c>
      <c r="B45" s="41">
        <v>21</v>
      </c>
      <c r="C45" s="42" t="s">
        <v>8</v>
      </c>
      <c r="D45" s="49" t="s">
        <v>49</v>
      </c>
      <c r="E45" s="49" t="s">
        <v>33</v>
      </c>
      <c r="F45" s="50" t="s">
        <v>2420</v>
      </c>
      <c r="G45" s="47">
        <v>0</v>
      </c>
      <c r="H45" s="15">
        <v>20250731</v>
      </c>
    </row>
    <row r="46" ht="15" spans="1:8">
      <c r="A46" s="40">
        <v>1002.29</v>
      </c>
      <c r="B46" s="51">
        <v>21</v>
      </c>
      <c r="C46" s="76" t="s">
        <v>8</v>
      </c>
      <c r="D46" s="52" t="s">
        <v>26</v>
      </c>
      <c r="E46" s="52" t="s">
        <v>15</v>
      </c>
      <c r="F46" s="77" t="s">
        <v>2421</v>
      </c>
      <c r="G46" s="78">
        <v>1</v>
      </c>
      <c r="H46" s="15">
        <v>20250731</v>
      </c>
    </row>
    <row r="47" ht="15" spans="1:8">
      <c r="A47" s="40">
        <v>1002.2949</v>
      </c>
      <c r="B47" s="41">
        <v>22</v>
      </c>
      <c r="C47" s="42" t="s">
        <v>8</v>
      </c>
      <c r="D47" s="49" t="s">
        <v>9</v>
      </c>
      <c r="E47" s="49" t="s">
        <v>33</v>
      </c>
      <c r="F47" s="50" t="s">
        <v>2422</v>
      </c>
      <c r="G47" s="47">
        <v>0</v>
      </c>
      <c r="H47" s="15">
        <v>20250731</v>
      </c>
    </row>
    <row r="48" ht="15" spans="1:8">
      <c r="A48" s="40">
        <v>1002.295</v>
      </c>
      <c r="B48" s="41">
        <v>22</v>
      </c>
      <c r="C48" s="42" t="s">
        <v>8</v>
      </c>
      <c r="D48" s="49" t="s">
        <v>43</v>
      </c>
      <c r="E48" s="49" t="s">
        <v>15</v>
      </c>
      <c r="F48" s="50" t="s">
        <v>2423</v>
      </c>
      <c r="G48" s="47">
        <v>1</v>
      </c>
      <c r="H48" s="15">
        <v>20250731</v>
      </c>
    </row>
    <row r="49" ht="15" spans="1:8">
      <c r="A49" s="40">
        <v>1002.3019</v>
      </c>
      <c r="B49" s="80">
        <v>22</v>
      </c>
      <c r="C49" s="76" t="s">
        <v>17</v>
      </c>
      <c r="D49" s="52" t="s">
        <v>177</v>
      </c>
      <c r="E49" s="80" t="s">
        <v>19</v>
      </c>
      <c r="F49" s="81" t="s">
        <v>2350</v>
      </c>
      <c r="G49" s="80">
        <v>1</v>
      </c>
      <c r="H49" s="15">
        <v>20250731</v>
      </c>
    </row>
    <row r="50" ht="15" spans="1:8">
      <c r="A50" s="40">
        <v>1002.3049</v>
      </c>
      <c r="B50" s="41">
        <v>23</v>
      </c>
      <c r="C50" s="42" t="s">
        <v>8</v>
      </c>
      <c r="D50" s="49" t="s">
        <v>49</v>
      </c>
      <c r="E50" s="49" t="s">
        <v>15</v>
      </c>
      <c r="F50" s="50" t="s">
        <v>2424</v>
      </c>
      <c r="G50" s="47">
        <v>1</v>
      </c>
      <c r="H50" s="15">
        <v>20250731</v>
      </c>
    </row>
    <row r="51" ht="15" spans="1:8">
      <c r="A51" s="40">
        <v>1002.3118</v>
      </c>
      <c r="B51" s="51">
        <v>23</v>
      </c>
      <c r="C51" s="76" t="s">
        <v>17</v>
      </c>
      <c r="D51" s="52" t="s">
        <v>177</v>
      </c>
      <c r="E51" s="76" t="s">
        <v>154</v>
      </c>
      <c r="F51" s="82" t="s">
        <v>2425</v>
      </c>
      <c r="G51" s="80">
        <v>1</v>
      </c>
      <c r="H51" s="15">
        <v>20250731</v>
      </c>
    </row>
    <row r="52" ht="15" spans="1:8">
      <c r="A52" s="40">
        <v>1002.3138</v>
      </c>
      <c r="B52" s="51">
        <v>23</v>
      </c>
      <c r="C52" s="76" t="s">
        <v>17</v>
      </c>
      <c r="D52" s="52" t="s">
        <v>177</v>
      </c>
      <c r="E52" s="76" t="s">
        <v>154</v>
      </c>
      <c r="F52" s="82" t="s">
        <v>2416</v>
      </c>
      <c r="G52" s="80">
        <v>1</v>
      </c>
      <c r="H52" s="15">
        <v>20250731</v>
      </c>
    </row>
    <row r="53" ht="15" spans="1:8">
      <c r="A53" s="40">
        <v>1002.3147</v>
      </c>
      <c r="B53" s="78">
        <v>24</v>
      </c>
      <c r="C53" s="79" t="s">
        <v>25</v>
      </c>
      <c r="D53" s="52" t="s">
        <v>49</v>
      </c>
      <c r="E53" s="52" t="s">
        <v>470</v>
      </c>
      <c r="F53" s="77" t="s">
        <v>2426</v>
      </c>
      <c r="G53" s="78">
        <v>1</v>
      </c>
      <c r="H53" s="15">
        <v>20250731</v>
      </c>
    </row>
    <row r="54" ht="15" spans="1:8">
      <c r="A54" s="40">
        <v>1002.3256</v>
      </c>
      <c r="B54" s="80">
        <v>25</v>
      </c>
      <c r="C54" s="76" t="s">
        <v>17</v>
      </c>
      <c r="D54" s="52" t="s">
        <v>177</v>
      </c>
      <c r="E54" s="80" t="s">
        <v>19</v>
      </c>
      <c r="F54" s="81" t="s">
        <v>1097</v>
      </c>
      <c r="G54" s="80">
        <v>1</v>
      </c>
      <c r="H54" s="15">
        <v>20250731</v>
      </c>
    </row>
    <row r="55" ht="15" spans="1:8">
      <c r="A55" s="40">
        <v>1002.3246</v>
      </c>
      <c r="B55" s="51">
        <v>25</v>
      </c>
      <c r="C55" s="76" t="s">
        <v>25</v>
      </c>
      <c r="D55" s="52" t="s">
        <v>49</v>
      </c>
      <c r="E55" s="52" t="s">
        <v>470</v>
      </c>
      <c r="F55" s="77" t="s">
        <v>2427</v>
      </c>
      <c r="G55" s="78">
        <v>1</v>
      </c>
      <c r="H55" s="15">
        <v>20250731</v>
      </c>
    </row>
    <row r="56" ht="15" spans="1:8">
      <c r="A56" s="40">
        <v>1002.3246</v>
      </c>
      <c r="B56" s="80">
        <v>25</v>
      </c>
      <c r="C56" s="76" t="s">
        <v>25</v>
      </c>
      <c r="D56" s="52" t="s">
        <v>26</v>
      </c>
      <c r="E56" s="52" t="s">
        <v>27</v>
      </c>
      <c r="F56" s="77" t="s">
        <v>2428</v>
      </c>
      <c r="G56" s="78">
        <v>1</v>
      </c>
      <c r="H56" s="15">
        <v>20250731</v>
      </c>
    </row>
    <row r="57" ht="15" spans="1:8">
      <c r="A57" s="40">
        <v>1002.3344</v>
      </c>
      <c r="B57" s="41">
        <v>26</v>
      </c>
      <c r="C57" s="42" t="s">
        <v>8</v>
      </c>
      <c r="D57" s="49" t="s">
        <v>9</v>
      </c>
      <c r="E57" s="49" t="s">
        <v>33</v>
      </c>
      <c r="F57" s="50" t="s">
        <v>2429</v>
      </c>
      <c r="G57" s="47">
        <v>0</v>
      </c>
      <c r="H57" s="15">
        <v>20250731</v>
      </c>
    </row>
    <row r="58" ht="15" spans="1:8">
      <c r="A58" s="40">
        <v>1002.3359</v>
      </c>
      <c r="B58" s="78">
        <v>26</v>
      </c>
      <c r="C58" s="79" t="s">
        <v>25</v>
      </c>
      <c r="D58" s="52" t="s">
        <v>40</v>
      </c>
      <c r="E58" s="52" t="s">
        <v>1540</v>
      </c>
      <c r="F58" s="77" t="s">
        <v>2430</v>
      </c>
      <c r="G58" s="78">
        <v>1</v>
      </c>
      <c r="H58" s="15">
        <v>20250731</v>
      </c>
    </row>
    <row r="59" ht="15" spans="1:8">
      <c r="A59" s="40">
        <v>1002.3443</v>
      </c>
      <c r="B59" s="41">
        <v>27</v>
      </c>
      <c r="C59" s="42" t="s">
        <v>8</v>
      </c>
      <c r="D59" s="49" t="s">
        <v>9</v>
      </c>
      <c r="E59" s="49" t="s">
        <v>33</v>
      </c>
      <c r="F59" s="50" t="s">
        <v>2431</v>
      </c>
      <c r="G59" s="47">
        <v>0</v>
      </c>
      <c r="H59" s="15">
        <v>20250731</v>
      </c>
    </row>
    <row r="60" ht="15" spans="1:8">
      <c r="A60" s="40">
        <v>1002.3445</v>
      </c>
      <c r="B60" s="41">
        <v>27</v>
      </c>
      <c r="C60" s="42" t="s">
        <v>8</v>
      </c>
      <c r="D60" s="49" t="s">
        <v>49</v>
      </c>
      <c r="E60" s="49" t="s">
        <v>15</v>
      </c>
      <c r="F60" s="50" t="s">
        <v>2432</v>
      </c>
      <c r="G60" s="47">
        <v>1</v>
      </c>
      <c r="H60" s="15">
        <v>20250731</v>
      </c>
    </row>
    <row r="61" ht="15" spans="1:8">
      <c r="A61" s="40">
        <v>1002.3443</v>
      </c>
      <c r="B61" s="78">
        <v>27</v>
      </c>
      <c r="C61" s="79" t="s">
        <v>25</v>
      </c>
      <c r="D61" s="52" t="s">
        <v>26</v>
      </c>
      <c r="E61" s="52" t="s">
        <v>470</v>
      </c>
      <c r="F61" s="77" t="s">
        <v>2433</v>
      </c>
      <c r="G61" s="78">
        <v>1</v>
      </c>
      <c r="H61" s="15">
        <v>20250731</v>
      </c>
    </row>
    <row r="62" ht="15" spans="1:8">
      <c r="A62" s="40">
        <v>1002.3503</v>
      </c>
      <c r="B62" s="80">
        <v>27</v>
      </c>
      <c r="C62" s="76" t="s">
        <v>17</v>
      </c>
      <c r="D62" s="52" t="s">
        <v>177</v>
      </c>
      <c r="E62" s="80" t="s">
        <v>19</v>
      </c>
      <c r="F62" s="81" t="s">
        <v>2434</v>
      </c>
      <c r="G62" s="80">
        <v>1</v>
      </c>
      <c r="H62" s="15">
        <v>20250731</v>
      </c>
    </row>
    <row r="63" ht="15" spans="1:8">
      <c r="A63" s="40">
        <v>1002.3523</v>
      </c>
      <c r="B63" s="80">
        <v>27</v>
      </c>
      <c r="C63" s="76" t="s">
        <v>17</v>
      </c>
      <c r="D63" s="52" t="s">
        <v>177</v>
      </c>
      <c r="E63" s="80" t="s">
        <v>19</v>
      </c>
      <c r="F63" s="81" t="s">
        <v>2435</v>
      </c>
      <c r="G63" s="80">
        <v>1</v>
      </c>
      <c r="H63" s="15">
        <v>20250731</v>
      </c>
    </row>
    <row r="64" ht="15" spans="1:8">
      <c r="A64" s="40">
        <v>1002.3541</v>
      </c>
      <c r="B64" s="41">
        <v>28</v>
      </c>
      <c r="C64" s="42" t="s">
        <v>8</v>
      </c>
      <c r="D64" s="49" t="s">
        <v>9</v>
      </c>
      <c r="E64" s="49" t="s">
        <v>33</v>
      </c>
      <c r="F64" s="50" t="s">
        <v>2436</v>
      </c>
      <c r="G64" s="47">
        <v>0</v>
      </c>
      <c r="H64" s="15">
        <v>20250731</v>
      </c>
    </row>
    <row r="65" ht="15" spans="1:8">
      <c r="A65" s="40">
        <v>1002.364</v>
      </c>
      <c r="B65" s="78">
        <v>29</v>
      </c>
      <c r="C65" s="79" t="s">
        <v>25</v>
      </c>
      <c r="D65" s="52" t="s">
        <v>49</v>
      </c>
      <c r="E65" s="52" t="s">
        <v>470</v>
      </c>
      <c r="F65" s="77" t="s">
        <v>2437</v>
      </c>
      <c r="G65" s="78">
        <v>1</v>
      </c>
      <c r="H65" s="15">
        <v>20250731</v>
      </c>
    </row>
    <row r="66" ht="15" spans="1:8">
      <c r="A66" s="40">
        <v>1002.3788</v>
      </c>
      <c r="B66" s="41">
        <v>30</v>
      </c>
      <c r="C66" s="42" t="s">
        <v>8</v>
      </c>
      <c r="D66" s="49" t="s">
        <v>40</v>
      </c>
      <c r="E66" s="49" t="s">
        <v>15</v>
      </c>
      <c r="F66" s="50" t="s">
        <v>2438</v>
      </c>
      <c r="G66" s="47">
        <v>1</v>
      </c>
      <c r="H66" s="15">
        <v>20250731</v>
      </c>
    </row>
    <row r="67" ht="15" spans="1:8">
      <c r="A67" s="40">
        <v>1002.3793</v>
      </c>
      <c r="B67" s="41">
        <v>30</v>
      </c>
      <c r="C67" s="42" t="s">
        <v>8</v>
      </c>
      <c r="D67" s="49" t="s">
        <v>26</v>
      </c>
      <c r="E67" s="49" t="s">
        <v>15</v>
      </c>
      <c r="F67" s="50" t="s">
        <v>2439</v>
      </c>
      <c r="G67" s="47">
        <v>1</v>
      </c>
      <c r="H67" s="15">
        <v>20250731</v>
      </c>
    </row>
    <row r="68" ht="15" spans="1:8">
      <c r="A68" s="40">
        <v>1002.4024</v>
      </c>
      <c r="B68" s="80">
        <v>32</v>
      </c>
      <c r="C68" s="76" t="s">
        <v>17</v>
      </c>
      <c r="D68" s="52" t="s">
        <v>177</v>
      </c>
      <c r="E68" s="80" t="s">
        <v>19</v>
      </c>
      <c r="F68" s="82" t="s">
        <v>2440</v>
      </c>
      <c r="G68" s="80">
        <v>1</v>
      </c>
      <c r="H68" s="15">
        <v>20250731</v>
      </c>
    </row>
    <row r="69" ht="15" spans="1:8">
      <c r="A69" s="40">
        <v>1002.4032</v>
      </c>
      <c r="B69" s="44">
        <v>33</v>
      </c>
      <c r="C69" s="45" t="s">
        <v>219</v>
      </c>
      <c r="D69" s="45" t="s">
        <v>219</v>
      </c>
      <c r="E69" s="45" t="s">
        <v>314</v>
      </c>
      <c r="F69" s="62" t="s">
        <v>2441</v>
      </c>
      <c r="G69" s="44">
        <v>1</v>
      </c>
      <c r="H69" s="15">
        <v>20250731</v>
      </c>
    </row>
    <row r="70" ht="15.75" spans="1:8">
      <c r="A70" s="40">
        <v>1002.413</v>
      </c>
      <c r="B70" s="41">
        <v>34</v>
      </c>
      <c r="C70" s="42" t="s">
        <v>8</v>
      </c>
      <c r="D70" s="52" t="s">
        <v>43</v>
      </c>
      <c r="E70" s="76" t="s">
        <v>314</v>
      </c>
      <c r="F70" s="82" t="s">
        <v>2442</v>
      </c>
      <c r="G70" s="80">
        <v>1</v>
      </c>
      <c r="H70" s="15">
        <v>20250731</v>
      </c>
    </row>
    <row r="71" ht="15" spans="1:8">
      <c r="A71" s="40">
        <v>1002.4155</v>
      </c>
      <c r="B71" s="41">
        <v>34</v>
      </c>
      <c r="C71" s="42" t="s">
        <v>8</v>
      </c>
      <c r="D71" s="49" t="s">
        <v>49</v>
      </c>
      <c r="E71" s="49" t="s">
        <v>15</v>
      </c>
      <c r="F71" s="50" t="s">
        <v>2443</v>
      </c>
      <c r="G71" s="47">
        <v>0</v>
      </c>
      <c r="H71" s="15">
        <v>20250731</v>
      </c>
    </row>
    <row r="72" ht="15" spans="1:8">
      <c r="A72" s="40">
        <v>1002.413</v>
      </c>
      <c r="B72" s="41">
        <v>34</v>
      </c>
      <c r="C72" s="42" t="s">
        <v>8</v>
      </c>
      <c r="D72" s="49" t="s">
        <v>9</v>
      </c>
      <c r="E72" s="49" t="s">
        <v>33</v>
      </c>
      <c r="F72" s="50" t="s">
        <v>2444</v>
      </c>
      <c r="G72" s="47">
        <v>0</v>
      </c>
      <c r="H72" s="15">
        <v>20250731</v>
      </c>
    </row>
    <row r="73" ht="15" spans="1:8">
      <c r="A73" s="40">
        <v>1002.419</v>
      </c>
      <c r="B73" s="41">
        <v>34</v>
      </c>
      <c r="C73" s="42" t="s">
        <v>8</v>
      </c>
      <c r="D73" s="49" t="s">
        <v>49</v>
      </c>
      <c r="E73" s="49" t="s">
        <v>41</v>
      </c>
      <c r="F73" s="50" t="s">
        <v>2445</v>
      </c>
      <c r="G73" s="47">
        <v>1</v>
      </c>
      <c r="H73" s="15">
        <v>20250731</v>
      </c>
    </row>
    <row r="74" ht="15" spans="1:8">
      <c r="A74" s="40">
        <v>1002.42</v>
      </c>
      <c r="B74" s="55">
        <v>34</v>
      </c>
      <c r="C74" s="59" t="s">
        <v>8</v>
      </c>
      <c r="D74" s="57" t="s">
        <v>43</v>
      </c>
      <c r="E74" s="56" t="s">
        <v>15</v>
      </c>
      <c r="F74" s="58" t="s">
        <v>2446</v>
      </c>
      <c r="G74" s="41">
        <v>0</v>
      </c>
      <c r="H74" s="15">
        <v>20250731</v>
      </c>
    </row>
    <row r="75" ht="15" spans="1:8">
      <c r="A75" s="40">
        <v>1002.4228</v>
      </c>
      <c r="B75" s="51">
        <v>35</v>
      </c>
      <c r="C75" s="76" t="s">
        <v>25</v>
      </c>
      <c r="D75" s="52" t="s">
        <v>1474</v>
      </c>
      <c r="E75" s="52" t="s">
        <v>470</v>
      </c>
      <c r="F75" s="77" t="s">
        <v>2447</v>
      </c>
      <c r="G75" s="78">
        <v>1</v>
      </c>
      <c r="H75" s="15">
        <v>20250731</v>
      </c>
    </row>
    <row r="76" ht="15" spans="1:8">
      <c r="A76" s="40">
        <v>1002.4278</v>
      </c>
      <c r="B76" s="80">
        <v>35</v>
      </c>
      <c r="C76" s="76" t="s">
        <v>25</v>
      </c>
      <c r="D76" s="52" t="s">
        <v>26</v>
      </c>
      <c r="E76" s="52" t="s">
        <v>27</v>
      </c>
      <c r="F76" s="77" t="s">
        <v>2448</v>
      </c>
      <c r="G76" s="78">
        <v>1</v>
      </c>
      <c r="H76" s="15">
        <v>20250731</v>
      </c>
    </row>
    <row r="77" ht="27" spans="1:8">
      <c r="A77" s="40">
        <v>1002.09</v>
      </c>
      <c r="B77" s="41" t="s">
        <v>94</v>
      </c>
      <c r="C77" s="45" t="s">
        <v>95</v>
      </c>
      <c r="D77" s="45" t="s">
        <v>95</v>
      </c>
      <c r="E77" s="45" t="s">
        <v>97</v>
      </c>
      <c r="F77" s="46" t="s">
        <v>1577</v>
      </c>
      <c r="G77" s="44">
        <v>1</v>
      </c>
      <c r="H77" s="15">
        <v>20250731</v>
      </c>
    </row>
    <row r="78" ht="27" spans="1:8">
      <c r="A78" s="40">
        <v>1002.187</v>
      </c>
      <c r="B78" s="41" t="s">
        <v>99</v>
      </c>
      <c r="C78" s="45" t="s">
        <v>95</v>
      </c>
      <c r="D78" s="45" t="s">
        <v>95</v>
      </c>
      <c r="E78" s="45" t="s">
        <v>97</v>
      </c>
      <c r="F78" s="46" t="s">
        <v>1577</v>
      </c>
      <c r="G78" s="44">
        <v>1</v>
      </c>
      <c r="H78" s="15">
        <v>20250731</v>
      </c>
    </row>
    <row r="79" ht="27" spans="1:8">
      <c r="A79" s="40">
        <v>1002.285</v>
      </c>
      <c r="B79" s="41" t="s">
        <v>100</v>
      </c>
      <c r="C79" s="45" t="s">
        <v>95</v>
      </c>
      <c r="D79" s="45" t="s">
        <v>95</v>
      </c>
      <c r="E79" s="45" t="s">
        <v>97</v>
      </c>
      <c r="F79" s="46" t="s">
        <v>1577</v>
      </c>
      <c r="G79" s="44">
        <v>1</v>
      </c>
      <c r="H79" s="15">
        <v>20250731</v>
      </c>
    </row>
    <row r="80" ht="27" spans="1:8">
      <c r="A80" s="40">
        <v>1002.384</v>
      </c>
      <c r="B80" s="41" t="s">
        <v>2449</v>
      </c>
      <c r="C80" s="45" t="s">
        <v>95</v>
      </c>
      <c r="D80" s="45" t="s">
        <v>95</v>
      </c>
      <c r="E80" s="45" t="s">
        <v>97</v>
      </c>
      <c r="F80" s="46" t="s">
        <v>1577</v>
      </c>
      <c r="G80" s="44">
        <v>1</v>
      </c>
      <c r="H80" s="15">
        <v>20250731</v>
      </c>
    </row>
  </sheetData>
  <autoFilter xmlns:etc="http://www.wps.cn/officeDocument/2017/etCustomData" ref="A1:H80" etc:filterBottomFollowUsedRange="0">
    <extLst/>
  </autoFilter>
  <sortState ref="A2:H78">
    <sortCondition ref="B2:B78"/>
  </sortState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K52" sqref="K52"/>
    </sheetView>
  </sheetViews>
  <sheetFormatPr defaultColWidth="9" defaultRowHeight="14.25" outlineLevelCol="7"/>
  <cols>
    <col min="2" max="2" width="9.125" style="4" customWidth="1"/>
    <col min="3" max="5" width="9" style="4"/>
    <col min="6" max="6" width="66.875" customWidth="1"/>
    <col min="7" max="7" width="9.125" customWidth="1"/>
    <col min="8" max="8" width="9.5" customWidth="1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ht="15.75" spans="1:8">
      <c r="A2" s="15">
        <v>1002.432</v>
      </c>
      <c r="B2" s="22">
        <v>0</v>
      </c>
      <c r="C2" s="12" t="s">
        <v>542</v>
      </c>
      <c r="D2" s="12" t="s">
        <v>550</v>
      </c>
      <c r="E2" s="19" t="s">
        <v>771</v>
      </c>
      <c r="F2" s="21" t="s">
        <v>2450</v>
      </c>
      <c r="G2" s="19">
        <v>0</v>
      </c>
      <c r="H2" s="15">
        <v>20240810</v>
      </c>
    </row>
    <row r="3" ht="15" spans="1:8">
      <c r="A3" s="15">
        <v>1002.101</v>
      </c>
      <c r="B3" s="12">
        <v>0</v>
      </c>
      <c r="C3" s="12" t="s">
        <v>542</v>
      </c>
      <c r="D3" s="12" t="s">
        <v>546</v>
      </c>
      <c r="E3" s="19" t="s">
        <v>2451</v>
      </c>
      <c r="F3" s="63" t="s">
        <v>2452</v>
      </c>
      <c r="G3" s="19">
        <v>1</v>
      </c>
      <c r="H3" s="15">
        <v>20240810</v>
      </c>
    </row>
    <row r="4" ht="15" spans="1:8">
      <c r="A4" s="15">
        <v>1002.432</v>
      </c>
      <c r="B4" s="25">
        <v>0</v>
      </c>
      <c r="C4" s="64" t="s">
        <v>106</v>
      </c>
      <c r="D4" s="65" t="s">
        <v>451</v>
      </c>
      <c r="E4" s="35" t="s">
        <v>1161</v>
      </c>
      <c r="F4" s="66" t="s">
        <v>2453</v>
      </c>
      <c r="G4" s="35">
        <v>1</v>
      </c>
      <c r="H4" s="25">
        <v>20240810</v>
      </c>
    </row>
    <row r="5" ht="15" spans="1:8">
      <c r="A5" s="15">
        <v>1002.432</v>
      </c>
      <c r="B5" s="25">
        <v>0</v>
      </c>
      <c r="C5" s="64" t="s">
        <v>106</v>
      </c>
      <c r="D5" s="65" t="s">
        <v>451</v>
      </c>
      <c r="E5" s="35" t="s">
        <v>1161</v>
      </c>
      <c r="F5" s="67" t="s">
        <v>2454</v>
      </c>
      <c r="G5" s="35">
        <v>1</v>
      </c>
      <c r="H5" s="25">
        <v>20240810</v>
      </c>
    </row>
    <row r="6" ht="15" spans="1:8">
      <c r="A6" s="18">
        <v>1002.432</v>
      </c>
      <c r="B6" s="22">
        <v>1</v>
      </c>
      <c r="C6" s="23" t="s">
        <v>88</v>
      </c>
      <c r="D6" s="23" t="s">
        <v>177</v>
      </c>
      <c r="E6" s="23" t="s">
        <v>2455</v>
      </c>
      <c r="F6" s="31" t="s">
        <v>2456</v>
      </c>
      <c r="G6" s="22">
        <v>1</v>
      </c>
      <c r="H6" s="12">
        <v>20240810</v>
      </c>
    </row>
    <row r="7" ht="15" spans="1:8">
      <c r="A7" s="18">
        <v>1002.427</v>
      </c>
      <c r="B7" s="12">
        <v>2</v>
      </c>
      <c r="C7" s="12" t="s">
        <v>129</v>
      </c>
      <c r="D7" s="12" t="s">
        <v>130</v>
      </c>
      <c r="E7" s="19" t="s">
        <v>997</v>
      </c>
      <c r="F7" s="21" t="s">
        <v>2457</v>
      </c>
      <c r="G7" s="19">
        <v>1</v>
      </c>
      <c r="H7" s="15">
        <v>20240810</v>
      </c>
    </row>
    <row r="8" ht="15" spans="1:8">
      <c r="A8" s="18">
        <v>1002.424</v>
      </c>
      <c r="B8" s="68">
        <v>2</v>
      </c>
      <c r="C8" s="25" t="s">
        <v>238</v>
      </c>
      <c r="D8" s="26" t="s">
        <v>2458</v>
      </c>
      <c r="E8" s="19" t="s">
        <v>1030</v>
      </c>
      <c r="F8" s="69" t="s">
        <v>2459</v>
      </c>
      <c r="G8" s="26">
        <v>1</v>
      </c>
      <c r="H8" s="25">
        <v>20240810</v>
      </c>
    </row>
    <row r="9" ht="15" spans="1:8">
      <c r="A9" s="18">
        <v>1002.417</v>
      </c>
      <c r="B9" s="12">
        <v>3</v>
      </c>
      <c r="C9" s="12" t="s">
        <v>129</v>
      </c>
      <c r="D9" s="19" t="s">
        <v>228</v>
      </c>
      <c r="E9" s="20" t="s">
        <v>15</v>
      </c>
      <c r="F9" s="21" t="s">
        <v>2460</v>
      </c>
      <c r="G9" s="19">
        <v>1</v>
      </c>
      <c r="H9" s="15">
        <v>20240810</v>
      </c>
    </row>
    <row r="10" ht="25.5" spans="1:8">
      <c r="A10" s="18">
        <v>1002.4168</v>
      </c>
      <c r="B10" s="70">
        <v>3</v>
      </c>
      <c r="C10" s="29" t="s">
        <v>238</v>
      </c>
      <c r="D10" s="19" t="s">
        <v>2461</v>
      </c>
      <c r="E10" s="19" t="s">
        <v>1030</v>
      </c>
      <c r="F10" s="63" t="s">
        <v>2462</v>
      </c>
      <c r="G10" s="19">
        <v>1</v>
      </c>
      <c r="H10" s="25">
        <v>20240810</v>
      </c>
    </row>
    <row r="11" ht="15" spans="1:8">
      <c r="A11" s="18">
        <v>1002.3911</v>
      </c>
      <c r="B11" s="35">
        <v>6</v>
      </c>
      <c r="C11" s="25" t="s">
        <v>247</v>
      </c>
      <c r="D11" s="26" t="s">
        <v>2463</v>
      </c>
      <c r="E11" s="26" t="s">
        <v>2464</v>
      </c>
      <c r="F11" s="71" t="s">
        <v>2465</v>
      </c>
      <c r="G11" s="26">
        <v>1</v>
      </c>
      <c r="H11" s="25">
        <v>20240810</v>
      </c>
    </row>
    <row r="12" ht="15" spans="1:8">
      <c r="A12" s="18">
        <v>1002.379</v>
      </c>
      <c r="B12" s="12">
        <v>7</v>
      </c>
      <c r="C12" s="12" t="s">
        <v>129</v>
      </c>
      <c r="D12" s="19" t="s">
        <v>235</v>
      </c>
      <c r="E12" s="20" t="s">
        <v>33</v>
      </c>
      <c r="F12" s="21" t="s">
        <v>2466</v>
      </c>
      <c r="G12" s="19">
        <v>0</v>
      </c>
      <c r="H12" s="15">
        <v>20240810</v>
      </c>
    </row>
    <row r="13" ht="15" spans="1:8">
      <c r="A13" s="18">
        <v>1002.3592</v>
      </c>
      <c r="B13" s="12">
        <v>9</v>
      </c>
      <c r="C13" s="12" t="s">
        <v>129</v>
      </c>
      <c r="D13" s="19" t="s">
        <v>235</v>
      </c>
      <c r="E13" s="20" t="s">
        <v>15</v>
      </c>
      <c r="F13" s="21" t="s">
        <v>2467</v>
      </c>
      <c r="G13" s="19">
        <v>1</v>
      </c>
      <c r="H13" s="15">
        <v>20240810</v>
      </c>
    </row>
    <row r="14" ht="15" spans="1:8">
      <c r="A14" s="18">
        <v>1002.3489</v>
      </c>
      <c r="B14" s="12">
        <v>10</v>
      </c>
      <c r="C14" s="12" t="s">
        <v>129</v>
      </c>
      <c r="D14" s="19" t="s">
        <v>228</v>
      </c>
      <c r="E14" s="20" t="s">
        <v>15</v>
      </c>
      <c r="F14" s="21" t="s">
        <v>2468</v>
      </c>
      <c r="G14" s="19">
        <v>0</v>
      </c>
      <c r="H14" s="15">
        <v>20240810</v>
      </c>
    </row>
    <row r="15" ht="15" spans="1:8">
      <c r="A15" s="18">
        <v>1002.3392</v>
      </c>
      <c r="B15" s="12">
        <v>11</v>
      </c>
      <c r="C15" s="12" t="s">
        <v>129</v>
      </c>
      <c r="D15" s="19" t="s">
        <v>228</v>
      </c>
      <c r="E15" s="20" t="s">
        <v>15</v>
      </c>
      <c r="F15" s="21" t="s">
        <v>2469</v>
      </c>
      <c r="G15" s="19">
        <v>0</v>
      </c>
      <c r="H15" s="15">
        <v>20240810</v>
      </c>
    </row>
    <row r="16" ht="15" spans="1:8">
      <c r="A16" s="18">
        <v>1002.339</v>
      </c>
      <c r="B16" s="12">
        <v>11</v>
      </c>
      <c r="C16" s="12" t="s">
        <v>129</v>
      </c>
      <c r="D16" s="19" t="s">
        <v>235</v>
      </c>
      <c r="E16" s="20" t="s">
        <v>15</v>
      </c>
      <c r="F16" s="21" t="s">
        <v>2470</v>
      </c>
      <c r="G16" s="19">
        <v>1</v>
      </c>
      <c r="H16" s="15">
        <v>20240810</v>
      </c>
    </row>
    <row r="17" ht="15" spans="1:8">
      <c r="A17" s="18">
        <v>1002.3409</v>
      </c>
      <c r="B17" s="70">
        <v>11</v>
      </c>
      <c r="C17" s="25" t="s">
        <v>268</v>
      </c>
      <c r="D17" s="26" t="s">
        <v>2471</v>
      </c>
      <c r="E17" s="72" t="s">
        <v>1205</v>
      </c>
      <c r="F17" s="66" t="s">
        <v>2472</v>
      </c>
      <c r="G17" s="35">
        <v>1</v>
      </c>
      <c r="H17" s="25">
        <v>20240810</v>
      </c>
    </row>
    <row r="18" ht="15" spans="1:8">
      <c r="A18" s="18">
        <v>1002.3304</v>
      </c>
      <c r="B18" s="70">
        <v>12</v>
      </c>
      <c r="C18" s="25" t="s">
        <v>268</v>
      </c>
      <c r="D18" s="26" t="s">
        <v>2471</v>
      </c>
      <c r="E18" s="72" t="s">
        <v>1205</v>
      </c>
      <c r="F18" s="66" t="s">
        <v>2473</v>
      </c>
      <c r="G18" s="35">
        <v>1</v>
      </c>
      <c r="H18" s="25">
        <v>20240810</v>
      </c>
    </row>
    <row r="19" ht="15" spans="1:8">
      <c r="A19" s="18">
        <v>1002.3329</v>
      </c>
      <c r="B19" s="70">
        <v>12</v>
      </c>
      <c r="C19" s="25" t="s">
        <v>268</v>
      </c>
      <c r="D19" s="26" t="s">
        <v>2471</v>
      </c>
      <c r="E19" s="72" t="s">
        <v>1205</v>
      </c>
      <c r="F19" s="66" t="s">
        <v>2474</v>
      </c>
      <c r="G19" s="35">
        <v>1</v>
      </c>
      <c r="H19" s="25">
        <v>20240810</v>
      </c>
    </row>
    <row r="20" ht="15" spans="1:8">
      <c r="A20" s="18">
        <v>1002.3189</v>
      </c>
      <c r="B20" s="70">
        <v>13</v>
      </c>
      <c r="C20" s="25" t="s">
        <v>268</v>
      </c>
      <c r="D20" s="26" t="s">
        <v>2471</v>
      </c>
      <c r="E20" s="72" t="s">
        <v>1205</v>
      </c>
      <c r="F20" s="66" t="s">
        <v>2475</v>
      </c>
      <c r="G20" s="35">
        <v>1</v>
      </c>
      <c r="H20" s="25">
        <v>20240810</v>
      </c>
    </row>
    <row r="21" ht="15" spans="1:8">
      <c r="A21" s="18">
        <v>1002.3279</v>
      </c>
      <c r="B21" s="70">
        <v>13</v>
      </c>
      <c r="C21" s="25" t="s">
        <v>268</v>
      </c>
      <c r="D21" s="26" t="s">
        <v>2471</v>
      </c>
      <c r="E21" s="35" t="s">
        <v>1205</v>
      </c>
      <c r="F21" s="66" t="s">
        <v>2476</v>
      </c>
      <c r="G21" s="35">
        <v>1</v>
      </c>
      <c r="H21" s="25">
        <v>20240810</v>
      </c>
    </row>
    <row r="22" ht="15" spans="1:8">
      <c r="A22" s="18">
        <v>1002.2689</v>
      </c>
      <c r="B22" s="12">
        <v>18</v>
      </c>
      <c r="C22" s="12" t="s">
        <v>129</v>
      </c>
      <c r="D22" s="19" t="s">
        <v>228</v>
      </c>
      <c r="E22" s="20" t="s">
        <v>15</v>
      </c>
      <c r="F22" s="21" t="s">
        <v>2477</v>
      </c>
      <c r="G22" s="19">
        <v>0</v>
      </c>
      <c r="H22" s="15">
        <v>20240810</v>
      </c>
    </row>
    <row r="23" ht="15" spans="1:8">
      <c r="A23" s="18">
        <v>1002.2486</v>
      </c>
      <c r="B23" s="26">
        <v>20</v>
      </c>
      <c r="C23" s="29" t="s">
        <v>238</v>
      </c>
      <c r="D23" s="19" t="s">
        <v>290</v>
      </c>
      <c r="E23" s="19" t="s">
        <v>1030</v>
      </c>
      <c r="F23" s="63" t="s">
        <v>2478</v>
      </c>
      <c r="G23" s="19">
        <v>1</v>
      </c>
      <c r="H23" s="25">
        <v>20240810</v>
      </c>
    </row>
    <row r="24" ht="15" spans="1:8">
      <c r="A24" s="18">
        <v>1002.2386</v>
      </c>
      <c r="B24" s="12">
        <v>21</v>
      </c>
      <c r="C24" s="12" t="s">
        <v>129</v>
      </c>
      <c r="D24" s="19" t="s">
        <v>228</v>
      </c>
      <c r="E24" s="20" t="s">
        <v>33</v>
      </c>
      <c r="F24" s="21" t="s">
        <v>2479</v>
      </c>
      <c r="G24" s="19">
        <v>0</v>
      </c>
      <c r="H24" s="15">
        <v>20240810</v>
      </c>
    </row>
    <row r="25" ht="15" spans="1:8">
      <c r="A25" s="18">
        <v>1002.2185</v>
      </c>
      <c r="B25" s="12">
        <v>23</v>
      </c>
      <c r="C25" s="12" t="s">
        <v>129</v>
      </c>
      <c r="D25" s="19" t="s">
        <v>290</v>
      </c>
      <c r="E25" s="20" t="s">
        <v>33</v>
      </c>
      <c r="F25" s="21" t="s">
        <v>2480</v>
      </c>
      <c r="G25" s="19">
        <v>0</v>
      </c>
      <c r="H25" s="15">
        <v>20240810</v>
      </c>
    </row>
    <row r="26" ht="15" spans="1:8">
      <c r="A26" s="18">
        <v>1002.2084</v>
      </c>
      <c r="B26" s="70">
        <v>24</v>
      </c>
      <c r="C26" s="25" t="s">
        <v>268</v>
      </c>
      <c r="D26" s="26" t="s">
        <v>2471</v>
      </c>
      <c r="E26" s="35" t="s">
        <v>1205</v>
      </c>
      <c r="F26" s="66" t="s">
        <v>2475</v>
      </c>
      <c r="G26" s="35">
        <v>1</v>
      </c>
      <c r="H26" s="25">
        <v>20240810</v>
      </c>
    </row>
    <row r="27" ht="40.5" spans="1:8">
      <c r="A27" s="18">
        <v>1002.2053</v>
      </c>
      <c r="B27" s="12">
        <v>25</v>
      </c>
      <c r="C27" s="73" t="s">
        <v>1006</v>
      </c>
      <c r="D27" s="19" t="s">
        <v>231</v>
      </c>
      <c r="E27" s="19" t="s">
        <v>2255</v>
      </c>
      <c r="F27" s="21" t="s">
        <v>2256</v>
      </c>
      <c r="G27" s="19">
        <v>1</v>
      </c>
      <c r="H27" s="15">
        <v>20240810</v>
      </c>
    </row>
    <row r="28" ht="15" spans="1:8">
      <c r="A28" s="18">
        <v>1002.1652</v>
      </c>
      <c r="B28" s="70">
        <v>29</v>
      </c>
      <c r="C28" s="25" t="s">
        <v>268</v>
      </c>
      <c r="D28" s="26" t="s">
        <v>2471</v>
      </c>
      <c r="E28" s="35" t="s">
        <v>19</v>
      </c>
      <c r="F28" s="66" t="s">
        <v>2481</v>
      </c>
      <c r="G28" s="35">
        <v>1</v>
      </c>
      <c r="H28" s="25">
        <v>20240810</v>
      </c>
    </row>
    <row r="29" ht="15" spans="1:8">
      <c r="A29" s="18">
        <v>1002.1483</v>
      </c>
      <c r="B29" s="12">
        <v>30</v>
      </c>
      <c r="C29" s="12" t="s">
        <v>129</v>
      </c>
      <c r="D29" s="19" t="s">
        <v>228</v>
      </c>
      <c r="E29" s="20" t="s">
        <v>15</v>
      </c>
      <c r="F29" s="21" t="s">
        <v>1419</v>
      </c>
      <c r="G29" s="19">
        <v>1</v>
      </c>
      <c r="H29" s="15">
        <v>20240810</v>
      </c>
    </row>
    <row r="30" ht="15" spans="1:8">
      <c r="A30" s="18">
        <v>1002.1451</v>
      </c>
      <c r="B30" s="70">
        <v>31</v>
      </c>
      <c r="C30" s="25" t="s">
        <v>268</v>
      </c>
      <c r="D30" s="26" t="s">
        <v>2471</v>
      </c>
      <c r="E30" s="35" t="s">
        <v>1205</v>
      </c>
      <c r="F30" s="66" t="s">
        <v>2482</v>
      </c>
      <c r="G30" s="35">
        <v>1</v>
      </c>
      <c r="H30" s="25">
        <v>20240810</v>
      </c>
    </row>
    <row r="31" ht="15" spans="1:8">
      <c r="A31" s="18">
        <v>1002.118</v>
      </c>
      <c r="B31" s="26">
        <v>33</v>
      </c>
      <c r="C31" s="29" t="s">
        <v>238</v>
      </c>
      <c r="D31" s="19" t="s">
        <v>235</v>
      </c>
      <c r="E31" s="19" t="s">
        <v>1030</v>
      </c>
      <c r="F31" s="63" t="s">
        <v>2483</v>
      </c>
      <c r="G31" s="19">
        <v>1</v>
      </c>
      <c r="H31" s="25">
        <v>20240810</v>
      </c>
    </row>
    <row r="32" ht="15" spans="1:8">
      <c r="A32" s="18">
        <v>1002.112</v>
      </c>
      <c r="B32" s="22">
        <v>34</v>
      </c>
      <c r="C32" s="23" t="s">
        <v>88</v>
      </c>
      <c r="D32" s="23" t="s">
        <v>177</v>
      </c>
      <c r="E32" s="23" t="s">
        <v>2455</v>
      </c>
      <c r="F32" s="24" t="s">
        <v>2484</v>
      </c>
      <c r="G32" s="22">
        <v>1</v>
      </c>
      <c r="H32" s="12">
        <v>20240810</v>
      </c>
    </row>
    <row r="33" ht="15" spans="1:8">
      <c r="A33" s="18">
        <v>1002.109</v>
      </c>
      <c r="B33" s="68">
        <v>34</v>
      </c>
      <c r="C33" s="29" t="s">
        <v>238</v>
      </c>
      <c r="D33" s="19" t="s">
        <v>235</v>
      </c>
      <c r="E33" s="19" t="s">
        <v>1030</v>
      </c>
      <c r="F33" s="63" t="s">
        <v>2485</v>
      </c>
      <c r="G33" s="19">
        <v>1</v>
      </c>
      <c r="H33" s="25">
        <v>20240810</v>
      </c>
    </row>
    <row r="34" ht="15" spans="1:8">
      <c r="A34" s="18">
        <v>1002.109</v>
      </c>
      <c r="B34" s="68">
        <v>34</v>
      </c>
      <c r="C34" s="29" t="s">
        <v>238</v>
      </c>
      <c r="D34" s="19" t="s">
        <v>228</v>
      </c>
      <c r="E34" s="19" t="s">
        <v>1030</v>
      </c>
      <c r="F34" s="63" t="s">
        <v>2486</v>
      </c>
      <c r="G34" s="19">
        <v>1</v>
      </c>
      <c r="H34" s="25">
        <v>20240810</v>
      </c>
    </row>
    <row r="35" ht="15" spans="1:8">
      <c r="A35" s="18">
        <v>1002.115</v>
      </c>
      <c r="B35" s="70">
        <v>34</v>
      </c>
      <c r="C35" s="25" t="s">
        <v>268</v>
      </c>
      <c r="D35" s="26" t="s">
        <v>2471</v>
      </c>
      <c r="E35" s="35" t="s">
        <v>19</v>
      </c>
      <c r="F35" s="66" t="s">
        <v>2481</v>
      </c>
      <c r="G35" s="35">
        <v>1</v>
      </c>
      <c r="H35" s="25">
        <v>20240810</v>
      </c>
    </row>
    <row r="36" ht="27" spans="1:8">
      <c r="A36" s="15">
        <v>1002.432</v>
      </c>
      <c r="B36" s="15" t="s">
        <v>94</v>
      </c>
      <c r="C36" s="22" t="s">
        <v>170</v>
      </c>
      <c r="D36" s="22" t="s">
        <v>170</v>
      </c>
      <c r="E36" s="22" t="s">
        <v>172</v>
      </c>
      <c r="F36" s="31" t="s">
        <v>222</v>
      </c>
      <c r="G36" s="22">
        <v>1</v>
      </c>
      <c r="H36" s="15">
        <v>20240810</v>
      </c>
    </row>
    <row r="37" ht="27" spans="1:8">
      <c r="A37" s="15">
        <v>1002.339</v>
      </c>
      <c r="B37" s="15" t="s">
        <v>99</v>
      </c>
      <c r="C37" s="22" t="s">
        <v>170</v>
      </c>
      <c r="D37" s="22" t="s">
        <v>170</v>
      </c>
      <c r="E37" s="22" t="s">
        <v>172</v>
      </c>
      <c r="F37" s="31" t="s">
        <v>222</v>
      </c>
      <c r="G37" s="22">
        <v>1</v>
      </c>
      <c r="H37" s="15">
        <v>20240810</v>
      </c>
    </row>
    <row r="38" ht="27" spans="1:8">
      <c r="A38" s="15">
        <v>1002.239</v>
      </c>
      <c r="B38" s="15" t="s">
        <v>100</v>
      </c>
      <c r="C38" s="22" t="s">
        <v>170</v>
      </c>
      <c r="D38" s="22" t="s">
        <v>170</v>
      </c>
      <c r="E38" s="22" t="s">
        <v>172</v>
      </c>
      <c r="F38" s="31" t="s">
        <v>222</v>
      </c>
      <c r="G38" s="22">
        <v>1</v>
      </c>
      <c r="H38" s="15">
        <v>20240810</v>
      </c>
    </row>
    <row r="39" ht="27" spans="1:8">
      <c r="A39" s="15">
        <v>1002.138</v>
      </c>
      <c r="B39" s="15" t="s">
        <v>2487</v>
      </c>
      <c r="C39" s="22" t="s">
        <v>170</v>
      </c>
      <c r="D39" s="22" t="s">
        <v>170</v>
      </c>
      <c r="E39" s="22" t="s">
        <v>172</v>
      </c>
      <c r="F39" s="31" t="s">
        <v>222</v>
      </c>
      <c r="G39" s="22">
        <v>1</v>
      </c>
      <c r="H39" s="15">
        <v>20240810</v>
      </c>
    </row>
    <row r="40" ht="15" spans="1:8">
      <c r="B40" s="23" t="s">
        <v>92</v>
      </c>
      <c r="C40" s="23" t="s">
        <v>219</v>
      </c>
      <c r="D40" s="23" t="s">
        <v>219</v>
      </c>
      <c r="E40" s="23" t="s">
        <v>91</v>
      </c>
      <c r="F40" s="31" t="s">
        <v>2209</v>
      </c>
      <c r="G40" s="22">
        <v>0</v>
      </c>
      <c r="H40" s="12">
        <v>20240810</v>
      </c>
    </row>
  </sheetData>
  <autoFilter xmlns:etc="http://www.wps.cn/officeDocument/2017/etCustomData" ref="A1:H40" etc:filterBottomFollowUsedRange="0">
    <extLst/>
  </autoFilter>
  <sortState ref="A2:H40">
    <sortCondition ref="B2:B40"/>
  </sortState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169"/>
  <sheetViews>
    <sheetView topLeftCell="A140" workbookViewId="0">
      <selection activeCell="N18" sqref="N18"/>
    </sheetView>
  </sheetViews>
  <sheetFormatPr defaultColWidth="9" defaultRowHeight="15" outlineLevelCol="7"/>
  <cols>
    <col min="1" max="1" width="9" style="16"/>
    <col min="2" max="5" width="9" style="12"/>
    <col min="6" max="6" width="78.625" style="39" customWidth="1"/>
    <col min="7" max="7" width="9" style="12"/>
    <col min="8" max="8" width="9.5" style="12" customWidth="1"/>
    <col min="9" max="16384" width="9" style="16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customFormat="1" spans="1:8">
      <c r="A2" s="40">
        <v>1002.687</v>
      </c>
      <c r="B2" s="41">
        <v>0</v>
      </c>
      <c r="C2" s="42" t="s">
        <v>106</v>
      </c>
      <c r="D2" s="42" t="s">
        <v>451</v>
      </c>
      <c r="E2" s="42" t="s">
        <v>1357</v>
      </c>
      <c r="F2" s="43" t="s">
        <v>1436</v>
      </c>
      <c r="G2" s="41">
        <v>0</v>
      </c>
      <c r="H2" s="15">
        <v>20250731</v>
      </c>
    </row>
    <row r="3" customFormat="1" spans="1:8">
      <c r="A3" s="40">
        <v>1002.689</v>
      </c>
      <c r="B3" s="44">
        <v>1</v>
      </c>
      <c r="C3" s="45" t="s">
        <v>88</v>
      </c>
      <c r="D3" s="45" t="s">
        <v>18</v>
      </c>
      <c r="E3" s="45" t="s">
        <v>2488</v>
      </c>
      <c r="F3" s="46" t="s">
        <v>2489</v>
      </c>
      <c r="G3" s="44">
        <v>1</v>
      </c>
      <c r="H3" s="15">
        <v>20250731</v>
      </c>
    </row>
    <row r="4" customFormat="1" ht="25.5" spans="1:8">
      <c r="A4" s="40">
        <v>1002.69</v>
      </c>
      <c r="B4" s="47">
        <v>1</v>
      </c>
      <c r="C4" s="48" t="s">
        <v>25</v>
      </c>
      <c r="D4" s="49" t="s">
        <v>85</v>
      </c>
      <c r="E4" s="49" t="s">
        <v>470</v>
      </c>
      <c r="F4" s="50" t="s">
        <v>2490</v>
      </c>
      <c r="G4" s="47">
        <v>1</v>
      </c>
      <c r="H4" s="15">
        <v>20250731</v>
      </c>
    </row>
    <row r="5" spans="1:8">
      <c r="A5" s="40">
        <v>1002.6969</v>
      </c>
      <c r="B5" s="41">
        <v>2</v>
      </c>
      <c r="C5" s="42" t="s">
        <v>8</v>
      </c>
      <c r="D5" s="49" t="s">
        <v>9</v>
      </c>
      <c r="E5" s="49" t="s">
        <v>41</v>
      </c>
      <c r="F5" s="50" t="s">
        <v>1570</v>
      </c>
      <c r="G5" s="47">
        <v>1</v>
      </c>
      <c r="H5" s="15">
        <v>20250731</v>
      </c>
    </row>
    <row r="6" spans="1:8">
      <c r="A6" s="40">
        <v>1002.7071</v>
      </c>
      <c r="B6" s="41">
        <v>3</v>
      </c>
      <c r="C6" s="42" t="s">
        <v>8</v>
      </c>
      <c r="D6" s="49" t="s">
        <v>49</v>
      </c>
      <c r="E6" s="49" t="s">
        <v>15</v>
      </c>
      <c r="F6" s="50" t="s">
        <v>2491</v>
      </c>
      <c r="G6" s="47">
        <v>1</v>
      </c>
      <c r="H6" s="15">
        <v>20250731</v>
      </c>
    </row>
    <row r="7" customFormat="1" ht="15.75" spans="1:8">
      <c r="A7" s="40">
        <v>1002.707</v>
      </c>
      <c r="B7" s="44">
        <v>3</v>
      </c>
      <c r="C7" s="45" t="s">
        <v>219</v>
      </c>
      <c r="D7" s="45" t="s">
        <v>219</v>
      </c>
      <c r="E7" s="45" t="s">
        <v>2492</v>
      </c>
      <c r="F7" s="46" t="s">
        <v>2493</v>
      </c>
      <c r="G7" s="44">
        <v>1</v>
      </c>
      <c r="H7" s="15">
        <v>20250731</v>
      </c>
    </row>
    <row r="8" customFormat="1" customHeight="1" spans="1:8">
      <c r="A8" s="40">
        <v>1002.7262</v>
      </c>
      <c r="B8" s="44">
        <v>5</v>
      </c>
      <c r="C8" s="45" t="s">
        <v>219</v>
      </c>
      <c r="D8" s="45" t="s">
        <v>219</v>
      </c>
      <c r="E8" s="45" t="s">
        <v>2494</v>
      </c>
      <c r="F8" s="46" t="s">
        <v>2495</v>
      </c>
      <c r="G8" s="44">
        <v>1</v>
      </c>
      <c r="H8" s="15">
        <v>20250731</v>
      </c>
    </row>
    <row r="9" customFormat="1" spans="1:8">
      <c r="A9" s="40">
        <v>1002.7262</v>
      </c>
      <c r="B9" s="51">
        <v>5</v>
      </c>
      <c r="C9" s="52" t="s">
        <v>25</v>
      </c>
      <c r="D9" s="49" t="s">
        <v>49</v>
      </c>
      <c r="E9" s="53" t="s">
        <v>470</v>
      </c>
      <c r="F9" s="50" t="s">
        <v>2496</v>
      </c>
      <c r="G9" s="47">
        <v>1</v>
      </c>
      <c r="H9" s="15">
        <v>20250731</v>
      </c>
    </row>
    <row r="10" customFormat="1" spans="1:8">
      <c r="A10" s="40">
        <v>1002.7393</v>
      </c>
      <c r="B10" s="44">
        <v>6</v>
      </c>
      <c r="C10" s="45" t="s">
        <v>88</v>
      </c>
      <c r="D10" s="45" t="s">
        <v>18</v>
      </c>
      <c r="E10" s="45" t="s">
        <v>2488</v>
      </c>
      <c r="F10" s="46" t="s">
        <v>2497</v>
      </c>
      <c r="G10" s="44">
        <v>1</v>
      </c>
      <c r="H10" s="15">
        <v>20250731</v>
      </c>
    </row>
    <row r="11" spans="1:8">
      <c r="A11" s="40">
        <v>1002.7626</v>
      </c>
      <c r="B11" s="41">
        <v>8</v>
      </c>
      <c r="C11" s="42" t="s">
        <v>8</v>
      </c>
      <c r="D11" s="49" t="s">
        <v>40</v>
      </c>
      <c r="E11" s="49" t="s">
        <v>232</v>
      </c>
      <c r="F11" s="50" t="s">
        <v>2498</v>
      </c>
      <c r="G11" s="47">
        <v>1</v>
      </c>
      <c r="H11" s="15">
        <v>20250731</v>
      </c>
    </row>
    <row r="12" customFormat="1" spans="1:8">
      <c r="A12" s="40">
        <v>1002.7646</v>
      </c>
      <c r="B12" s="41">
        <v>8</v>
      </c>
      <c r="C12" s="42" t="s">
        <v>8</v>
      </c>
      <c r="D12" s="49" t="s">
        <v>9</v>
      </c>
      <c r="E12" s="49" t="s">
        <v>33</v>
      </c>
      <c r="F12" s="50" t="s">
        <v>2499</v>
      </c>
      <c r="G12" s="47">
        <v>0</v>
      </c>
      <c r="H12" s="15">
        <v>20250731</v>
      </c>
    </row>
    <row r="13" customFormat="1" spans="1:8">
      <c r="A13" s="40">
        <v>1002.7566</v>
      </c>
      <c r="B13" s="51">
        <v>8</v>
      </c>
      <c r="C13" s="52" t="s">
        <v>25</v>
      </c>
      <c r="D13" s="49" t="s">
        <v>49</v>
      </c>
      <c r="E13" s="53" t="s">
        <v>470</v>
      </c>
      <c r="F13" s="50" t="s">
        <v>2500</v>
      </c>
      <c r="G13" s="47">
        <v>1</v>
      </c>
      <c r="H13" s="15">
        <v>20250731</v>
      </c>
    </row>
    <row r="14" customFormat="1" spans="1:8">
      <c r="A14" s="40">
        <v>1002.777</v>
      </c>
      <c r="B14" s="41">
        <v>10</v>
      </c>
      <c r="C14" s="42" t="s">
        <v>8</v>
      </c>
      <c r="D14" s="49" t="s">
        <v>9</v>
      </c>
      <c r="E14" s="49" t="s">
        <v>33</v>
      </c>
      <c r="F14" s="50" t="s">
        <v>2501</v>
      </c>
      <c r="G14" s="47">
        <v>0</v>
      </c>
      <c r="H14" s="15">
        <v>20250731</v>
      </c>
    </row>
    <row r="15" customFormat="1" spans="1:8">
      <c r="A15" s="40">
        <v>1002.777</v>
      </c>
      <c r="B15" s="47">
        <v>10</v>
      </c>
      <c r="C15" s="48" t="s">
        <v>25</v>
      </c>
      <c r="D15" s="49" t="s">
        <v>49</v>
      </c>
      <c r="E15" s="49" t="s">
        <v>470</v>
      </c>
      <c r="F15" s="50" t="s">
        <v>2502</v>
      </c>
      <c r="G15" s="47">
        <v>1</v>
      </c>
      <c r="H15" s="15">
        <v>20250731</v>
      </c>
    </row>
    <row r="16" customFormat="1" spans="1:8">
      <c r="A16" s="40">
        <v>1002.7921</v>
      </c>
      <c r="B16" s="44">
        <v>11</v>
      </c>
      <c r="C16" s="45" t="s">
        <v>219</v>
      </c>
      <c r="D16" s="45" t="s">
        <v>219</v>
      </c>
      <c r="E16" s="45" t="s">
        <v>894</v>
      </c>
      <c r="F16" s="46" t="s">
        <v>2503</v>
      </c>
      <c r="G16" s="44">
        <v>1</v>
      </c>
      <c r="H16" s="15">
        <v>20250731</v>
      </c>
    </row>
    <row r="17" customFormat="1" spans="1:8">
      <c r="A17" s="40">
        <v>1002.8075</v>
      </c>
      <c r="B17" s="41">
        <v>13</v>
      </c>
      <c r="C17" s="42" t="s">
        <v>8</v>
      </c>
      <c r="D17" s="49" t="s">
        <v>9</v>
      </c>
      <c r="E17" s="49" t="s">
        <v>33</v>
      </c>
      <c r="F17" s="50" t="s">
        <v>2504</v>
      </c>
      <c r="G17" s="47">
        <v>0</v>
      </c>
      <c r="H17" s="15">
        <v>20250731</v>
      </c>
    </row>
    <row r="18" spans="1:8">
      <c r="A18" s="40">
        <v>1002.8178</v>
      </c>
      <c r="B18" s="41">
        <v>14</v>
      </c>
      <c r="C18" s="42" t="s">
        <v>8</v>
      </c>
      <c r="D18" s="49" t="s">
        <v>49</v>
      </c>
      <c r="E18" s="49" t="s">
        <v>15</v>
      </c>
      <c r="F18" s="50" t="s">
        <v>2505</v>
      </c>
      <c r="G18" s="47">
        <v>1</v>
      </c>
      <c r="H18" s="15">
        <v>20250731</v>
      </c>
    </row>
    <row r="19" customFormat="1" spans="1:8">
      <c r="A19" s="40">
        <v>1002.8175</v>
      </c>
      <c r="B19" s="47">
        <v>14</v>
      </c>
      <c r="C19" s="48" t="s">
        <v>25</v>
      </c>
      <c r="D19" s="49" t="s">
        <v>49</v>
      </c>
      <c r="E19" s="49" t="s">
        <v>470</v>
      </c>
      <c r="F19" s="50" t="s">
        <v>2502</v>
      </c>
      <c r="G19" s="47">
        <v>1</v>
      </c>
      <c r="H19" s="15">
        <v>20250731</v>
      </c>
    </row>
    <row r="20" customFormat="1" spans="1:8">
      <c r="A20" s="40">
        <v>1002.8276</v>
      </c>
      <c r="B20" s="41">
        <v>15</v>
      </c>
      <c r="C20" s="42" t="s">
        <v>8</v>
      </c>
      <c r="D20" s="49" t="s">
        <v>9</v>
      </c>
      <c r="E20" s="49" t="s">
        <v>33</v>
      </c>
      <c r="F20" s="50" t="s">
        <v>2506</v>
      </c>
      <c r="G20" s="47">
        <v>0</v>
      </c>
      <c r="H20" s="15">
        <v>20250731</v>
      </c>
    </row>
    <row r="21" customFormat="1" spans="1:8">
      <c r="A21" s="40">
        <v>1002.8306</v>
      </c>
      <c r="B21" s="51">
        <v>15</v>
      </c>
      <c r="C21" s="52" t="s">
        <v>17</v>
      </c>
      <c r="D21" s="49" t="s">
        <v>177</v>
      </c>
      <c r="E21" s="53" t="s">
        <v>1205</v>
      </c>
      <c r="F21" s="50" t="s">
        <v>1748</v>
      </c>
      <c r="G21" s="54">
        <v>1</v>
      </c>
      <c r="H21" s="15">
        <v>20250731</v>
      </c>
    </row>
    <row r="22" customFormat="1" spans="1:8">
      <c r="A22" s="40">
        <v>1002.8346</v>
      </c>
      <c r="B22" s="51">
        <v>15</v>
      </c>
      <c r="C22" s="52" t="s">
        <v>17</v>
      </c>
      <c r="D22" s="49" t="s">
        <v>177</v>
      </c>
      <c r="E22" s="53" t="s">
        <v>1205</v>
      </c>
      <c r="F22" s="50" t="s">
        <v>1730</v>
      </c>
      <c r="G22" s="54">
        <v>1</v>
      </c>
      <c r="H22" s="15">
        <v>20250731</v>
      </c>
    </row>
    <row r="23" customFormat="1" spans="1:8">
      <c r="A23" s="40">
        <v>1002.8377</v>
      </c>
      <c r="B23" s="41">
        <v>16</v>
      </c>
      <c r="C23" s="42" t="s">
        <v>8</v>
      </c>
      <c r="D23" s="49" t="s">
        <v>49</v>
      </c>
      <c r="E23" s="49" t="s">
        <v>33</v>
      </c>
      <c r="F23" s="50" t="s">
        <v>2507</v>
      </c>
      <c r="G23" s="47">
        <v>0</v>
      </c>
      <c r="H23" s="15">
        <v>20250731</v>
      </c>
    </row>
    <row r="24" customFormat="1" spans="1:8">
      <c r="A24" s="40">
        <v>1002.8377</v>
      </c>
      <c r="B24" s="44">
        <v>16</v>
      </c>
      <c r="C24" s="45" t="s">
        <v>219</v>
      </c>
      <c r="D24" s="45" t="s">
        <v>219</v>
      </c>
      <c r="E24" s="45" t="s">
        <v>894</v>
      </c>
      <c r="F24" s="46" t="s">
        <v>2508</v>
      </c>
      <c r="G24" s="44">
        <v>1</v>
      </c>
      <c r="H24" s="15">
        <v>20250731</v>
      </c>
    </row>
    <row r="25" customFormat="1" spans="1:8">
      <c r="A25" s="40">
        <v>1002.8377</v>
      </c>
      <c r="B25" s="47">
        <v>16</v>
      </c>
      <c r="C25" s="48" t="s">
        <v>25</v>
      </c>
      <c r="D25" s="49" t="s">
        <v>49</v>
      </c>
      <c r="E25" s="49" t="s">
        <v>470</v>
      </c>
      <c r="F25" s="50" t="s">
        <v>2509</v>
      </c>
      <c r="G25" s="47">
        <v>1</v>
      </c>
      <c r="H25" s="15">
        <v>20250731</v>
      </c>
    </row>
    <row r="26" customFormat="1" spans="1:8">
      <c r="A26" s="40">
        <v>1002.8457</v>
      </c>
      <c r="B26" s="51">
        <v>16</v>
      </c>
      <c r="C26" s="52" t="s">
        <v>17</v>
      </c>
      <c r="D26" s="49" t="s">
        <v>177</v>
      </c>
      <c r="E26" s="53" t="s">
        <v>1205</v>
      </c>
      <c r="F26" s="50" t="s">
        <v>2510</v>
      </c>
      <c r="G26" s="54">
        <v>1</v>
      </c>
      <c r="H26" s="15">
        <v>20250731</v>
      </c>
    </row>
    <row r="27" customFormat="1" spans="1:8">
      <c r="A27" s="40">
        <v>1002.8476</v>
      </c>
      <c r="B27" s="41">
        <v>17</v>
      </c>
      <c r="C27" s="42" t="s">
        <v>8</v>
      </c>
      <c r="D27" s="49" t="s">
        <v>9</v>
      </c>
      <c r="E27" s="49" t="s">
        <v>33</v>
      </c>
      <c r="F27" s="50" t="s">
        <v>2511</v>
      </c>
      <c r="G27" s="47">
        <v>0</v>
      </c>
      <c r="H27" s="15">
        <v>20250731</v>
      </c>
    </row>
    <row r="28" customFormat="1" spans="1:8">
      <c r="A28" s="40">
        <v>1002.8476</v>
      </c>
      <c r="B28" s="44">
        <v>17</v>
      </c>
      <c r="C28" s="45" t="s">
        <v>219</v>
      </c>
      <c r="D28" s="45" t="s">
        <v>219</v>
      </c>
      <c r="E28" s="45" t="s">
        <v>894</v>
      </c>
      <c r="F28" s="46" t="s">
        <v>2508</v>
      </c>
      <c r="G28" s="44">
        <v>1</v>
      </c>
      <c r="H28" s="15">
        <v>20250731</v>
      </c>
    </row>
    <row r="29" customFormat="1" spans="1:8">
      <c r="A29" s="40">
        <v>1002.8577</v>
      </c>
      <c r="B29" s="51">
        <v>18</v>
      </c>
      <c r="C29" s="52" t="s">
        <v>25</v>
      </c>
      <c r="D29" s="49" t="s">
        <v>49</v>
      </c>
      <c r="E29" s="53" t="s">
        <v>470</v>
      </c>
      <c r="F29" s="50" t="s">
        <v>2512</v>
      </c>
      <c r="G29" s="47">
        <v>1</v>
      </c>
      <c r="H29" s="15">
        <v>20250731</v>
      </c>
    </row>
    <row r="30" customFormat="1" spans="1:8">
      <c r="A30" s="40">
        <v>1002.8577</v>
      </c>
      <c r="B30" s="51">
        <v>18</v>
      </c>
      <c r="C30" s="52" t="s">
        <v>25</v>
      </c>
      <c r="D30" s="49" t="s">
        <v>26</v>
      </c>
      <c r="E30" s="53" t="s">
        <v>27</v>
      </c>
      <c r="F30" s="50" t="s">
        <v>2513</v>
      </c>
      <c r="G30" s="54">
        <v>1</v>
      </c>
      <c r="H30" s="15">
        <v>20250731</v>
      </c>
    </row>
    <row r="31" customFormat="1" spans="1:8">
      <c r="A31" s="40">
        <v>1002.8678</v>
      </c>
      <c r="B31" s="41">
        <v>19</v>
      </c>
      <c r="C31" s="42" t="s">
        <v>8</v>
      </c>
      <c r="D31" s="49" t="s">
        <v>9</v>
      </c>
      <c r="E31" s="49" t="s">
        <v>33</v>
      </c>
      <c r="F31" s="50" t="s">
        <v>2514</v>
      </c>
      <c r="G31" s="47">
        <v>0</v>
      </c>
      <c r="H31" s="15">
        <v>20250731</v>
      </c>
    </row>
    <row r="32" customFormat="1" spans="1:8">
      <c r="A32" s="40">
        <v>1002.88</v>
      </c>
      <c r="B32" s="51">
        <v>20</v>
      </c>
      <c r="C32" s="52" t="s">
        <v>17</v>
      </c>
      <c r="D32" s="49" t="s">
        <v>177</v>
      </c>
      <c r="E32" s="53" t="s">
        <v>1205</v>
      </c>
      <c r="F32" s="50" t="s">
        <v>1688</v>
      </c>
      <c r="G32" s="54">
        <v>1</v>
      </c>
      <c r="H32" s="15">
        <v>20250731</v>
      </c>
    </row>
    <row r="33" customFormat="1" spans="1:8">
      <c r="A33" s="40">
        <v>1002.888</v>
      </c>
      <c r="B33" s="41">
        <v>21</v>
      </c>
      <c r="C33" s="42" t="s">
        <v>8</v>
      </c>
      <c r="D33" s="49" t="s">
        <v>49</v>
      </c>
      <c r="E33" s="49" t="s">
        <v>33</v>
      </c>
      <c r="F33" s="50" t="s">
        <v>2515</v>
      </c>
      <c r="G33" s="47">
        <v>0</v>
      </c>
      <c r="H33" s="15">
        <v>20250731</v>
      </c>
    </row>
    <row r="34" customFormat="1" ht="15.75" spans="1:8">
      <c r="A34" s="40">
        <v>1002.8981</v>
      </c>
      <c r="B34" s="55">
        <v>22</v>
      </c>
      <c r="C34" s="56" t="s">
        <v>25</v>
      </c>
      <c r="D34" s="57" t="s">
        <v>2516</v>
      </c>
      <c r="E34" s="57" t="s">
        <v>2517</v>
      </c>
      <c r="F34" s="58" t="s">
        <v>2518</v>
      </c>
      <c r="G34" s="41">
        <v>1</v>
      </c>
      <c r="H34" s="15">
        <v>20250731</v>
      </c>
    </row>
    <row r="35" customFormat="1" spans="1:8">
      <c r="A35" s="40">
        <v>1002.9083</v>
      </c>
      <c r="B35" s="41">
        <v>23</v>
      </c>
      <c r="C35" s="42" t="s">
        <v>8</v>
      </c>
      <c r="D35" s="49" t="s">
        <v>9</v>
      </c>
      <c r="E35" s="49" t="s">
        <v>33</v>
      </c>
      <c r="F35" s="50" t="s">
        <v>2519</v>
      </c>
      <c r="G35" s="47">
        <v>0</v>
      </c>
      <c r="H35" s="15">
        <v>20250731</v>
      </c>
    </row>
    <row r="36" customFormat="1" spans="1:8">
      <c r="A36" s="40">
        <v>1002.9184</v>
      </c>
      <c r="B36" s="51">
        <v>24</v>
      </c>
      <c r="C36" s="52" t="s">
        <v>25</v>
      </c>
      <c r="D36" s="49" t="s">
        <v>43</v>
      </c>
      <c r="E36" s="53" t="s">
        <v>470</v>
      </c>
      <c r="F36" s="50" t="s">
        <v>2520</v>
      </c>
      <c r="G36" s="47">
        <v>1</v>
      </c>
      <c r="H36" s="15">
        <v>20250731</v>
      </c>
    </row>
    <row r="37" customFormat="1" spans="1:8">
      <c r="A37" s="40">
        <v>1002.9283</v>
      </c>
      <c r="B37" s="41">
        <v>25</v>
      </c>
      <c r="C37" s="42" t="s">
        <v>8</v>
      </c>
      <c r="D37" s="49" t="s">
        <v>9</v>
      </c>
      <c r="E37" s="49" t="s">
        <v>33</v>
      </c>
      <c r="F37" s="50" t="s">
        <v>2521</v>
      </c>
      <c r="G37" s="47">
        <v>0</v>
      </c>
      <c r="H37" s="15">
        <v>20250731</v>
      </c>
    </row>
    <row r="38" customFormat="1" spans="1:8">
      <c r="A38" s="40">
        <v>1002.9358</v>
      </c>
      <c r="B38" s="41">
        <v>26</v>
      </c>
      <c r="C38" s="42" t="s">
        <v>8</v>
      </c>
      <c r="D38" s="49" t="s">
        <v>9</v>
      </c>
      <c r="E38" s="49" t="s">
        <v>33</v>
      </c>
      <c r="F38" s="50" t="s">
        <v>2522</v>
      </c>
      <c r="G38" s="47">
        <v>0</v>
      </c>
      <c r="H38" s="15">
        <v>20250731</v>
      </c>
    </row>
    <row r="39" customFormat="1" spans="1:8">
      <c r="A39" s="40">
        <v>1002.9418</v>
      </c>
      <c r="B39" s="44">
        <v>26</v>
      </c>
      <c r="C39" s="45" t="s">
        <v>219</v>
      </c>
      <c r="D39" s="45" t="s">
        <v>219</v>
      </c>
      <c r="E39" s="45" t="s">
        <v>894</v>
      </c>
      <c r="F39" s="46" t="s">
        <v>1820</v>
      </c>
      <c r="G39" s="44">
        <v>1</v>
      </c>
      <c r="H39" s="15">
        <v>20250731</v>
      </c>
    </row>
    <row r="40" customFormat="1" spans="1:8">
      <c r="A40" s="40">
        <v>1002.9368</v>
      </c>
      <c r="B40" s="47">
        <v>26</v>
      </c>
      <c r="C40" s="48" t="s">
        <v>25</v>
      </c>
      <c r="D40" s="49" t="s">
        <v>9</v>
      </c>
      <c r="E40" s="49" t="s">
        <v>470</v>
      </c>
      <c r="F40" s="50" t="s">
        <v>2523</v>
      </c>
      <c r="G40" s="47">
        <v>1</v>
      </c>
      <c r="H40" s="15">
        <v>20250731</v>
      </c>
    </row>
    <row r="41" customFormat="1" spans="1:8">
      <c r="A41" s="40">
        <v>1002.9378</v>
      </c>
      <c r="B41" s="51">
        <v>26</v>
      </c>
      <c r="C41" s="52" t="s">
        <v>17</v>
      </c>
      <c r="D41" s="49" t="s">
        <v>177</v>
      </c>
      <c r="E41" s="53" t="s">
        <v>19</v>
      </c>
      <c r="F41" s="50" t="s">
        <v>1514</v>
      </c>
      <c r="G41" s="54">
        <v>1</v>
      </c>
      <c r="H41" s="15">
        <v>20250731</v>
      </c>
    </row>
    <row r="42" customFormat="1" spans="1:8">
      <c r="A42" s="40">
        <v>1002.9458</v>
      </c>
      <c r="B42" s="41">
        <v>27</v>
      </c>
      <c r="C42" s="42" t="s">
        <v>8</v>
      </c>
      <c r="D42" s="49" t="s">
        <v>9</v>
      </c>
      <c r="E42" s="49" t="s">
        <v>33</v>
      </c>
      <c r="F42" s="50" t="s">
        <v>2524</v>
      </c>
      <c r="G42" s="47">
        <v>0</v>
      </c>
      <c r="H42" s="15">
        <v>20250731</v>
      </c>
    </row>
    <row r="43" customFormat="1" spans="1:8">
      <c r="A43" s="40">
        <v>1002.9458</v>
      </c>
      <c r="B43" s="47">
        <v>27</v>
      </c>
      <c r="C43" s="48" t="s">
        <v>25</v>
      </c>
      <c r="D43" s="49" t="s">
        <v>9</v>
      </c>
      <c r="E43" s="49" t="s">
        <v>470</v>
      </c>
      <c r="F43" s="50" t="s">
        <v>2525</v>
      </c>
      <c r="G43" s="47">
        <v>1</v>
      </c>
      <c r="H43" s="15">
        <v>20250731</v>
      </c>
    </row>
    <row r="44" customFormat="1" spans="1:8">
      <c r="A44" s="40">
        <v>1002.9538</v>
      </c>
      <c r="B44" s="51">
        <v>27</v>
      </c>
      <c r="C44" s="52" t="s">
        <v>17</v>
      </c>
      <c r="D44" s="49" t="s">
        <v>177</v>
      </c>
      <c r="E44" s="53" t="s">
        <v>19</v>
      </c>
      <c r="F44" s="50" t="s">
        <v>2526</v>
      </c>
      <c r="G44" s="54">
        <v>1</v>
      </c>
      <c r="H44" s="15">
        <v>20250731</v>
      </c>
    </row>
    <row r="45" customFormat="1" spans="1:8">
      <c r="A45" s="40">
        <v>1002.9559</v>
      </c>
      <c r="B45" s="41">
        <v>28</v>
      </c>
      <c r="C45" s="42" t="s">
        <v>8</v>
      </c>
      <c r="D45" s="49" t="s">
        <v>9</v>
      </c>
      <c r="E45" s="49" t="s">
        <v>33</v>
      </c>
      <c r="F45" s="50" t="s">
        <v>2527</v>
      </c>
      <c r="G45" s="47">
        <v>0</v>
      </c>
      <c r="H45" s="15">
        <v>20250731</v>
      </c>
    </row>
    <row r="46" customFormat="1" spans="1:8">
      <c r="A46" s="40">
        <v>1002.9863</v>
      </c>
      <c r="B46" s="41">
        <v>31</v>
      </c>
      <c r="C46" s="42" t="s">
        <v>8</v>
      </c>
      <c r="D46" s="49" t="s">
        <v>9</v>
      </c>
      <c r="E46" s="49" t="s">
        <v>33</v>
      </c>
      <c r="F46" s="50" t="s">
        <v>2528</v>
      </c>
      <c r="G46" s="47">
        <v>0</v>
      </c>
      <c r="H46" s="15">
        <v>20250731</v>
      </c>
    </row>
    <row r="47" spans="1:8">
      <c r="A47" s="40">
        <v>1002.9863</v>
      </c>
      <c r="B47" s="51">
        <v>31</v>
      </c>
      <c r="C47" s="52" t="s">
        <v>17</v>
      </c>
      <c r="D47" s="49" t="s">
        <v>177</v>
      </c>
      <c r="E47" s="53" t="s">
        <v>1205</v>
      </c>
      <c r="F47" s="50" t="s">
        <v>1720</v>
      </c>
      <c r="G47" s="54">
        <v>1</v>
      </c>
      <c r="H47" s="15">
        <v>20250731</v>
      </c>
    </row>
    <row r="48" customFormat="1" spans="1:8">
      <c r="A48" s="40">
        <v>1002.9964</v>
      </c>
      <c r="B48" s="41">
        <v>32</v>
      </c>
      <c r="C48" s="42" t="s">
        <v>8</v>
      </c>
      <c r="D48" s="49" t="s">
        <v>9</v>
      </c>
      <c r="E48" s="49" t="s">
        <v>33</v>
      </c>
      <c r="F48" s="50" t="s">
        <v>2529</v>
      </c>
      <c r="G48" s="47">
        <v>0</v>
      </c>
      <c r="H48" s="15">
        <v>20250731</v>
      </c>
    </row>
    <row r="49" customFormat="1" spans="1:8">
      <c r="A49" s="40">
        <v>1003.0068</v>
      </c>
      <c r="B49" s="41">
        <v>33</v>
      </c>
      <c r="C49" s="42" t="s">
        <v>8</v>
      </c>
      <c r="D49" s="49" t="s">
        <v>9</v>
      </c>
      <c r="E49" s="49" t="s">
        <v>33</v>
      </c>
      <c r="F49" s="50" t="s">
        <v>2530</v>
      </c>
      <c r="G49" s="47">
        <v>0</v>
      </c>
      <c r="H49" s="15">
        <v>20250731</v>
      </c>
    </row>
    <row r="50" customFormat="1" spans="1:8">
      <c r="A50" s="40">
        <v>1003.0068</v>
      </c>
      <c r="B50" s="51">
        <v>33</v>
      </c>
      <c r="C50" s="52" t="s">
        <v>25</v>
      </c>
      <c r="D50" s="49" t="s">
        <v>40</v>
      </c>
      <c r="E50" s="53" t="s">
        <v>2531</v>
      </c>
      <c r="F50" s="50" t="s">
        <v>2532</v>
      </c>
      <c r="G50" s="54">
        <v>1</v>
      </c>
      <c r="H50" s="15">
        <v>20250731</v>
      </c>
    </row>
    <row r="51" customFormat="1" spans="1:8">
      <c r="A51" s="40">
        <v>1003.0068</v>
      </c>
      <c r="B51" s="51">
        <v>33</v>
      </c>
      <c r="C51" s="52" t="s">
        <v>25</v>
      </c>
      <c r="D51" s="49" t="s">
        <v>26</v>
      </c>
      <c r="E51" s="53" t="s">
        <v>27</v>
      </c>
      <c r="F51" s="50" t="s">
        <v>2533</v>
      </c>
      <c r="G51" s="54">
        <v>1</v>
      </c>
      <c r="H51" s="15">
        <v>20250731</v>
      </c>
    </row>
    <row r="52" customFormat="1" spans="1:8">
      <c r="A52" s="40">
        <v>1003.0271</v>
      </c>
      <c r="B52" s="41">
        <v>35</v>
      </c>
      <c r="C52" s="42" t="s">
        <v>8</v>
      </c>
      <c r="D52" s="49" t="s">
        <v>9</v>
      </c>
      <c r="E52" s="49" t="s">
        <v>33</v>
      </c>
      <c r="F52" s="50" t="s">
        <v>2534</v>
      </c>
      <c r="G52" s="47">
        <v>0</v>
      </c>
      <c r="H52" s="15">
        <v>20250731</v>
      </c>
    </row>
    <row r="53" customFormat="1" spans="1:8">
      <c r="A53" s="40">
        <v>1003.0301</v>
      </c>
      <c r="B53" s="47">
        <v>35</v>
      </c>
      <c r="C53" s="48" t="s">
        <v>25</v>
      </c>
      <c r="D53" s="49" t="s">
        <v>9</v>
      </c>
      <c r="E53" s="49" t="s">
        <v>470</v>
      </c>
      <c r="F53" s="50" t="s">
        <v>2535</v>
      </c>
      <c r="G53" s="47">
        <v>1</v>
      </c>
      <c r="H53" s="15">
        <v>20250731</v>
      </c>
    </row>
    <row r="54" spans="1:8">
      <c r="A54" s="40">
        <v>1003.0421</v>
      </c>
      <c r="B54" s="47">
        <v>36</v>
      </c>
      <c r="C54" s="48" t="s">
        <v>25</v>
      </c>
      <c r="D54" s="49" t="s">
        <v>9</v>
      </c>
      <c r="E54" s="49" t="s">
        <v>470</v>
      </c>
      <c r="F54" s="50" t="s">
        <v>2536</v>
      </c>
      <c r="G54" s="47">
        <v>1</v>
      </c>
      <c r="H54" s="15">
        <v>20250731</v>
      </c>
    </row>
    <row r="55" customFormat="1" spans="1:8">
      <c r="A55" s="40">
        <v>1003.0371</v>
      </c>
      <c r="B55" s="55">
        <v>36</v>
      </c>
      <c r="C55" s="59" t="s">
        <v>8</v>
      </c>
      <c r="D55" s="57" t="s">
        <v>9</v>
      </c>
      <c r="E55" s="56" t="s">
        <v>33</v>
      </c>
      <c r="F55" s="58" t="s">
        <v>2537</v>
      </c>
      <c r="G55" s="41">
        <v>0</v>
      </c>
      <c r="H55" s="15">
        <v>20250731</v>
      </c>
    </row>
    <row r="56" customFormat="1" spans="1:8">
      <c r="A56" s="40">
        <v>1003.0533</v>
      </c>
      <c r="B56" s="51">
        <v>37</v>
      </c>
      <c r="C56" s="52" t="s">
        <v>8</v>
      </c>
      <c r="D56" s="49" t="s">
        <v>26</v>
      </c>
      <c r="E56" s="53" t="s">
        <v>41</v>
      </c>
      <c r="F56" s="50" t="s">
        <v>2538</v>
      </c>
      <c r="G56" s="54">
        <v>1</v>
      </c>
      <c r="H56" s="15">
        <v>20250731</v>
      </c>
    </row>
    <row r="57" customFormat="1" spans="1:8">
      <c r="A57" s="40">
        <v>1003.0473</v>
      </c>
      <c r="B57" s="55">
        <v>37</v>
      </c>
      <c r="C57" s="59" t="s">
        <v>8</v>
      </c>
      <c r="D57" s="57" t="s">
        <v>9</v>
      </c>
      <c r="E57" s="56" t="s">
        <v>33</v>
      </c>
      <c r="F57" s="58" t="s">
        <v>2537</v>
      </c>
      <c r="G57" s="41">
        <v>0</v>
      </c>
      <c r="H57" s="15">
        <v>20250731</v>
      </c>
    </row>
    <row r="58" spans="1:8">
      <c r="A58" s="40">
        <v>1003.0575</v>
      </c>
      <c r="B58" s="41">
        <v>38</v>
      </c>
      <c r="C58" s="42" t="s">
        <v>8</v>
      </c>
      <c r="D58" s="49" t="s">
        <v>9</v>
      </c>
      <c r="E58" s="49" t="s">
        <v>33</v>
      </c>
      <c r="F58" s="50" t="s">
        <v>2539</v>
      </c>
      <c r="G58" s="47">
        <v>0</v>
      </c>
      <c r="H58" s="15">
        <v>20250731</v>
      </c>
    </row>
    <row r="59" customFormat="1" spans="1:8">
      <c r="A59" s="40">
        <v>1003.0625</v>
      </c>
      <c r="B59" s="47">
        <v>38</v>
      </c>
      <c r="C59" s="48" t="s">
        <v>25</v>
      </c>
      <c r="D59" s="49" t="s">
        <v>9</v>
      </c>
      <c r="E59" s="49" t="s">
        <v>470</v>
      </c>
      <c r="F59" s="50" t="s">
        <v>2540</v>
      </c>
      <c r="G59" s="47">
        <v>1</v>
      </c>
      <c r="H59" s="15">
        <v>20250731</v>
      </c>
    </row>
    <row r="60" customFormat="1" spans="1:8">
      <c r="A60" s="40">
        <v>1003.0716</v>
      </c>
      <c r="B60" s="47">
        <v>39</v>
      </c>
      <c r="C60" s="48" t="s">
        <v>25</v>
      </c>
      <c r="D60" s="49" t="s">
        <v>9</v>
      </c>
      <c r="E60" s="49" t="s">
        <v>470</v>
      </c>
      <c r="F60" s="50" t="s">
        <v>2541</v>
      </c>
      <c r="G60" s="47">
        <v>1</v>
      </c>
      <c r="H60" s="15">
        <v>20250731</v>
      </c>
    </row>
    <row r="61" customFormat="1" spans="1:8">
      <c r="A61" s="40">
        <v>1003.0676</v>
      </c>
      <c r="B61" s="55">
        <v>39</v>
      </c>
      <c r="C61" s="59" t="s">
        <v>8</v>
      </c>
      <c r="D61" s="57" t="s">
        <v>9</v>
      </c>
      <c r="E61" s="56" t="s">
        <v>33</v>
      </c>
      <c r="F61" s="58" t="s">
        <v>2537</v>
      </c>
      <c r="G61" s="41">
        <v>0</v>
      </c>
      <c r="H61" s="15">
        <v>20250731</v>
      </c>
    </row>
    <row r="62" spans="1:8">
      <c r="A62" s="40">
        <v>1003.0778</v>
      </c>
      <c r="B62" s="41">
        <v>40</v>
      </c>
      <c r="C62" s="42" t="s">
        <v>8</v>
      </c>
      <c r="D62" s="49" t="s">
        <v>9</v>
      </c>
      <c r="E62" s="49" t="s">
        <v>33</v>
      </c>
      <c r="F62" s="50" t="s">
        <v>2542</v>
      </c>
      <c r="G62" s="47">
        <v>0</v>
      </c>
      <c r="H62" s="15">
        <v>20250731</v>
      </c>
    </row>
    <row r="63" customFormat="1" spans="1:8">
      <c r="A63" s="40">
        <v>1003.088</v>
      </c>
      <c r="B63" s="41">
        <v>41</v>
      </c>
      <c r="C63" s="42" t="s">
        <v>8</v>
      </c>
      <c r="D63" s="49" t="s">
        <v>43</v>
      </c>
      <c r="E63" s="49" t="s">
        <v>33</v>
      </c>
      <c r="F63" s="50" t="s">
        <v>2543</v>
      </c>
      <c r="G63" s="44">
        <v>0</v>
      </c>
      <c r="H63" s="15">
        <v>20250731</v>
      </c>
    </row>
    <row r="64" customFormat="1" spans="1:8">
      <c r="A64" s="40">
        <v>1003.088</v>
      </c>
      <c r="B64" s="51">
        <v>41</v>
      </c>
      <c r="C64" s="52" t="s">
        <v>25</v>
      </c>
      <c r="D64" s="49" t="s">
        <v>26</v>
      </c>
      <c r="E64" s="53" t="s">
        <v>27</v>
      </c>
      <c r="F64" s="50" t="s">
        <v>2533</v>
      </c>
      <c r="G64" s="54">
        <v>1</v>
      </c>
      <c r="H64" s="15">
        <v>20250731</v>
      </c>
    </row>
    <row r="65" customFormat="1" spans="1:8">
      <c r="A65" s="40">
        <v>1003.098</v>
      </c>
      <c r="B65" s="41">
        <v>42</v>
      </c>
      <c r="C65" s="42" t="s">
        <v>8</v>
      </c>
      <c r="D65" s="49" t="s">
        <v>49</v>
      </c>
      <c r="E65" s="49" t="s">
        <v>33</v>
      </c>
      <c r="F65" s="50" t="s">
        <v>2544</v>
      </c>
      <c r="G65" s="44">
        <v>0</v>
      </c>
      <c r="H65" s="15">
        <v>20250731</v>
      </c>
    </row>
    <row r="66" customFormat="1" spans="1:8">
      <c r="A66" s="40">
        <v>1003.1</v>
      </c>
      <c r="B66" s="41">
        <v>42</v>
      </c>
      <c r="C66" s="42" t="s">
        <v>8</v>
      </c>
      <c r="D66" s="49" t="s">
        <v>26</v>
      </c>
      <c r="E66" s="49" t="s">
        <v>41</v>
      </c>
      <c r="F66" s="50" t="s">
        <v>2545</v>
      </c>
      <c r="G66" s="47">
        <v>1</v>
      </c>
      <c r="H66" s="15">
        <v>20250731</v>
      </c>
    </row>
    <row r="67" spans="1:8">
      <c r="A67" s="40">
        <v>1003.1082</v>
      </c>
      <c r="B67" s="51">
        <v>43</v>
      </c>
      <c r="C67" s="52" t="s">
        <v>25</v>
      </c>
      <c r="D67" s="49" t="s">
        <v>26</v>
      </c>
      <c r="E67" s="53" t="s">
        <v>27</v>
      </c>
      <c r="F67" s="50" t="s">
        <v>2546</v>
      </c>
      <c r="G67" s="54">
        <v>1</v>
      </c>
      <c r="H67" s="15">
        <v>20250731</v>
      </c>
    </row>
    <row r="68" spans="1:8">
      <c r="A68" s="40">
        <v>1003.1487</v>
      </c>
      <c r="B68" s="41">
        <v>47</v>
      </c>
      <c r="C68" s="42" t="s">
        <v>8</v>
      </c>
      <c r="D68" s="49" t="s">
        <v>49</v>
      </c>
      <c r="E68" s="49" t="s">
        <v>33</v>
      </c>
      <c r="F68" s="50" t="s">
        <v>2547</v>
      </c>
      <c r="G68" s="47">
        <v>0</v>
      </c>
      <c r="H68" s="15">
        <v>20250731</v>
      </c>
    </row>
    <row r="69" customFormat="1" spans="1:8">
      <c r="A69" s="40">
        <v>1003.1589</v>
      </c>
      <c r="B69" s="44">
        <v>48</v>
      </c>
      <c r="C69" s="45" t="s">
        <v>88</v>
      </c>
      <c r="D69" s="45" t="s">
        <v>18</v>
      </c>
      <c r="E69" s="45" t="s">
        <v>1782</v>
      </c>
      <c r="F69" s="46" t="s">
        <v>2548</v>
      </c>
      <c r="G69" s="44">
        <v>1</v>
      </c>
      <c r="H69" s="15">
        <v>20250731</v>
      </c>
    </row>
    <row r="70" spans="1:8">
      <c r="A70" s="40">
        <v>1003.1753</v>
      </c>
      <c r="B70" s="41">
        <v>49</v>
      </c>
      <c r="C70" s="42" t="s">
        <v>17</v>
      </c>
      <c r="D70" s="60" t="s">
        <v>18</v>
      </c>
      <c r="E70" s="49" t="s">
        <v>19</v>
      </c>
      <c r="F70" s="50" t="s">
        <v>2549</v>
      </c>
      <c r="G70" s="47">
        <v>1</v>
      </c>
      <c r="H70" s="15">
        <v>20250731</v>
      </c>
    </row>
    <row r="71" spans="1:8">
      <c r="A71" s="40">
        <v>1003.1813</v>
      </c>
      <c r="B71" s="41">
        <v>49</v>
      </c>
      <c r="C71" s="42" t="s">
        <v>8</v>
      </c>
      <c r="D71" s="49" t="s">
        <v>9</v>
      </c>
      <c r="E71" s="49" t="s">
        <v>2550</v>
      </c>
      <c r="F71" s="50" t="s">
        <v>2551</v>
      </c>
      <c r="G71" s="47">
        <v>1</v>
      </c>
      <c r="H71" s="15">
        <v>20250731</v>
      </c>
    </row>
    <row r="72" spans="1:8">
      <c r="A72" s="40">
        <v>1003.1834</v>
      </c>
      <c r="B72" s="41">
        <v>50</v>
      </c>
      <c r="C72" s="42" t="s">
        <v>8</v>
      </c>
      <c r="D72" s="49" t="s">
        <v>26</v>
      </c>
      <c r="E72" s="49" t="s">
        <v>41</v>
      </c>
      <c r="F72" s="50" t="s">
        <v>2552</v>
      </c>
      <c r="G72" s="47">
        <v>1</v>
      </c>
      <c r="H72" s="15">
        <v>20250731</v>
      </c>
    </row>
    <row r="73" spans="1:8">
      <c r="A73" s="40">
        <v>1003.1834</v>
      </c>
      <c r="B73" s="51">
        <v>50</v>
      </c>
      <c r="C73" s="52" t="s">
        <v>17</v>
      </c>
      <c r="D73" s="49" t="s">
        <v>177</v>
      </c>
      <c r="E73" s="53" t="s">
        <v>19</v>
      </c>
      <c r="F73" s="50" t="s">
        <v>1485</v>
      </c>
      <c r="G73" s="54">
        <v>1</v>
      </c>
      <c r="H73" s="15">
        <v>20250731</v>
      </c>
    </row>
    <row r="74" spans="1:8">
      <c r="A74" s="40">
        <v>1003.1958</v>
      </c>
      <c r="B74" s="41">
        <v>51</v>
      </c>
      <c r="C74" s="42" t="s">
        <v>8</v>
      </c>
      <c r="D74" s="49" t="s">
        <v>43</v>
      </c>
      <c r="E74" s="49" t="s">
        <v>41</v>
      </c>
      <c r="F74" s="50" t="s">
        <v>2553</v>
      </c>
      <c r="G74" s="47">
        <v>1</v>
      </c>
      <c r="H74" s="15">
        <v>20250731</v>
      </c>
    </row>
    <row r="75" customFormat="1" spans="1:8">
      <c r="A75" s="40">
        <v>1003.1978</v>
      </c>
      <c r="B75" s="51">
        <v>51</v>
      </c>
      <c r="C75" s="52" t="s">
        <v>8</v>
      </c>
      <c r="D75" s="49" t="s">
        <v>26</v>
      </c>
      <c r="E75" s="53" t="s">
        <v>15</v>
      </c>
      <c r="F75" s="50" t="s">
        <v>2554</v>
      </c>
      <c r="G75" s="54">
        <v>1</v>
      </c>
      <c r="H75" s="15">
        <v>20250731</v>
      </c>
    </row>
    <row r="76" spans="1:8">
      <c r="A76" s="40">
        <v>1003.2026</v>
      </c>
      <c r="B76" s="41">
        <v>52</v>
      </c>
      <c r="C76" s="42" t="s">
        <v>8</v>
      </c>
      <c r="D76" s="49" t="s">
        <v>49</v>
      </c>
      <c r="E76" s="49" t="s">
        <v>41</v>
      </c>
      <c r="F76" s="50" t="s">
        <v>2553</v>
      </c>
      <c r="G76" s="47">
        <v>1</v>
      </c>
      <c r="H76" s="15">
        <v>20250731</v>
      </c>
    </row>
    <row r="77" customFormat="1" spans="1:8">
      <c r="A77" s="40">
        <v>1003.1962</v>
      </c>
      <c r="B77" s="41">
        <v>52</v>
      </c>
      <c r="C77" s="42" t="s">
        <v>8</v>
      </c>
      <c r="D77" s="49" t="s">
        <v>43</v>
      </c>
      <c r="E77" s="49" t="s">
        <v>41</v>
      </c>
      <c r="F77" s="50" t="s">
        <v>2555</v>
      </c>
      <c r="G77" s="47">
        <v>1</v>
      </c>
      <c r="H77" s="15">
        <v>20250731</v>
      </c>
    </row>
    <row r="78" customFormat="1" spans="1:8">
      <c r="A78" s="40">
        <v>1003.2015</v>
      </c>
      <c r="B78" s="41">
        <v>53</v>
      </c>
      <c r="C78" s="42" t="s">
        <v>8</v>
      </c>
      <c r="D78" s="49" t="s">
        <v>43</v>
      </c>
      <c r="E78" s="49" t="s">
        <v>41</v>
      </c>
      <c r="F78" s="50" t="s">
        <v>2555</v>
      </c>
      <c r="G78" s="47">
        <v>1</v>
      </c>
      <c r="H78" s="15">
        <v>20250731</v>
      </c>
    </row>
    <row r="79" customFormat="1" spans="1:8">
      <c r="A79" s="40">
        <v>1003.2116</v>
      </c>
      <c r="B79" s="47">
        <v>54</v>
      </c>
      <c r="C79" s="48" t="s">
        <v>25</v>
      </c>
      <c r="D79" s="49" t="s">
        <v>9</v>
      </c>
      <c r="E79" s="49" t="s">
        <v>470</v>
      </c>
      <c r="F79" s="50" t="s">
        <v>2556</v>
      </c>
      <c r="G79" s="47">
        <v>1</v>
      </c>
      <c r="H79" s="15">
        <v>20250731</v>
      </c>
    </row>
    <row r="80" customFormat="1" spans="1:8">
      <c r="A80" s="40">
        <v>1003.2355</v>
      </c>
      <c r="B80" s="51">
        <v>56</v>
      </c>
      <c r="C80" s="52" t="s">
        <v>8</v>
      </c>
      <c r="D80" s="49" t="s">
        <v>26</v>
      </c>
      <c r="E80" s="53" t="s">
        <v>41</v>
      </c>
      <c r="F80" s="50" t="s">
        <v>2557</v>
      </c>
      <c r="G80" s="54">
        <v>1</v>
      </c>
      <c r="H80" s="15">
        <v>20250731</v>
      </c>
    </row>
    <row r="81" spans="1:8">
      <c r="A81" s="40">
        <v>1003.2417</v>
      </c>
      <c r="B81" s="41">
        <v>57</v>
      </c>
      <c r="C81" s="42" t="s">
        <v>8</v>
      </c>
      <c r="D81" s="49" t="s">
        <v>49</v>
      </c>
      <c r="E81" s="49" t="s">
        <v>33</v>
      </c>
      <c r="F81" s="50" t="s">
        <v>2547</v>
      </c>
      <c r="G81" s="47">
        <v>0</v>
      </c>
      <c r="H81" s="15">
        <v>20250731</v>
      </c>
    </row>
    <row r="82" ht="15.75" spans="1:8">
      <c r="A82" s="40">
        <v>1003.2417</v>
      </c>
      <c r="B82" s="55">
        <v>57</v>
      </c>
      <c r="C82" s="61" t="s">
        <v>25</v>
      </c>
      <c r="D82" s="57" t="s">
        <v>43</v>
      </c>
      <c r="E82" s="57" t="s">
        <v>470</v>
      </c>
      <c r="F82" s="58" t="s">
        <v>2558</v>
      </c>
      <c r="G82" s="41">
        <v>1</v>
      </c>
      <c r="H82" s="15">
        <v>20250731</v>
      </c>
    </row>
    <row r="83" spans="1:8">
      <c r="A83" s="40">
        <v>1003.2502</v>
      </c>
      <c r="B83" s="47">
        <v>58</v>
      </c>
      <c r="C83" s="48" t="s">
        <v>25</v>
      </c>
      <c r="D83" s="49" t="s">
        <v>43</v>
      </c>
      <c r="E83" s="49" t="s">
        <v>470</v>
      </c>
      <c r="F83" s="50" t="s">
        <v>2559</v>
      </c>
      <c r="G83" s="47">
        <v>1</v>
      </c>
      <c r="H83" s="15">
        <v>20250731</v>
      </c>
    </row>
    <row r="84" spans="1:8">
      <c r="A84" s="40">
        <v>1003.2502</v>
      </c>
      <c r="B84" s="47">
        <v>58</v>
      </c>
      <c r="C84" s="48" t="s">
        <v>25</v>
      </c>
      <c r="D84" s="49" t="s">
        <v>49</v>
      </c>
      <c r="E84" s="49" t="s">
        <v>470</v>
      </c>
      <c r="F84" s="50" t="s">
        <v>2560</v>
      </c>
      <c r="G84" s="47">
        <v>1</v>
      </c>
      <c r="H84" s="15">
        <v>20250731</v>
      </c>
    </row>
    <row r="85" customFormat="1" spans="1:8">
      <c r="A85" s="40">
        <v>1003.2512</v>
      </c>
      <c r="B85" s="55">
        <v>58</v>
      </c>
      <c r="C85" s="56" t="s">
        <v>8</v>
      </c>
      <c r="D85" s="57" t="s">
        <v>9</v>
      </c>
      <c r="E85" s="56" t="s">
        <v>33</v>
      </c>
      <c r="F85" s="58" t="s">
        <v>2561</v>
      </c>
      <c r="G85" s="41">
        <v>0</v>
      </c>
      <c r="H85" s="15">
        <v>20250731</v>
      </c>
    </row>
    <row r="86" customFormat="1" ht="28.5" spans="1:8">
      <c r="A86" s="40">
        <v>1003.2603</v>
      </c>
      <c r="B86" s="41">
        <v>59</v>
      </c>
      <c r="C86" s="45" t="s">
        <v>95</v>
      </c>
      <c r="D86" s="45" t="s">
        <v>95</v>
      </c>
      <c r="E86" s="45" t="s">
        <v>97</v>
      </c>
      <c r="F86" s="46" t="s">
        <v>2562</v>
      </c>
      <c r="G86" s="44">
        <v>2</v>
      </c>
      <c r="H86" s="15">
        <v>20250731</v>
      </c>
    </row>
    <row r="87" customFormat="1" spans="1:8">
      <c r="A87" s="40">
        <v>1003.2775</v>
      </c>
      <c r="B87" s="51">
        <v>60</v>
      </c>
      <c r="C87" s="52" t="s">
        <v>8</v>
      </c>
      <c r="D87" s="49" t="s">
        <v>26</v>
      </c>
      <c r="E87" s="53" t="s">
        <v>41</v>
      </c>
      <c r="F87" s="50" t="s">
        <v>2563</v>
      </c>
      <c r="G87" s="54">
        <v>1</v>
      </c>
      <c r="H87" s="15">
        <v>20250731</v>
      </c>
    </row>
    <row r="88" spans="1:8">
      <c r="A88" s="40">
        <v>1003.2705</v>
      </c>
      <c r="B88" s="55">
        <v>60</v>
      </c>
      <c r="C88" s="56" t="s">
        <v>8</v>
      </c>
      <c r="D88" s="57" t="s">
        <v>9</v>
      </c>
      <c r="E88" s="56" t="s">
        <v>33</v>
      </c>
      <c r="F88" s="58" t="s">
        <v>2564</v>
      </c>
      <c r="G88" s="41">
        <v>0</v>
      </c>
      <c r="H88" s="15">
        <v>20250731</v>
      </c>
    </row>
    <row r="89" spans="1:8">
      <c r="A89" s="40">
        <v>1003.2807</v>
      </c>
      <c r="B89" s="41">
        <v>61</v>
      </c>
      <c r="C89" s="42" t="s">
        <v>8</v>
      </c>
      <c r="D89" s="49" t="s">
        <v>26</v>
      </c>
      <c r="E89" s="49" t="s">
        <v>41</v>
      </c>
      <c r="F89" s="50" t="s">
        <v>1536</v>
      </c>
      <c r="G89" s="47">
        <v>1</v>
      </c>
      <c r="H89" s="15">
        <v>20250731</v>
      </c>
    </row>
    <row r="90" customFormat="1" spans="1:8">
      <c r="A90" s="40">
        <v>1003.2807</v>
      </c>
      <c r="B90" s="41">
        <v>61</v>
      </c>
      <c r="C90" s="42" t="s">
        <v>8</v>
      </c>
      <c r="D90" s="49" t="s">
        <v>43</v>
      </c>
      <c r="E90" s="49" t="s">
        <v>33</v>
      </c>
      <c r="F90" s="50" t="s">
        <v>2565</v>
      </c>
      <c r="G90" s="47">
        <v>1</v>
      </c>
      <c r="H90" s="15">
        <v>20250731</v>
      </c>
    </row>
    <row r="91" customFormat="1" ht="15.75" spans="1:8">
      <c r="A91" s="40">
        <v>1003.2807</v>
      </c>
      <c r="B91" s="55">
        <v>61</v>
      </c>
      <c r="C91" s="59" t="s">
        <v>8</v>
      </c>
      <c r="D91" s="57" t="s">
        <v>43</v>
      </c>
      <c r="E91" s="57" t="s">
        <v>470</v>
      </c>
      <c r="F91" s="58" t="s">
        <v>2566</v>
      </c>
      <c r="G91" s="41">
        <v>1</v>
      </c>
      <c r="H91" s="15">
        <v>20250731</v>
      </c>
    </row>
    <row r="92" customFormat="1" spans="1:8">
      <c r="A92" s="40">
        <v>1003.2908</v>
      </c>
      <c r="B92" s="41">
        <v>62</v>
      </c>
      <c r="C92" s="42" t="s">
        <v>8</v>
      </c>
      <c r="D92" s="49" t="s">
        <v>43</v>
      </c>
      <c r="E92" s="49" t="s">
        <v>33</v>
      </c>
      <c r="F92" s="50" t="s">
        <v>2565</v>
      </c>
      <c r="G92" s="47">
        <v>1</v>
      </c>
      <c r="H92" s="15">
        <v>20250731</v>
      </c>
    </row>
    <row r="93" customFormat="1" spans="1:8">
      <c r="A93" s="40">
        <v>1003.2908</v>
      </c>
      <c r="B93" s="47">
        <v>62</v>
      </c>
      <c r="C93" s="48" t="s">
        <v>25</v>
      </c>
      <c r="D93" s="49" t="s">
        <v>43</v>
      </c>
      <c r="E93" s="49" t="s">
        <v>470</v>
      </c>
      <c r="F93" s="50" t="s">
        <v>2567</v>
      </c>
      <c r="G93" s="47">
        <v>1</v>
      </c>
      <c r="H93" s="15">
        <v>20250731</v>
      </c>
    </row>
    <row r="94" spans="1:8">
      <c r="A94" s="40">
        <v>1003.2908</v>
      </c>
      <c r="B94" s="51">
        <v>62</v>
      </c>
      <c r="C94" s="52" t="s">
        <v>25</v>
      </c>
      <c r="D94" s="49" t="s">
        <v>9</v>
      </c>
      <c r="E94" s="53" t="s">
        <v>470</v>
      </c>
      <c r="F94" s="50" t="s">
        <v>2568</v>
      </c>
      <c r="G94" s="47">
        <v>1</v>
      </c>
      <c r="H94" s="15">
        <v>20250731</v>
      </c>
    </row>
    <row r="95" customFormat="1" spans="1:8">
      <c r="A95" s="40">
        <v>1003.2908</v>
      </c>
      <c r="B95" s="51">
        <v>62</v>
      </c>
      <c r="C95" s="52" t="s">
        <v>25</v>
      </c>
      <c r="D95" s="49" t="s">
        <v>49</v>
      </c>
      <c r="E95" s="53" t="s">
        <v>470</v>
      </c>
      <c r="F95" s="50" t="s">
        <v>2569</v>
      </c>
      <c r="G95" s="47">
        <v>1</v>
      </c>
      <c r="H95" s="15">
        <v>20250731</v>
      </c>
    </row>
    <row r="96" customFormat="1" spans="1:8">
      <c r="A96" s="40">
        <v>1003.2918</v>
      </c>
      <c r="B96" s="51">
        <v>62</v>
      </c>
      <c r="C96" s="52" t="s">
        <v>8</v>
      </c>
      <c r="D96" s="49" t="s">
        <v>26</v>
      </c>
      <c r="E96" s="53" t="s">
        <v>41</v>
      </c>
      <c r="F96" s="50" t="s">
        <v>2570</v>
      </c>
      <c r="G96" s="54">
        <v>1</v>
      </c>
      <c r="H96" s="15">
        <v>20250731</v>
      </c>
    </row>
    <row r="97" customFormat="1" spans="1:8">
      <c r="A97" s="40">
        <v>1003.301</v>
      </c>
      <c r="B97" s="41">
        <v>63</v>
      </c>
      <c r="C97" s="42" t="s">
        <v>8</v>
      </c>
      <c r="D97" s="49" t="s">
        <v>26</v>
      </c>
      <c r="E97" s="49" t="s">
        <v>41</v>
      </c>
      <c r="F97" s="50" t="s">
        <v>2571</v>
      </c>
      <c r="G97" s="47">
        <v>1</v>
      </c>
      <c r="H97" s="15">
        <v>20250731</v>
      </c>
    </row>
    <row r="98" customFormat="1" spans="1:8">
      <c r="A98" s="40">
        <v>1003.301</v>
      </c>
      <c r="B98" s="41">
        <v>63</v>
      </c>
      <c r="C98" s="42" t="s">
        <v>8</v>
      </c>
      <c r="D98" s="49" t="s">
        <v>9</v>
      </c>
      <c r="E98" s="49" t="s">
        <v>33</v>
      </c>
      <c r="F98" s="50" t="s">
        <v>2572</v>
      </c>
      <c r="G98" s="47">
        <v>0</v>
      </c>
      <c r="H98" s="15">
        <v>20250731</v>
      </c>
    </row>
    <row r="99" customFormat="1" spans="1:8">
      <c r="A99" s="40">
        <v>1003.305</v>
      </c>
      <c r="B99" s="47">
        <v>63</v>
      </c>
      <c r="C99" s="48" t="s">
        <v>25</v>
      </c>
      <c r="D99" s="49" t="s">
        <v>9</v>
      </c>
      <c r="E99" s="49" t="s">
        <v>470</v>
      </c>
      <c r="F99" s="50" t="s">
        <v>2573</v>
      </c>
      <c r="G99" s="47">
        <v>1</v>
      </c>
      <c r="H99" s="15">
        <v>20250731</v>
      </c>
    </row>
    <row r="100" customFormat="1" spans="1:8">
      <c r="A100" s="40">
        <v>1003.301</v>
      </c>
      <c r="B100" s="47">
        <v>63</v>
      </c>
      <c r="C100" s="48" t="s">
        <v>25</v>
      </c>
      <c r="D100" s="49" t="s">
        <v>43</v>
      </c>
      <c r="E100" s="49" t="s">
        <v>470</v>
      </c>
      <c r="F100" s="50" t="s">
        <v>2574</v>
      </c>
      <c r="G100" s="47">
        <v>1</v>
      </c>
      <c r="H100" s="15">
        <v>20250731</v>
      </c>
    </row>
    <row r="101" spans="1:8">
      <c r="A101" s="40">
        <v>1003.301</v>
      </c>
      <c r="B101" s="47">
        <v>63</v>
      </c>
      <c r="C101" s="48" t="s">
        <v>25</v>
      </c>
      <c r="D101" s="49" t="s">
        <v>49</v>
      </c>
      <c r="E101" s="49" t="s">
        <v>470</v>
      </c>
      <c r="F101" s="50" t="s">
        <v>2575</v>
      </c>
      <c r="G101" s="47">
        <v>1</v>
      </c>
      <c r="H101" s="15">
        <v>20250731</v>
      </c>
    </row>
    <row r="102" customFormat="1" spans="1:8">
      <c r="A102" s="40">
        <v>1003.3167</v>
      </c>
      <c r="B102" s="41">
        <v>64</v>
      </c>
      <c r="C102" s="42" t="s">
        <v>8</v>
      </c>
      <c r="D102" s="49" t="s">
        <v>40</v>
      </c>
      <c r="E102" s="49" t="s">
        <v>15</v>
      </c>
      <c r="F102" s="50" t="s">
        <v>2576</v>
      </c>
      <c r="G102" s="47">
        <v>1</v>
      </c>
      <c r="H102" s="15">
        <v>20250731</v>
      </c>
    </row>
    <row r="103" spans="1:8">
      <c r="A103" s="40">
        <v>1003.3208</v>
      </c>
      <c r="B103" s="41">
        <v>65</v>
      </c>
      <c r="C103" s="42" t="s">
        <v>8</v>
      </c>
      <c r="D103" s="49" t="s">
        <v>9</v>
      </c>
      <c r="E103" s="49" t="s">
        <v>33</v>
      </c>
      <c r="F103" s="50" t="s">
        <v>2577</v>
      </c>
      <c r="G103" s="47">
        <v>0</v>
      </c>
      <c r="H103" s="15">
        <v>20250731</v>
      </c>
    </row>
    <row r="104" customFormat="1" spans="1:8">
      <c r="A104" s="40">
        <v>1003.3168</v>
      </c>
      <c r="B104" s="51">
        <v>65</v>
      </c>
      <c r="C104" s="52" t="s">
        <v>17</v>
      </c>
      <c r="D104" s="49" t="s">
        <v>177</v>
      </c>
      <c r="E104" s="53" t="s">
        <v>19</v>
      </c>
      <c r="F104" s="50" t="s">
        <v>1485</v>
      </c>
      <c r="G104" s="54">
        <v>1</v>
      </c>
      <c r="H104" s="15">
        <v>20250731</v>
      </c>
    </row>
    <row r="105" customFormat="1" spans="1:8">
      <c r="A105" s="40">
        <v>1003.3168</v>
      </c>
      <c r="B105" s="51">
        <v>65</v>
      </c>
      <c r="C105" s="52" t="s">
        <v>25</v>
      </c>
      <c r="D105" s="49" t="s">
        <v>49</v>
      </c>
      <c r="E105" s="53" t="s">
        <v>470</v>
      </c>
      <c r="F105" s="50" t="s">
        <v>2578</v>
      </c>
      <c r="G105" s="47">
        <v>1</v>
      </c>
      <c r="H105" s="15">
        <v>20250731</v>
      </c>
    </row>
    <row r="106" customFormat="1" spans="1:8">
      <c r="A106" s="40">
        <v>1003.3268</v>
      </c>
      <c r="B106" s="47">
        <v>66</v>
      </c>
      <c r="C106" s="48" t="s">
        <v>25</v>
      </c>
      <c r="D106" s="49" t="s">
        <v>49</v>
      </c>
      <c r="E106" s="49" t="s">
        <v>470</v>
      </c>
      <c r="F106" s="50" t="s">
        <v>2579</v>
      </c>
      <c r="G106" s="47">
        <v>1</v>
      </c>
      <c r="H106" s="15">
        <v>20250731</v>
      </c>
    </row>
    <row r="107" spans="1:8">
      <c r="A107" s="40">
        <v>1003.3366</v>
      </c>
      <c r="B107" s="47">
        <v>67</v>
      </c>
      <c r="C107" s="48" t="s">
        <v>25</v>
      </c>
      <c r="D107" s="49" t="s">
        <v>49</v>
      </c>
      <c r="E107" s="49" t="s">
        <v>470</v>
      </c>
      <c r="F107" s="50" t="s">
        <v>2580</v>
      </c>
      <c r="G107" s="47">
        <v>1</v>
      </c>
      <c r="H107" s="15">
        <v>20250731</v>
      </c>
    </row>
    <row r="108" customFormat="1" spans="1:8">
      <c r="A108" s="40">
        <v>1003.367</v>
      </c>
      <c r="B108" s="41">
        <v>70</v>
      </c>
      <c r="C108" s="42" t="s">
        <v>8</v>
      </c>
      <c r="D108" s="49" t="s">
        <v>43</v>
      </c>
      <c r="E108" s="49" t="s">
        <v>33</v>
      </c>
      <c r="F108" s="50" t="s">
        <v>2581</v>
      </c>
      <c r="G108" s="47">
        <v>0</v>
      </c>
      <c r="H108" s="15">
        <v>20250731</v>
      </c>
    </row>
    <row r="109" customFormat="1" spans="1:8">
      <c r="A109" s="40">
        <v>1003.377</v>
      </c>
      <c r="B109" s="41">
        <v>71</v>
      </c>
      <c r="C109" s="42" t="s">
        <v>8</v>
      </c>
      <c r="D109" s="49" t="s">
        <v>43</v>
      </c>
      <c r="E109" s="49" t="s">
        <v>33</v>
      </c>
      <c r="F109" s="50" t="s">
        <v>2582</v>
      </c>
      <c r="G109" s="47">
        <v>1</v>
      </c>
      <c r="H109" s="15">
        <v>20250731</v>
      </c>
    </row>
    <row r="110" customFormat="1" spans="1:8">
      <c r="A110" s="40">
        <v>1003.377</v>
      </c>
      <c r="B110" s="51">
        <v>71</v>
      </c>
      <c r="C110" s="52" t="s">
        <v>25</v>
      </c>
      <c r="D110" s="49" t="s">
        <v>43</v>
      </c>
      <c r="E110" s="53" t="s">
        <v>470</v>
      </c>
      <c r="F110" s="50" t="s">
        <v>2583</v>
      </c>
      <c r="G110" s="47">
        <v>1</v>
      </c>
      <c r="H110" s="15">
        <v>20250731</v>
      </c>
    </row>
    <row r="111" spans="1:8">
      <c r="A111" s="40">
        <v>1003.3982</v>
      </c>
      <c r="B111" s="41">
        <v>73</v>
      </c>
      <c r="C111" s="42" t="s">
        <v>8</v>
      </c>
      <c r="D111" s="49" t="s">
        <v>9</v>
      </c>
      <c r="E111" s="49" t="s">
        <v>33</v>
      </c>
      <c r="F111" s="50" t="s">
        <v>2584</v>
      </c>
      <c r="G111" s="47">
        <v>0</v>
      </c>
      <c r="H111" s="15">
        <v>20250731</v>
      </c>
    </row>
    <row r="112" customFormat="1" spans="1:8">
      <c r="A112" s="40">
        <v>1003.4002</v>
      </c>
      <c r="B112" s="51">
        <v>73</v>
      </c>
      <c r="C112" s="52" t="s">
        <v>17</v>
      </c>
      <c r="D112" s="49" t="s">
        <v>177</v>
      </c>
      <c r="E112" s="53" t="s">
        <v>19</v>
      </c>
      <c r="F112" s="50" t="s">
        <v>2585</v>
      </c>
      <c r="G112" s="54">
        <v>1</v>
      </c>
      <c r="H112" s="15">
        <v>20250731</v>
      </c>
    </row>
    <row r="113" customFormat="1" spans="1:8">
      <c r="A113" s="40">
        <v>1003.3992</v>
      </c>
      <c r="B113" s="51">
        <v>73</v>
      </c>
      <c r="C113" s="52" t="s">
        <v>25</v>
      </c>
      <c r="D113" s="49" t="s">
        <v>26</v>
      </c>
      <c r="E113" s="53" t="s">
        <v>1540</v>
      </c>
      <c r="F113" s="50" t="s">
        <v>2586</v>
      </c>
      <c r="G113" s="54">
        <v>1</v>
      </c>
      <c r="H113" s="15">
        <v>20250731</v>
      </c>
    </row>
    <row r="114" customFormat="1" spans="1:8">
      <c r="A114" s="40">
        <v>1003.4072</v>
      </c>
      <c r="B114" s="41">
        <v>74</v>
      </c>
      <c r="C114" s="42" t="s">
        <v>8</v>
      </c>
      <c r="D114" s="49" t="s">
        <v>9</v>
      </c>
      <c r="E114" s="49" t="s">
        <v>33</v>
      </c>
      <c r="F114" s="50" t="s">
        <v>2587</v>
      </c>
      <c r="G114" s="47">
        <v>0</v>
      </c>
      <c r="H114" s="15">
        <v>20250731</v>
      </c>
    </row>
    <row r="115" customFormat="1" spans="1:8">
      <c r="A115" s="40">
        <v>1003.4075</v>
      </c>
      <c r="B115" s="41">
        <v>74</v>
      </c>
      <c r="C115" s="42" t="s">
        <v>8</v>
      </c>
      <c r="D115" s="49" t="s">
        <v>9</v>
      </c>
      <c r="E115" s="49" t="s">
        <v>15</v>
      </c>
      <c r="F115" s="50" t="s">
        <v>2588</v>
      </c>
      <c r="G115" s="47">
        <v>1</v>
      </c>
      <c r="H115" s="15">
        <v>20250731</v>
      </c>
    </row>
    <row r="116" ht="28.5" spans="1:8">
      <c r="A116" s="40">
        <v>1003.4072</v>
      </c>
      <c r="B116" s="41">
        <v>74</v>
      </c>
      <c r="C116" s="45" t="s">
        <v>95</v>
      </c>
      <c r="D116" s="45" t="s">
        <v>95</v>
      </c>
      <c r="E116" s="45" t="s">
        <v>97</v>
      </c>
      <c r="F116" s="46" t="s">
        <v>2562</v>
      </c>
      <c r="G116" s="44">
        <v>2</v>
      </c>
      <c r="H116" s="15">
        <v>20250731</v>
      </c>
    </row>
    <row r="117" customFormat="1" spans="1:8">
      <c r="A117" s="40">
        <v>1003.4082</v>
      </c>
      <c r="B117" s="51">
        <v>74</v>
      </c>
      <c r="C117" s="52" t="s">
        <v>17</v>
      </c>
      <c r="D117" s="49" t="s">
        <v>177</v>
      </c>
      <c r="E117" s="53" t="s">
        <v>19</v>
      </c>
      <c r="F117" s="50" t="s">
        <v>2589</v>
      </c>
      <c r="G117" s="54">
        <v>1</v>
      </c>
      <c r="H117" s="15">
        <v>20250731</v>
      </c>
    </row>
    <row r="118" customFormat="1" spans="1:8">
      <c r="A118" s="40">
        <v>1003.4142</v>
      </c>
      <c r="B118" s="51">
        <v>74</v>
      </c>
      <c r="C118" s="52" t="s">
        <v>17</v>
      </c>
      <c r="D118" s="49" t="s">
        <v>177</v>
      </c>
      <c r="E118" s="53" t="s">
        <v>19</v>
      </c>
      <c r="F118" s="50" t="s">
        <v>2590</v>
      </c>
      <c r="G118" s="54">
        <v>1</v>
      </c>
      <c r="H118" s="15">
        <v>20250731</v>
      </c>
    </row>
    <row r="119" customFormat="1" spans="1:8">
      <c r="A119" s="40">
        <v>1003.4422</v>
      </c>
      <c r="B119" s="41">
        <v>77</v>
      </c>
      <c r="C119" s="42" t="s">
        <v>8</v>
      </c>
      <c r="D119" s="49" t="s">
        <v>40</v>
      </c>
      <c r="E119" s="49" t="s">
        <v>41</v>
      </c>
      <c r="F119" s="50" t="s">
        <v>2591</v>
      </c>
      <c r="G119" s="47">
        <v>1</v>
      </c>
      <c r="H119" s="15">
        <v>20250731</v>
      </c>
    </row>
    <row r="120" customFormat="1" spans="1:8">
      <c r="A120" s="40">
        <v>1003.4572</v>
      </c>
      <c r="B120" s="41">
        <v>79</v>
      </c>
      <c r="C120" s="42" t="s">
        <v>8</v>
      </c>
      <c r="D120" s="49" t="s">
        <v>9</v>
      </c>
      <c r="E120" s="49" t="s">
        <v>33</v>
      </c>
      <c r="F120" s="50" t="s">
        <v>2592</v>
      </c>
      <c r="G120" s="47">
        <v>0</v>
      </c>
      <c r="H120" s="15">
        <v>20250731</v>
      </c>
    </row>
    <row r="121" spans="1:8">
      <c r="A121" s="40">
        <v>1003.4592</v>
      </c>
      <c r="B121" s="51">
        <v>79</v>
      </c>
      <c r="C121" s="52" t="s">
        <v>17</v>
      </c>
      <c r="D121" s="49" t="s">
        <v>177</v>
      </c>
      <c r="E121" s="53" t="s">
        <v>19</v>
      </c>
      <c r="F121" s="50" t="s">
        <v>2593</v>
      </c>
      <c r="G121" s="54">
        <v>1</v>
      </c>
      <c r="H121" s="15">
        <v>20250731</v>
      </c>
    </row>
    <row r="122" customFormat="1" spans="1:8">
      <c r="A122" s="40">
        <v>1003.4632</v>
      </c>
      <c r="B122" s="51">
        <v>79</v>
      </c>
      <c r="C122" s="52" t="s">
        <v>17</v>
      </c>
      <c r="D122" s="49" t="s">
        <v>177</v>
      </c>
      <c r="E122" s="53" t="s">
        <v>19</v>
      </c>
      <c r="F122" s="50" t="s">
        <v>1575</v>
      </c>
      <c r="G122" s="54">
        <v>1</v>
      </c>
      <c r="H122" s="15">
        <v>20250731</v>
      </c>
    </row>
    <row r="123" customFormat="1" spans="1:8">
      <c r="A123" s="40">
        <v>1003.4753</v>
      </c>
      <c r="B123" s="51">
        <v>80</v>
      </c>
      <c r="C123" s="52" t="s">
        <v>25</v>
      </c>
      <c r="D123" s="49" t="s">
        <v>9</v>
      </c>
      <c r="E123" s="53" t="s">
        <v>470</v>
      </c>
      <c r="F123" s="50" t="s">
        <v>2594</v>
      </c>
      <c r="G123" s="47">
        <v>1</v>
      </c>
      <c r="H123" s="15">
        <v>20250731</v>
      </c>
    </row>
    <row r="124" customFormat="1" spans="1:8">
      <c r="A124" s="40">
        <v>1003.4777</v>
      </c>
      <c r="B124" s="41">
        <v>81</v>
      </c>
      <c r="C124" s="42" t="s">
        <v>8</v>
      </c>
      <c r="D124" s="49" t="s">
        <v>49</v>
      </c>
      <c r="E124" s="49" t="s">
        <v>15</v>
      </c>
      <c r="F124" s="50" t="s">
        <v>2595</v>
      </c>
      <c r="G124" s="41">
        <v>1</v>
      </c>
      <c r="H124" s="15">
        <v>20250731</v>
      </c>
    </row>
    <row r="125" customFormat="1" spans="1:8">
      <c r="A125" s="40">
        <v>1003.4775</v>
      </c>
      <c r="B125" s="51">
        <v>81</v>
      </c>
      <c r="C125" s="52" t="s">
        <v>25</v>
      </c>
      <c r="D125" s="49" t="s">
        <v>43</v>
      </c>
      <c r="E125" s="53" t="s">
        <v>470</v>
      </c>
      <c r="F125" s="50" t="s">
        <v>2596</v>
      </c>
      <c r="G125" s="47">
        <v>1</v>
      </c>
      <c r="H125" s="15">
        <v>20250731</v>
      </c>
    </row>
    <row r="126" spans="1:8">
      <c r="A126" s="40">
        <v>1003.4775</v>
      </c>
      <c r="B126" s="51">
        <v>81</v>
      </c>
      <c r="C126" s="52" t="s">
        <v>25</v>
      </c>
      <c r="D126" s="49" t="s">
        <v>26</v>
      </c>
      <c r="E126" s="53" t="s">
        <v>2597</v>
      </c>
      <c r="F126" s="50" t="s">
        <v>2598</v>
      </c>
      <c r="G126" s="54">
        <v>1</v>
      </c>
      <c r="H126" s="15">
        <v>20250731</v>
      </c>
    </row>
    <row r="127" customFormat="1" spans="1:8">
      <c r="A127" s="40">
        <v>1003.4876</v>
      </c>
      <c r="B127" s="47">
        <v>82</v>
      </c>
      <c r="C127" s="48" t="s">
        <v>25</v>
      </c>
      <c r="D127" s="49" t="s">
        <v>49</v>
      </c>
      <c r="E127" s="49" t="s">
        <v>470</v>
      </c>
      <c r="F127" s="50" t="s">
        <v>2599</v>
      </c>
      <c r="G127" s="47">
        <v>1</v>
      </c>
      <c r="H127" s="15">
        <v>20250731</v>
      </c>
    </row>
    <row r="128" customFormat="1" spans="1:8">
      <c r="A128" s="40">
        <v>1003.4876</v>
      </c>
      <c r="B128" s="55">
        <v>82</v>
      </c>
      <c r="C128" s="59" t="s">
        <v>8</v>
      </c>
      <c r="D128" s="57" t="s">
        <v>40</v>
      </c>
      <c r="E128" s="57" t="s">
        <v>232</v>
      </c>
      <c r="F128" s="58" t="s">
        <v>2600</v>
      </c>
      <c r="G128" s="41">
        <v>1</v>
      </c>
      <c r="H128" s="15">
        <v>20250731</v>
      </c>
    </row>
    <row r="129" customFormat="1" spans="1:8">
      <c r="A129" s="40">
        <v>1003.4986</v>
      </c>
      <c r="B129" s="51">
        <v>83</v>
      </c>
      <c r="C129" s="52" t="s">
        <v>17</v>
      </c>
      <c r="D129" s="49" t="s">
        <v>177</v>
      </c>
      <c r="E129" s="53" t="s">
        <v>19</v>
      </c>
      <c r="F129" s="50" t="s">
        <v>2589</v>
      </c>
      <c r="G129" s="54">
        <v>1</v>
      </c>
      <c r="H129" s="15">
        <v>20250731</v>
      </c>
    </row>
    <row r="130" spans="1:8">
      <c r="A130" s="40">
        <v>1003.5077</v>
      </c>
      <c r="B130" s="41">
        <v>84</v>
      </c>
      <c r="C130" s="42" t="s">
        <v>8</v>
      </c>
      <c r="D130" s="49" t="s">
        <v>26</v>
      </c>
      <c r="E130" s="49" t="s">
        <v>41</v>
      </c>
      <c r="F130" s="50" t="s">
        <v>1536</v>
      </c>
      <c r="G130" s="47">
        <v>1</v>
      </c>
      <c r="H130" s="15">
        <v>20250731</v>
      </c>
    </row>
    <row r="131" customFormat="1" spans="1:8">
      <c r="A131" s="40">
        <v>1003.5077</v>
      </c>
      <c r="B131" s="47">
        <v>84</v>
      </c>
      <c r="C131" s="48" t="s">
        <v>25</v>
      </c>
      <c r="D131" s="49" t="s">
        <v>49</v>
      </c>
      <c r="E131" s="49" t="s">
        <v>470</v>
      </c>
      <c r="F131" s="50" t="s">
        <v>2601</v>
      </c>
      <c r="G131" s="47">
        <v>1</v>
      </c>
      <c r="H131" s="15">
        <v>20250731</v>
      </c>
    </row>
    <row r="132" customFormat="1" spans="1:8">
      <c r="A132" s="40">
        <v>1003.5177</v>
      </c>
      <c r="B132" s="47">
        <v>84</v>
      </c>
      <c r="C132" s="48" t="s">
        <v>25</v>
      </c>
      <c r="D132" s="49" t="s">
        <v>43</v>
      </c>
      <c r="E132" s="49" t="s">
        <v>470</v>
      </c>
      <c r="F132" s="50" t="s">
        <v>2602</v>
      </c>
      <c r="G132" s="47">
        <v>1</v>
      </c>
      <c r="H132" s="15">
        <v>20250731</v>
      </c>
    </row>
    <row r="133" spans="1:8">
      <c r="A133" s="40">
        <v>1003.5127</v>
      </c>
      <c r="B133" s="51">
        <v>84</v>
      </c>
      <c r="C133" s="52" t="s">
        <v>17</v>
      </c>
      <c r="D133" s="49" t="s">
        <v>177</v>
      </c>
      <c r="E133" s="53" t="s">
        <v>19</v>
      </c>
      <c r="F133" s="50" t="s">
        <v>2603</v>
      </c>
      <c r="G133" s="54">
        <v>1</v>
      </c>
      <c r="H133" s="15">
        <v>20250731</v>
      </c>
    </row>
    <row r="134" spans="1:8">
      <c r="A134" s="40">
        <v>1003.5177</v>
      </c>
      <c r="B134" s="51">
        <v>85</v>
      </c>
      <c r="C134" s="52" t="s">
        <v>25</v>
      </c>
      <c r="D134" s="49" t="s">
        <v>49</v>
      </c>
      <c r="E134" s="53" t="s">
        <v>470</v>
      </c>
      <c r="F134" s="50" t="s">
        <v>2604</v>
      </c>
      <c r="G134" s="47">
        <v>1</v>
      </c>
      <c r="H134" s="15">
        <v>20250731</v>
      </c>
    </row>
    <row r="135" customFormat="1" spans="1:8">
      <c r="A135" s="40">
        <v>1003.5279</v>
      </c>
      <c r="B135" s="41">
        <v>86</v>
      </c>
      <c r="C135" s="42" t="s">
        <v>8</v>
      </c>
      <c r="D135" s="49" t="s">
        <v>40</v>
      </c>
      <c r="E135" s="49" t="s">
        <v>41</v>
      </c>
      <c r="F135" s="50" t="s">
        <v>2571</v>
      </c>
      <c r="G135" s="47">
        <v>1</v>
      </c>
      <c r="H135" s="15">
        <v>20250731</v>
      </c>
    </row>
    <row r="136" customFormat="1" spans="1:8">
      <c r="A136" s="40">
        <v>1003.5339</v>
      </c>
      <c r="B136" s="44">
        <v>86</v>
      </c>
      <c r="C136" s="45" t="s">
        <v>17</v>
      </c>
      <c r="D136" s="45" t="s">
        <v>18</v>
      </c>
      <c r="E136" s="45" t="s">
        <v>19</v>
      </c>
      <c r="F136" s="62" t="s">
        <v>2605</v>
      </c>
      <c r="G136" s="44">
        <v>1</v>
      </c>
      <c r="H136" s="15">
        <v>20250731</v>
      </c>
    </row>
    <row r="137" customFormat="1" spans="1:8">
      <c r="A137" s="40">
        <v>1003.5279</v>
      </c>
      <c r="B137" s="47">
        <v>86</v>
      </c>
      <c r="C137" s="48" t="s">
        <v>25</v>
      </c>
      <c r="D137" s="49" t="s">
        <v>49</v>
      </c>
      <c r="E137" s="49" t="s">
        <v>470</v>
      </c>
      <c r="F137" s="50" t="s">
        <v>2606</v>
      </c>
      <c r="G137" s="47">
        <v>1</v>
      </c>
      <c r="H137" s="15">
        <v>20250731</v>
      </c>
    </row>
    <row r="138" customFormat="1" spans="1:8">
      <c r="A138" s="40">
        <v>1003.5437</v>
      </c>
      <c r="B138" s="44">
        <v>87</v>
      </c>
      <c r="C138" s="45" t="s">
        <v>17</v>
      </c>
      <c r="D138" s="45" t="s">
        <v>18</v>
      </c>
      <c r="E138" s="45" t="s">
        <v>19</v>
      </c>
      <c r="F138" s="62" t="s">
        <v>2607</v>
      </c>
      <c r="G138" s="44">
        <v>1</v>
      </c>
      <c r="H138" s="15">
        <v>20250731</v>
      </c>
    </row>
    <row r="139" customFormat="1" spans="1:8">
      <c r="A139" s="40">
        <v>1003.5547</v>
      </c>
      <c r="B139" s="41">
        <v>89</v>
      </c>
      <c r="C139" s="42" t="s">
        <v>8</v>
      </c>
      <c r="D139" s="49" t="s">
        <v>9</v>
      </c>
      <c r="E139" s="49" t="s">
        <v>33</v>
      </c>
      <c r="F139" s="50" t="s">
        <v>2608</v>
      </c>
      <c r="G139" s="47">
        <v>1</v>
      </c>
      <c r="H139" s="15">
        <v>20250731</v>
      </c>
    </row>
    <row r="140" customFormat="1" ht="28.5" spans="1:8">
      <c r="A140" s="40">
        <v>1003.5547</v>
      </c>
      <c r="B140" s="41">
        <v>89</v>
      </c>
      <c r="C140" s="45" t="s">
        <v>95</v>
      </c>
      <c r="D140" s="45" t="s">
        <v>95</v>
      </c>
      <c r="E140" s="45" t="s">
        <v>97</v>
      </c>
      <c r="F140" s="46" t="s">
        <v>2562</v>
      </c>
      <c r="G140" s="44">
        <v>2</v>
      </c>
      <c r="H140" s="15">
        <v>20250731</v>
      </c>
    </row>
    <row r="141" customFormat="1" spans="1:8">
      <c r="A141" s="40">
        <v>1003.5597</v>
      </c>
      <c r="B141" s="51">
        <v>89</v>
      </c>
      <c r="C141" s="52" t="s">
        <v>17</v>
      </c>
      <c r="D141" s="49" t="s">
        <v>177</v>
      </c>
      <c r="E141" s="53" t="s">
        <v>19</v>
      </c>
      <c r="F141" s="50" t="s">
        <v>2609</v>
      </c>
      <c r="G141" s="54">
        <v>1</v>
      </c>
      <c r="H141" s="15">
        <v>20250731</v>
      </c>
    </row>
    <row r="142" customFormat="1" spans="1:8">
      <c r="A142" s="40">
        <v>1003.5677</v>
      </c>
      <c r="B142" s="41">
        <v>90</v>
      </c>
      <c r="C142" s="42" t="s">
        <v>8</v>
      </c>
      <c r="D142" s="49" t="s">
        <v>9</v>
      </c>
      <c r="E142" s="49" t="s">
        <v>33</v>
      </c>
      <c r="F142" s="50" t="s">
        <v>2610</v>
      </c>
      <c r="G142" s="47">
        <v>1</v>
      </c>
      <c r="H142" s="15">
        <v>20250731</v>
      </c>
    </row>
    <row r="143" customFormat="1" spans="1:8">
      <c r="A143" s="40">
        <v>1003.6145</v>
      </c>
      <c r="B143" s="41">
        <v>95</v>
      </c>
      <c r="C143" s="42" t="s">
        <v>8</v>
      </c>
      <c r="D143" s="49" t="s">
        <v>26</v>
      </c>
      <c r="E143" s="49" t="s">
        <v>41</v>
      </c>
      <c r="F143" s="50" t="s">
        <v>2611</v>
      </c>
      <c r="G143" s="47">
        <v>1</v>
      </c>
      <c r="H143" s="15">
        <v>20250731</v>
      </c>
    </row>
    <row r="144" customFormat="1" spans="1:8">
      <c r="A144" s="40">
        <v>1003.6145</v>
      </c>
      <c r="B144" s="47">
        <v>95</v>
      </c>
      <c r="C144" s="48" t="s">
        <v>25</v>
      </c>
      <c r="D144" s="49" t="s">
        <v>43</v>
      </c>
      <c r="E144" s="49" t="s">
        <v>470</v>
      </c>
      <c r="F144" s="50" t="s">
        <v>2612</v>
      </c>
      <c r="G144" s="47">
        <v>1</v>
      </c>
      <c r="H144" s="15">
        <v>20250731</v>
      </c>
    </row>
    <row r="145" customFormat="1" spans="1:8">
      <c r="A145" s="40">
        <v>1003.6185</v>
      </c>
      <c r="B145" s="51">
        <v>95</v>
      </c>
      <c r="C145" s="52" t="s">
        <v>17</v>
      </c>
      <c r="D145" s="49" t="s">
        <v>177</v>
      </c>
      <c r="E145" s="53" t="s">
        <v>19</v>
      </c>
      <c r="F145" s="50" t="s">
        <v>1513</v>
      </c>
      <c r="G145" s="54">
        <v>1</v>
      </c>
      <c r="H145" s="15">
        <v>20250731</v>
      </c>
    </row>
    <row r="146" spans="1:8">
      <c r="A146" s="40">
        <v>1003.6195</v>
      </c>
      <c r="B146" s="51">
        <v>95</v>
      </c>
      <c r="C146" s="52" t="s">
        <v>17</v>
      </c>
      <c r="D146" s="49" t="s">
        <v>177</v>
      </c>
      <c r="E146" s="53" t="s">
        <v>19</v>
      </c>
      <c r="F146" s="50" t="s">
        <v>2609</v>
      </c>
      <c r="G146" s="54">
        <v>1</v>
      </c>
      <c r="H146" s="15">
        <v>20250731</v>
      </c>
    </row>
    <row r="147" customFormat="1" spans="1:8">
      <c r="A147" s="40">
        <v>1003.6315</v>
      </c>
      <c r="B147" s="51">
        <v>96</v>
      </c>
      <c r="C147" s="52" t="s">
        <v>17</v>
      </c>
      <c r="D147" s="49" t="s">
        <v>177</v>
      </c>
      <c r="E147" s="53" t="s">
        <v>19</v>
      </c>
      <c r="F147" s="50" t="s">
        <v>2590</v>
      </c>
      <c r="G147" s="54">
        <v>1</v>
      </c>
      <c r="H147" s="15">
        <v>20250731</v>
      </c>
    </row>
    <row r="148" customFormat="1" ht="15.75" spans="1:8">
      <c r="A148" s="40">
        <v>1003.6245</v>
      </c>
      <c r="B148" s="55">
        <v>96</v>
      </c>
      <c r="C148" s="59" t="s">
        <v>8</v>
      </c>
      <c r="D148" s="57" t="s">
        <v>40</v>
      </c>
      <c r="E148" s="57" t="s">
        <v>2517</v>
      </c>
      <c r="F148" s="58" t="s">
        <v>2613</v>
      </c>
      <c r="G148" s="41">
        <v>1</v>
      </c>
      <c r="H148" s="15">
        <v>20250731</v>
      </c>
    </row>
    <row r="149" customFormat="1" spans="1:8">
      <c r="A149" s="40">
        <v>1003.6346</v>
      </c>
      <c r="B149" s="41">
        <v>97</v>
      </c>
      <c r="C149" s="42" t="s">
        <v>8</v>
      </c>
      <c r="D149" s="49" t="s">
        <v>9</v>
      </c>
      <c r="E149" s="49" t="s">
        <v>33</v>
      </c>
      <c r="F149" s="50" t="s">
        <v>2614</v>
      </c>
      <c r="G149" s="47">
        <v>0</v>
      </c>
      <c r="H149" s="15">
        <v>20250731</v>
      </c>
    </row>
    <row r="150" customFormat="1" spans="1:8">
      <c r="A150" s="40">
        <v>1003.6541</v>
      </c>
      <c r="B150" s="41">
        <v>99</v>
      </c>
      <c r="C150" s="42" t="s">
        <v>8</v>
      </c>
      <c r="D150" s="49" t="s">
        <v>9</v>
      </c>
      <c r="E150" s="49" t="s">
        <v>33</v>
      </c>
      <c r="F150" s="50" t="s">
        <v>2615</v>
      </c>
      <c r="G150" s="47">
        <v>0</v>
      </c>
      <c r="H150" s="15">
        <v>20250731</v>
      </c>
    </row>
    <row r="151" customFormat="1" spans="1:8">
      <c r="A151" s="40">
        <v>1003.6652</v>
      </c>
      <c r="B151" s="51">
        <v>100</v>
      </c>
      <c r="C151" s="52" t="s">
        <v>17</v>
      </c>
      <c r="D151" s="49" t="s">
        <v>177</v>
      </c>
      <c r="E151" s="53" t="s">
        <v>19</v>
      </c>
      <c r="F151" s="50" t="s">
        <v>1681</v>
      </c>
      <c r="G151" s="54">
        <v>1</v>
      </c>
      <c r="H151" s="15">
        <v>20250731</v>
      </c>
    </row>
    <row r="152" customFormat="1" spans="1:8">
      <c r="A152" s="40">
        <v>1003.6743</v>
      </c>
      <c r="B152" s="47">
        <v>101</v>
      </c>
      <c r="C152" s="48" t="s">
        <v>25</v>
      </c>
      <c r="D152" s="49" t="s">
        <v>43</v>
      </c>
      <c r="E152" s="49" t="s">
        <v>470</v>
      </c>
      <c r="F152" s="50" t="s">
        <v>2616</v>
      </c>
      <c r="G152" s="47">
        <v>1</v>
      </c>
      <c r="H152" s="15">
        <v>20250731</v>
      </c>
    </row>
    <row r="153" customFormat="1" spans="1:8">
      <c r="A153" s="40">
        <v>1003.7024</v>
      </c>
      <c r="B153" s="44">
        <v>103</v>
      </c>
      <c r="C153" s="45" t="s">
        <v>219</v>
      </c>
      <c r="D153" s="45" t="s">
        <v>219</v>
      </c>
      <c r="E153" s="45" t="s">
        <v>894</v>
      </c>
      <c r="F153" s="46" t="s">
        <v>2617</v>
      </c>
      <c r="G153" s="44">
        <v>1</v>
      </c>
      <c r="H153" s="15">
        <v>20250731</v>
      </c>
    </row>
    <row r="154" customFormat="1" spans="1:8">
      <c r="A154" s="40">
        <v>1003.7125</v>
      </c>
      <c r="B154" s="44">
        <v>104</v>
      </c>
      <c r="C154" s="45" t="s">
        <v>219</v>
      </c>
      <c r="D154" s="45" t="s">
        <v>219</v>
      </c>
      <c r="E154" s="45" t="s">
        <v>894</v>
      </c>
      <c r="F154" s="46" t="s">
        <v>2618</v>
      </c>
      <c r="G154" s="44">
        <v>1</v>
      </c>
      <c r="H154" s="15">
        <v>20250731</v>
      </c>
    </row>
    <row r="155" customFormat="1" spans="1:8">
      <c r="A155" s="40">
        <v>1003.7045</v>
      </c>
      <c r="B155" s="47">
        <v>104</v>
      </c>
      <c r="C155" s="48" t="s">
        <v>25</v>
      </c>
      <c r="D155" s="49" t="s">
        <v>43</v>
      </c>
      <c r="E155" s="49" t="s">
        <v>470</v>
      </c>
      <c r="F155" s="50" t="s">
        <v>2619</v>
      </c>
      <c r="G155" s="47">
        <v>1</v>
      </c>
      <c r="H155" s="15">
        <v>20250731</v>
      </c>
    </row>
    <row r="156" customFormat="1" spans="1:8">
      <c r="A156" s="40">
        <v>1003.7275</v>
      </c>
      <c r="B156" s="41">
        <v>106</v>
      </c>
      <c r="C156" s="42" t="s">
        <v>8</v>
      </c>
      <c r="D156" s="49" t="s">
        <v>9</v>
      </c>
      <c r="E156" s="49" t="s">
        <v>2550</v>
      </c>
      <c r="F156" s="50" t="s">
        <v>2620</v>
      </c>
      <c r="G156" s="47">
        <v>1</v>
      </c>
      <c r="H156" s="15">
        <v>20250731</v>
      </c>
    </row>
    <row r="157" customFormat="1" spans="1:8">
      <c r="A157" s="40">
        <v>1003.7285</v>
      </c>
      <c r="B157" s="51">
        <v>106</v>
      </c>
      <c r="C157" s="52" t="s">
        <v>17</v>
      </c>
      <c r="D157" s="49" t="s">
        <v>177</v>
      </c>
      <c r="E157" s="53" t="s">
        <v>19</v>
      </c>
      <c r="F157" s="50" t="s">
        <v>2621</v>
      </c>
      <c r="G157" s="54">
        <v>1</v>
      </c>
      <c r="H157" s="15">
        <v>20250731</v>
      </c>
    </row>
    <row r="158" customFormat="1" spans="1:8">
      <c r="A158" s="40">
        <v>1003.7346</v>
      </c>
      <c r="B158" s="41">
        <v>107</v>
      </c>
      <c r="C158" s="42" t="s">
        <v>8</v>
      </c>
      <c r="D158" s="49" t="s">
        <v>9</v>
      </c>
      <c r="E158" s="49" t="s">
        <v>15</v>
      </c>
      <c r="F158" s="50" t="s">
        <v>2622</v>
      </c>
      <c r="G158" s="47">
        <v>0</v>
      </c>
      <c r="H158" s="15">
        <v>20250731</v>
      </c>
    </row>
    <row r="159" customFormat="1" ht="27" spans="1:8">
      <c r="A159" s="40">
        <v>1002.687</v>
      </c>
      <c r="B159" s="41" t="s">
        <v>94</v>
      </c>
      <c r="C159" s="45" t="s">
        <v>95</v>
      </c>
      <c r="D159" s="45" t="s">
        <v>95</v>
      </c>
      <c r="E159" s="45" t="s">
        <v>97</v>
      </c>
      <c r="F159" s="46" t="s">
        <v>1577</v>
      </c>
      <c r="G159" s="44">
        <v>1</v>
      </c>
      <c r="H159" s="15">
        <v>20250731</v>
      </c>
    </row>
    <row r="160" ht="27" spans="1:8">
      <c r="A160" s="40">
        <v>1003.674</v>
      </c>
      <c r="B160" s="41" t="s">
        <v>678</v>
      </c>
      <c r="C160" s="45" t="s">
        <v>95</v>
      </c>
      <c r="D160" s="45" t="s">
        <v>95</v>
      </c>
      <c r="E160" s="45" t="s">
        <v>97</v>
      </c>
      <c r="F160" s="46" t="s">
        <v>1577</v>
      </c>
      <c r="G160" s="44">
        <v>1</v>
      </c>
      <c r="H160" s="15">
        <v>20250731</v>
      </c>
    </row>
    <row r="161" ht="27" spans="1:8">
      <c r="A161" s="40">
        <v>1002.787</v>
      </c>
      <c r="B161" s="41" t="s">
        <v>99</v>
      </c>
      <c r="C161" s="45" t="s">
        <v>95</v>
      </c>
      <c r="D161" s="45" t="s">
        <v>95</v>
      </c>
      <c r="E161" s="45" t="s">
        <v>97</v>
      </c>
      <c r="F161" s="46" t="s">
        <v>1577</v>
      </c>
      <c r="G161" s="44">
        <v>1</v>
      </c>
      <c r="H161" s="15">
        <v>20250731</v>
      </c>
    </row>
    <row r="162" ht="27" spans="1:8">
      <c r="A162" s="40">
        <v>1002.888</v>
      </c>
      <c r="B162" s="41" t="s">
        <v>100</v>
      </c>
      <c r="C162" s="45" t="s">
        <v>95</v>
      </c>
      <c r="D162" s="45" t="s">
        <v>95</v>
      </c>
      <c r="E162" s="45" t="s">
        <v>97</v>
      </c>
      <c r="F162" s="46" t="s">
        <v>1577</v>
      </c>
      <c r="G162" s="44">
        <v>1</v>
      </c>
      <c r="H162" s="15">
        <v>20250731</v>
      </c>
    </row>
    <row r="163" ht="27" spans="1:8">
      <c r="A163" s="40">
        <v>1002.986</v>
      </c>
      <c r="B163" s="41" t="s">
        <v>101</v>
      </c>
      <c r="C163" s="45" t="s">
        <v>95</v>
      </c>
      <c r="D163" s="45" t="s">
        <v>95</v>
      </c>
      <c r="E163" s="45" t="s">
        <v>97</v>
      </c>
      <c r="F163" s="46" t="s">
        <v>1577</v>
      </c>
      <c r="G163" s="44">
        <v>1</v>
      </c>
      <c r="H163" s="15">
        <v>20250731</v>
      </c>
    </row>
    <row r="164" ht="27" spans="1:8">
      <c r="A164" s="40">
        <v>1003.088</v>
      </c>
      <c r="B164" s="41" t="s">
        <v>102</v>
      </c>
      <c r="C164" s="45" t="s">
        <v>95</v>
      </c>
      <c r="D164" s="45" t="s">
        <v>95</v>
      </c>
      <c r="E164" s="45" t="s">
        <v>97</v>
      </c>
      <c r="F164" s="46" t="s">
        <v>1577</v>
      </c>
      <c r="G164" s="44">
        <v>1</v>
      </c>
      <c r="H164" s="15">
        <v>20250731</v>
      </c>
    </row>
    <row r="165" ht="27" spans="1:8">
      <c r="A165" s="40">
        <v>1003.189</v>
      </c>
      <c r="B165" s="41" t="s">
        <v>103</v>
      </c>
      <c r="C165" s="45" t="s">
        <v>95</v>
      </c>
      <c r="D165" s="45" t="s">
        <v>95</v>
      </c>
      <c r="E165" s="45" t="s">
        <v>97</v>
      </c>
      <c r="F165" s="46" t="s">
        <v>1577</v>
      </c>
      <c r="G165" s="44">
        <v>1</v>
      </c>
      <c r="H165" s="15">
        <v>20250731</v>
      </c>
    </row>
    <row r="166" ht="27" spans="1:8">
      <c r="A166" s="40">
        <v>1003.281</v>
      </c>
      <c r="B166" s="41" t="s">
        <v>223</v>
      </c>
      <c r="C166" s="45" t="s">
        <v>95</v>
      </c>
      <c r="D166" s="45" t="s">
        <v>95</v>
      </c>
      <c r="E166" s="45" t="s">
        <v>97</v>
      </c>
      <c r="F166" s="46" t="s">
        <v>1577</v>
      </c>
      <c r="G166" s="44">
        <v>1</v>
      </c>
      <c r="H166" s="15">
        <v>20250731</v>
      </c>
    </row>
    <row r="167" ht="27" spans="1:8">
      <c r="A167" s="40">
        <v>1003.377</v>
      </c>
      <c r="B167" s="41" t="s">
        <v>449</v>
      </c>
      <c r="C167" s="45" t="s">
        <v>95</v>
      </c>
      <c r="D167" s="45" t="s">
        <v>95</v>
      </c>
      <c r="E167" s="45" t="s">
        <v>97</v>
      </c>
      <c r="F167" s="46" t="s">
        <v>1577</v>
      </c>
      <c r="G167" s="44">
        <v>1</v>
      </c>
      <c r="H167" s="15">
        <v>20250731</v>
      </c>
    </row>
    <row r="168" ht="27" spans="1:8">
      <c r="A168" s="40">
        <v>1003.478</v>
      </c>
      <c r="B168" s="41" t="s">
        <v>680</v>
      </c>
      <c r="C168" s="45" t="s">
        <v>95</v>
      </c>
      <c r="D168" s="45" t="s">
        <v>95</v>
      </c>
      <c r="E168" s="45" t="s">
        <v>97</v>
      </c>
      <c r="F168" s="46" t="s">
        <v>1577</v>
      </c>
      <c r="G168" s="44">
        <v>1</v>
      </c>
      <c r="H168" s="15">
        <v>20250731</v>
      </c>
    </row>
    <row r="169" ht="27" spans="1:8">
      <c r="A169" s="40">
        <v>1003.575</v>
      </c>
      <c r="B169" s="41" t="s">
        <v>681</v>
      </c>
      <c r="C169" s="45" t="s">
        <v>95</v>
      </c>
      <c r="D169" s="45" t="s">
        <v>95</v>
      </c>
      <c r="E169" s="45" t="s">
        <v>97</v>
      </c>
      <c r="F169" s="46" t="s">
        <v>1577</v>
      </c>
      <c r="G169" s="44">
        <v>1</v>
      </c>
      <c r="H169" s="15">
        <v>20250731</v>
      </c>
    </row>
  </sheetData>
  <autoFilter xmlns:etc="http://www.wps.cn/officeDocument/2017/etCustomData" ref="A1:H169" etc:filterBottomFollowUsedRange="0">
    <extLst/>
  </autoFilter>
  <sortState ref="A2:H159">
    <sortCondition ref="B2:B159"/>
  </sortState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7"/>
  <sheetViews>
    <sheetView workbookViewId="0">
      <selection activeCell="M9" sqref="M9"/>
    </sheetView>
  </sheetViews>
  <sheetFormatPr defaultColWidth="9" defaultRowHeight="14.25" outlineLevelCol="7"/>
  <cols>
    <col min="2" max="2" width="9.125" style="4" customWidth="1"/>
    <col min="3" max="4" width="9" style="4"/>
    <col min="5" max="5" width="10.875" style="4" customWidth="1"/>
    <col min="6" max="6" width="83" customWidth="1"/>
    <col min="7" max="7" width="9.125" style="4" customWidth="1"/>
    <col min="8" max="8" width="9.5" style="4" customWidth="1"/>
  </cols>
  <sheetData>
    <row r="1" ht="27" spans="1:8">
      <c r="A1" s="13" t="s">
        <v>0</v>
      </c>
      <c r="B1" s="14" t="s">
        <v>113</v>
      </c>
      <c r="C1" s="14" t="s">
        <v>2</v>
      </c>
      <c r="D1" s="14" t="s">
        <v>3</v>
      </c>
      <c r="E1" s="14" t="s">
        <v>4</v>
      </c>
      <c r="F1" s="14" t="s">
        <v>114</v>
      </c>
      <c r="G1" s="14" t="s">
        <v>6</v>
      </c>
      <c r="H1" s="14" t="s">
        <v>7</v>
      </c>
    </row>
    <row r="2" ht="15" spans="1:8">
      <c r="A2" s="15">
        <v>1002.702</v>
      </c>
      <c r="B2" s="12">
        <v>0</v>
      </c>
      <c r="C2" s="12" t="s">
        <v>224</v>
      </c>
      <c r="D2" s="12" t="s">
        <v>225</v>
      </c>
      <c r="E2" s="12" t="s">
        <v>551</v>
      </c>
      <c r="F2" s="16" t="s">
        <v>2623</v>
      </c>
      <c r="G2" s="12">
        <v>0</v>
      </c>
      <c r="H2" s="17">
        <v>20240810</v>
      </c>
    </row>
    <row r="3" ht="15" spans="1:8">
      <c r="A3" s="18">
        <v>1003.8013</v>
      </c>
      <c r="B3" s="12">
        <v>2</v>
      </c>
      <c r="C3" s="12" t="s">
        <v>129</v>
      </c>
      <c r="D3" s="19" t="s">
        <v>290</v>
      </c>
      <c r="E3" s="20" t="s">
        <v>15</v>
      </c>
      <c r="F3" s="21" t="s">
        <v>2624</v>
      </c>
      <c r="G3" s="19">
        <v>1</v>
      </c>
      <c r="H3" s="17">
        <v>20240810</v>
      </c>
    </row>
    <row r="4" ht="15" spans="1:8">
      <c r="A4" s="18">
        <v>1003.791</v>
      </c>
      <c r="B4" s="19">
        <v>3</v>
      </c>
      <c r="C4" s="19" t="s">
        <v>2625</v>
      </c>
      <c r="D4" s="19" t="s">
        <v>228</v>
      </c>
      <c r="E4" s="19" t="s">
        <v>1030</v>
      </c>
      <c r="F4" s="21" t="s">
        <v>2626</v>
      </c>
      <c r="G4" s="19">
        <v>1</v>
      </c>
      <c r="H4" s="17">
        <v>20240810</v>
      </c>
    </row>
    <row r="5" ht="15" spans="1:8">
      <c r="A5" s="18">
        <v>1003.7811</v>
      </c>
      <c r="B5" s="19">
        <v>4</v>
      </c>
      <c r="C5" s="19" t="s">
        <v>2625</v>
      </c>
      <c r="D5" s="19" t="s">
        <v>231</v>
      </c>
      <c r="E5" s="19" t="s">
        <v>1106</v>
      </c>
      <c r="F5" s="21" t="s">
        <v>2627</v>
      </c>
      <c r="G5" s="19">
        <v>1</v>
      </c>
      <c r="H5" s="17">
        <v>20240810</v>
      </c>
    </row>
    <row r="6" ht="15" spans="1:8">
      <c r="A6" s="18">
        <v>1003.7613</v>
      </c>
      <c r="B6" s="12">
        <v>6</v>
      </c>
      <c r="C6" s="12" t="s">
        <v>129</v>
      </c>
      <c r="D6" s="19" t="s">
        <v>228</v>
      </c>
      <c r="E6" s="20" t="s">
        <v>15</v>
      </c>
      <c r="F6" s="21" t="s">
        <v>2628</v>
      </c>
      <c r="G6" s="19">
        <v>1</v>
      </c>
      <c r="H6" s="17">
        <v>20240810</v>
      </c>
    </row>
    <row r="7" ht="15" spans="1:8">
      <c r="A7" s="18">
        <v>1003.7593</v>
      </c>
      <c r="B7" s="12">
        <v>7</v>
      </c>
      <c r="C7" s="12" t="s">
        <v>129</v>
      </c>
      <c r="D7" s="19" t="s">
        <v>290</v>
      </c>
      <c r="E7" s="20" t="s">
        <v>15</v>
      </c>
      <c r="F7" s="21" t="s">
        <v>2629</v>
      </c>
      <c r="G7" s="19">
        <v>0</v>
      </c>
      <c r="H7" s="17">
        <v>20240810</v>
      </c>
    </row>
    <row r="8" ht="15" spans="1:8">
      <c r="A8" s="18">
        <v>1003.7513</v>
      </c>
      <c r="B8" s="12">
        <v>7</v>
      </c>
      <c r="C8" s="12" t="s">
        <v>129</v>
      </c>
      <c r="D8" s="19" t="s">
        <v>290</v>
      </c>
      <c r="E8" s="20" t="s">
        <v>33</v>
      </c>
      <c r="F8" s="21" t="s">
        <v>2630</v>
      </c>
      <c r="G8" s="19">
        <v>0</v>
      </c>
      <c r="H8" s="17">
        <v>20240810</v>
      </c>
    </row>
    <row r="9" ht="15" spans="1:8">
      <c r="A9" s="18">
        <v>1003.7513</v>
      </c>
      <c r="B9" s="19">
        <v>7</v>
      </c>
      <c r="C9" s="19" t="s">
        <v>2625</v>
      </c>
      <c r="D9" s="19" t="s">
        <v>290</v>
      </c>
      <c r="E9" s="19" t="s">
        <v>1030</v>
      </c>
      <c r="F9" s="21" t="s">
        <v>2631</v>
      </c>
      <c r="G9" s="19">
        <v>1</v>
      </c>
      <c r="H9" s="17">
        <v>20240810</v>
      </c>
    </row>
    <row r="10" ht="15" spans="1:8">
      <c r="A10" s="18">
        <v>1003.7415</v>
      </c>
      <c r="B10" s="12">
        <v>8</v>
      </c>
      <c r="C10" s="12" t="s">
        <v>129</v>
      </c>
      <c r="D10" s="19" t="s">
        <v>290</v>
      </c>
      <c r="E10" s="20" t="s">
        <v>33</v>
      </c>
      <c r="F10" s="21" t="s">
        <v>2632</v>
      </c>
      <c r="G10" s="19">
        <v>0</v>
      </c>
      <c r="H10" s="17">
        <v>20240810</v>
      </c>
    </row>
    <row r="11" ht="15.75" spans="1:8">
      <c r="A11" s="18">
        <v>1003.7415</v>
      </c>
      <c r="B11" s="22">
        <v>8</v>
      </c>
      <c r="C11" s="23" t="s">
        <v>25</v>
      </c>
      <c r="D11" s="22" t="s">
        <v>22</v>
      </c>
      <c r="E11" s="20" t="s">
        <v>2517</v>
      </c>
      <c r="F11" s="24" t="s">
        <v>2633</v>
      </c>
      <c r="G11" s="22">
        <v>1</v>
      </c>
      <c r="H11" s="17">
        <v>20240810</v>
      </c>
    </row>
    <row r="12" ht="15" spans="1:8">
      <c r="A12" s="18">
        <v>1003.7415</v>
      </c>
      <c r="B12" s="19">
        <v>8</v>
      </c>
      <c r="C12" s="19" t="s">
        <v>2625</v>
      </c>
      <c r="D12" s="19" t="s">
        <v>231</v>
      </c>
      <c r="E12" s="19" t="s">
        <v>1106</v>
      </c>
      <c r="F12" s="21" t="s">
        <v>2627</v>
      </c>
      <c r="G12" s="19">
        <v>1</v>
      </c>
      <c r="H12" s="17">
        <v>20240810</v>
      </c>
    </row>
    <row r="13" ht="15" spans="1:8">
      <c r="A13" s="18">
        <v>1003.7415</v>
      </c>
      <c r="B13" s="19">
        <v>8</v>
      </c>
      <c r="C13" s="19" t="s">
        <v>2625</v>
      </c>
      <c r="D13" s="19" t="s">
        <v>290</v>
      </c>
      <c r="E13" s="19" t="s">
        <v>1030</v>
      </c>
      <c r="F13" s="21" t="s">
        <v>2634</v>
      </c>
      <c r="G13" s="19">
        <v>1</v>
      </c>
      <c r="H13" s="17">
        <v>20240810</v>
      </c>
    </row>
    <row r="14" ht="15" spans="1:8">
      <c r="A14" s="18">
        <v>1003.7314</v>
      </c>
      <c r="B14" s="12">
        <v>9</v>
      </c>
      <c r="C14" s="12" t="s">
        <v>129</v>
      </c>
      <c r="D14" s="19" t="s">
        <v>290</v>
      </c>
      <c r="E14" s="20" t="s">
        <v>232</v>
      </c>
      <c r="F14" s="21" t="s">
        <v>2635</v>
      </c>
      <c r="G14" s="19">
        <v>0</v>
      </c>
      <c r="H14" s="17">
        <v>20240810</v>
      </c>
    </row>
    <row r="15" ht="15" spans="1:8">
      <c r="A15" s="18">
        <v>1003.7384</v>
      </c>
      <c r="B15" s="25">
        <v>9</v>
      </c>
      <c r="C15" s="26" t="s">
        <v>1902</v>
      </c>
      <c r="D15" s="27" t="s">
        <v>360</v>
      </c>
      <c r="E15" s="17" t="s">
        <v>1205</v>
      </c>
      <c r="F15" s="21" t="s">
        <v>2636</v>
      </c>
      <c r="G15" s="17">
        <v>1</v>
      </c>
      <c r="H15" s="17">
        <v>20240810</v>
      </c>
    </row>
    <row r="16" ht="15" spans="1:8">
      <c r="A16" s="18">
        <v>1003.7214</v>
      </c>
      <c r="B16" s="12">
        <v>10</v>
      </c>
      <c r="C16" s="12" t="s">
        <v>129</v>
      </c>
      <c r="D16" s="19" t="s">
        <v>290</v>
      </c>
      <c r="E16" s="20" t="s">
        <v>33</v>
      </c>
      <c r="F16" s="21" t="s">
        <v>2637</v>
      </c>
      <c r="G16" s="19">
        <v>0</v>
      </c>
      <c r="H16" s="17">
        <v>20240810</v>
      </c>
    </row>
    <row r="17" ht="15" spans="1:8">
      <c r="A17" s="18">
        <v>1003.7214</v>
      </c>
      <c r="B17" s="25">
        <v>10</v>
      </c>
      <c r="C17" s="26" t="s">
        <v>1902</v>
      </c>
      <c r="D17" s="27" t="s">
        <v>360</v>
      </c>
      <c r="E17" s="17" t="s">
        <v>1205</v>
      </c>
      <c r="F17" s="21" t="s">
        <v>1907</v>
      </c>
      <c r="G17" s="17">
        <v>1</v>
      </c>
      <c r="H17" s="17">
        <v>20240810</v>
      </c>
    </row>
    <row r="18" ht="15" spans="1:8">
      <c r="A18" s="18">
        <v>1003.7224</v>
      </c>
      <c r="B18" s="25">
        <v>10</v>
      </c>
      <c r="C18" s="26" t="s">
        <v>1902</v>
      </c>
      <c r="D18" s="27" t="s">
        <v>360</v>
      </c>
      <c r="E18" s="17" t="s">
        <v>1205</v>
      </c>
      <c r="F18" s="21" t="s">
        <v>1912</v>
      </c>
      <c r="G18" s="17">
        <v>1</v>
      </c>
      <c r="H18" s="17">
        <v>20240810</v>
      </c>
    </row>
    <row r="19" ht="15" spans="1:8">
      <c r="A19" s="18">
        <v>1003.7013</v>
      </c>
      <c r="B19" s="19">
        <v>12</v>
      </c>
      <c r="C19" s="19" t="s">
        <v>2625</v>
      </c>
      <c r="D19" s="19" t="s">
        <v>235</v>
      </c>
      <c r="E19" s="19" t="s">
        <v>1030</v>
      </c>
      <c r="F19" s="21" t="s">
        <v>2638</v>
      </c>
      <c r="G19" s="19">
        <v>1</v>
      </c>
      <c r="H19" s="17">
        <v>20240810</v>
      </c>
    </row>
    <row r="20" ht="25.5" spans="1:8">
      <c r="A20" s="18">
        <v>1003.6917</v>
      </c>
      <c r="B20" s="19">
        <v>13</v>
      </c>
      <c r="C20" s="19" t="s">
        <v>2625</v>
      </c>
      <c r="D20" s="19" t="s">
        <v>2639</v>
      </c>
      <c r="E20" s="19" t="s">
        <v>1030</v>
      </c>
      <c r="F20" s="21" t="s">
        <v>2640</v>
      </c>
      <c r="G20" s="19">
        <v>1</v>
      </c>
      <c r="H20" s="17">
        <v>20240810</v>
      </c>
    </row>
    <row r="21" ht="15" spans="1:8">
      <c r="A21" s="18">
        <v>1003.6927</v>
      </c>
      <c r="B21" s="25">
        <v>13</v>
      </c>
      <c r="C21" s="26" t="s">
        <v>1902</v>
      </c>
      <c r="D21" s="27" t="s">
        <v>360</v>
      </c>
      <c r="E21" s="17" t="s">
        <v>1205</v>
      </c>
      <c r="F21" s="21" t="s">
        <v>1912</v>
      </c>
      <c r="G21" s="17">
        <v>1</v>
      </c>
      <c r="H21" s="17">
        <v>20240810</v>
      </c>
    </row>
    <row r="22" ht="15" spans="1:8">
      <c r="A22" s="18">
        <v>1003.6816</v>
      </c>
      <c r="B22" s="12">
        <v>14</v>
      </c>
      <c r="C22" s="12" t="s">
        <v>129</v>
      </c>
      <c r="D22" s="19" t="s">
        <v>228</v>
      </c>
      <c r="E22" s="20" t="s">
        <v>33</v>
      </c>
      <c r="F22" s="21" t="s">
        <v>2641</v>
      </c>
      <c r="G22" s="19">
        <v>0</v>
      </c>
      <c r="H22" s="17">
        <v>20240810</v>
      </c>
    </row>
    <row r="23" ht="15" spans="1:8">
      <c r="A23" s="18">
        <v>1003.6816</v>
      </c>
      <c r="B23" s="19">
        <v>14</v>
      </c>
      <c r="C23" s="19" t="s">
        <v>2625</v>
      </c>
      <c r="D23" s="19" t="s">
        <v>235</v>
      </c>
      <c r="E23" s="19" t="s">
        <v>1030</v>
      </c>
      <c r="F23" s="21" t="s">
        <v>2642</v>
      </c>
      <c r="G23" s="19">
        <v>1</v>
      </c>
      <c r="H23" s="17">
        <v>20240810</v>
      </c>
    </row>
    <row r="24" ht="15" spans="1:8">
      <c r="A24" s="18">
        <v>1003.6846</v>
      </c>
      <c r="B24" s="25">
        <v>14</v>
      </c>
      <c r="C24" s="26" t="s">
        <v>1902</v>
      </c>
      <c r="D24" s="27" t="s">
        <v>360</v>
      </c>
      <c r="E24" s="17" t="s">
        <v>1205</v>
      </c>
      <c r="F24" s="21" t="s">
        <v>1904</v>
      </c>
      <c r="G24" s="17">
        <v>1</v>
      </c>
      <c r="H24" s="17">
        <v>20240810</v>
      </c>
    </row>
    <row r="25" ht="15" spans="1:8">
      <c r="A25" s="18">
        <v>1003.6765</v>
      </c>
      <c r="B25" s="25">
        <v>15</v>
      </c>
      <c r="C25" s="26" t="s">
        <v>1902</v>
      </c>
      <c r="D25" s="27" t="s">
        <v>360</v>
      </c>
      <c r="E25" s="17" t="s">
        <v>1205</v>
      </c>
      <c r="F25" s="21" t="s">
        <v>2643</v>
      </c>
      <c r="G25" s="17">
        <v>1</v>
      </c>
      <c r="H25" s="17">
        <v>20240810</v>
      </c>
    </row>
    <row r="26" ht="15" spans="1:8">
      <c r="A26" s="18">
        <v>1003.6625</v>
      </c>
      <c r="B26" s="25">
        <v>16</v>
      </c>
      <c r="C26" s="26" t="s">
        <v>1902</v>
      </c>
      <c r="D26" s="27" t="s">
        <v>360</v>
      </c>
      <c r="E26" s="17" t="s">
        <v>19</v>
      </c>
      <c r="F26" s="21" t="s">
        <v>1914</v>
      </c>
      <c r="G26" s="17">
        <v>1</v>
      </c>
      <c r="H26" s="17">
        <v>20240810</v>
      </c>
    </row>
    <row r="27" ht="15" spans="1:8">
      <c r="A27" s="18">
        <v>1003.6514</v>
      </c>
      <c r="B27" s="19">
        <v>17</v>
      </c>
      <c r="C27" s="19" t="s">
        <v>2625</v>
      </c>
      <c r="D27" s="19" t="s">
        <v>290</v>
      </c>
      <c r="E27" s="19" t="s">
        <v>1030</v>
      </c>
      <c r="F27" s="21" t="s">
        <v>2644</v>
      </c>
      <c r="G27" s="19">
        <v>1</v>
      </c>
      <c r="H27" s="17">
        <v>20240810</v>
      </c>
    </row>
    <row r="28" ht="15" spans="1:8">
      <c r="A28" s="18">
        <v>1003.6413</v>
      </c>
      <c r="B28" s="12">
        <v>18</v>
      </c>
      <c r="C28" s="12" t="s">
        <v>129</v>
      </c>
      <c r="D28" s="19" t="s">
        <v>235</v>
      </c>
      <c r="E28" s="20" t="s">
        <v>33</v>
      </c>
      <c r="F28" s="21" t="s">
        <v>2645</v>
      </c>
      <c r="G28" s="19">
        <v>0</v>
      </c>
      <c r="H28" s="17">
        <v>20240810</v>
      </c>
    </row>
    <row r="29" ht="15" spans="1:8">
      <c r="A29" s="18">
        <v>1003.6413</v>
      </c>
      <c r="B29" s="25">
        <v>18</v>
      </c>
      <c r="C29" s="26" t="s">
        <v>1902</v>
      </c>
      <c r="D29" s="27" t="s">
        <v>360</v>
      </c>
      <c r="E29" s="17" t="s">
        <v>19</v>
      </c>
      <c r="F29" s="21" t="s">
        <v>2646</v>
      </c>
      <c r="G29" s="17">
        <v>1</v>
      </c>
      <c r="H29" s="17">
        <v>20240810</v>
      </c>
    </row>
    <row r="30" ht="15" spans="1:8">
      <c r="A30" s="18">
        <v>1003.6333</v>
      </c>
      <c r="B30" s="12">
        <v>19</v>
      </c>
      <c r="C30" s="28" t="s">
        <v>17</v>
      </c>
      <c r="D30" s="20" t="s">
        <v>18</v>
      </c>
      <c r="E30" s="20" t="s">
        <v>1205</v>
      </c>
      <c r="F30" s="21" t="s">
        <v>1206</v>
      </c>
      <c r="G30" s="19">
        <v>1</v>
      </c>
      <c r="H30" s="17">
        <v>20240810</v>
      </c>
    </row>
    <row r="31" ht="15" spans="1:8">
      <c r="A31" s="18">
        <v>1003.6313</v>
      </c>
      <c r="B31" s="12">
        <v>19</v>
      </c>
      <c r="C31" s="12" t="s">
        <v>129</v>
      </c>
      <c r="D31" s="19" t="s">
        <v>290</v>
      </c>
      <c r="E31" s="20" t="s">
        <v>232</v>
      </c>
      <c r="F31" s="21" t="s">
        <v>2647</v>
      </c>
      <c r="G31" s="19">
        <v>0</v>
      </c>
      <c r="H31" s="17">
        <v>20240810</v>
      </c>
    </row>
    <row r="32" ht="15" spans="1:8">
      <c r="A32" s="18">
        <v>1003.6313</v>
      </c>
      <c r="B32" s="19">
        <v>19</v>
      </c>
      <c r="C32" s="19" t="s">
        <v>2625</v>
      </c>
      <c r="D32" s="19" t="s">
        <v>272</v>
      </c>
      <c r="E32" s="19" t="s">
        <v>1150</v>
      </c>
      <c r="F32" s="21" t="s">
        <v>2627</v>
      </c>
      <c r="G32" s="19">
        <v>1</v>
      </c>
      <c r="H32" s="17">
        <v>20240810</v>
      </c>
    </row>
    <row r="33" ht="28.5" spans="1:8">
      <c r="A33" s="18">
        <v>1003.6213</v>
      </c>
      <c r="B33" s="15">
        <v>20</v>
      </c>
      <c r="C33" s="22" t="s">
        <v>170</v>
      </c>
      <c r="D33" s="22" t="s">
        <v>170</v>
      </c>
      <c r="E33" s="22" t="s">
        <v>172</v>
      </c>
      <c r="F33" s="24" t="s">
        <v>614</v>
      </c>
      <c r="G33" s="22">
        <v>2</v>
      </c>
      <c r="H33" s="17">
        <v>20240810</v>
      </c>
    </row>
    <row r="34" ht="15.75" spans="1:8">
      <c r="A34" s="18">
        <v>1003.6213</v>
      </c>
      <c r="B34" s="25">
        <v>20</v>
      </c>
      <c r="C34" s="29" t="s">
        <v>238</v>
      </c>
      <c r="D34" s="27" t="s">
        <v>401</v>
      </c>
      <c r="E34" s="30" t="s">
        <v>2236</v>
      </c>
      <c r="F34" s="31" t="s">
        <v>2648</v>
      </c>
      <c r="G34" s="19">
        <v>1</v>
      </c>
      <c r="H34" s="17">
        <v>20240810</v>
      </c>
    </row>
    <row r="35" ht="15.75" spans="1:8">
      <c r="A35" s="18">
        <v>1003.6112</v>
      </c>
      <c r="B35" s="25">
        <v>21</v>
      </c>
      <c r="C35" s="29" t="s">
        <v>238</v>
      </c>
      <c r="D35" s="27" t="s">
        <v>401</v>
      </c>
      <c r="E35" s="30" t="s">
        <v>2236</v>
      </c>
      <c r="F35" s="31" t="s">
        <v>2649</v>
      </c>
      <c r="G35" s="19">
        <v>1</v>
      </c>
      <c r="H35" s="17">
        <v>20240810</v>
      </c>
    </row>
    <row r="36" ht="15" spans="1:8">
      <c r="A36" s="18">
        <v>1003.6012</v>
      </c>
      <c r="B36" s="12">
        <v>22</v>
      </c>
      <c r="C36" s="12" t="s">
        <v>129</v>
      </c>
      <c r="D36" s="19" t="s">
        <v>228</v>
      </c>
      <c r="E36" s="20" t="s">
        <v>33</v>
      </c>
      <c r="F36" s="21" t="s">
        <v>2650</v>
      </c>
      <c r="G36" s="19">
        <v>0</v>
      </c>
      <c r="H36" s="17">
        <v>20240810</v>
      </c>
    </row>
    <row r="37" ht="15" spans="1:8">
      <c r="A37" s="18">
        <v>1003.6012</v>
      </c>
      <c r="B37" s="12">
        <v>22</v>
      </c>
      <c r="C37" s="12" t="s">
        <v>129</v>
      </c>
      <c r="D37" s="19" t="s">
        <v>235</v>
      </c>
      <c r="E37" s="20" t="s">
        <v>15</v>
      </c>
      <c r="F37" s="21" t="s">
        <v>2651</v>
      </c>
      <c r="G37" s="19">
        <v>1</v>
      </c>
      <c r="H37" s="17">
        <v>20240810</v>
      </c>
    </row>
    <row r="38" ht="15" spans="1:8">
      <c r="A38" s="18">
        <v>1003.6052</v>
      </c>
      <c r="B38" s="19">
        <v>22</v>
      </c>
      <c r="C38" s="19" t="s">
        <v>2625</v>
      </c>
      <c r="D38" s="19" t="s">
        <v>272</v>
      </c>
      <c r="E38" s="19" t="s">
        <v>1150</v>
      </c>
      <c r="F38" s="21" t="s">
        <v>2652</v>
      </c>
      <c r="G38" s="19">
        <v>1</v>
      </c>
      <c r="H38" s="17">
        <v>20240810</v>
      </c>
    </row>
    <row r="39" ht="15" spans="1:8">
      <c r="A39" s="18">
        <v>1003.5911</v>
      </c>
      <c r="B39" s="12">
        <v>23</v>
      </c>
      <c r="C39" s="12" t="s">
        <v>129</v>
      </c>
      <c r="D39" s="19" t="s">
        <v>235</v>
      </c>
      <c r="E39" s="20" t="s">
        <v>15</v>
      </c>
      <c r="F39" s="21" t="s">
        <v>2653</v>
      </c>
      <c r="G39" s="19">
        <v>0</v>
      </c>
      <c r="H39" s="17">
        <v>20240810</v>
      </c>
    </row>
    <row r="40" ht="15" spans="1:8">
      <c r="A40" s="18">
        <v>1003.589</v>
      </c>
      <c r="B40" s="12">
        <v>24</v>
      </c>
      <c r="C40" s="28" t="s">
        <v>17</v>
      </c>
      <c r="D40" s="20" t="s">
        <v>18</v>
      </c>
      <c r="E40" s="20" t="s">
        <v>1205</v>
      </c>
      <c r="F40" s="21" t="s">
        <v>2654</v>
      </c>
      <c r="G40" s="19">
        <v>1</v>
      </c>
      <c r="H40" s="17">
        <v>20240810</v>
      </c>
    </row>
    <row r="41" ht="15" spans="1:8">
      <c r="A41" s="18">
        <v>1003.585</v>
      </c>
      <c r="B41" s="19">
        <v>24</v>
      </c>
      <c r="C41" s="19" t="s">
        <v>2625</v>
      </c>
      <c r="D41" s="19" t="s">
        <v>272</v>
      </c>
      <c r="E41" s="19" t="s">
        <v>1150</v>
      </c>
      <c r="F41" s="21" t="s">
        <v>2655</v>
      </c>
      <c r="G41" s="19">
        <v>1</v>
      </c>
      <c r="H41" s="17">
        <v>20240810</v>
      </c>
    </row>
    <row r="42" ht="15.75" spans="1:8">
      <c r="A42" s="18">
        <v>1003.571</v>
      </c>
      <c r="B42" s="25">
        <v>25</v>
      </c>
      <c r="C42" s="29" t="s">
        <v>238</v>
      </c>
      <c r="D42" s="27" t="s">
        <v>401</v>
      </c>
      <c r="E42" s="30" t="s">
        <v>2236</v>
      </c>
      <c r="F42" s="31" t="s">
        <v>2656</v>
      </c>
      <c r="G42" s="19">
        <v>1</v>
      </c>
      <c r="H42" s="17">
        <v>20240810</v>
      </c>
    </row>
    <row r="43" ht="15" spans="1:8">
      <c r="A43" s="18">
        <v>1003.5609</v>
      </c>
      <c r="B43" s="12">
        <v>26</v>
      </c>
      <c r="C43" s="12" t="s">
        <v>129</v>
      </c>
      <c r="D43" s="19" t="s">
        <v>228</v>
      </c>
      <c r="E43" s="20" t="s">
        <v>33</v>
      </c>
      <c r="F43" s="21" t="s">
        <v>2657</v>
      </c>
      <c r="G43" s="19">
        <v>0</v>
      </c>
      <c r="H43" s="17">
        <v>20240810</v>
      </c>
    </row>
    <row r="44" ht="15" spans="1:8">
      <c r="A44" s="18">
        <v>1003.5659</v>
      </c>
      <c r="B44" s="25">
        <v>26</v>
      </c>
      <c r="C44" s="26" t="s">
        <v>1902</v>
      </c>
      <c r="D44" s="27" t="s">
        <v>360</v>
      </c>
      <c r="E44" s="17" t="s">
        <v>1205</v>
      </c>
      <c r="F44" s="21" t="s">
        <v>2643</v>
      </c>
      <c r="G44" s="17">
        <v>1</v>
      </c>
      <c r="H44" s="17">
        <v>20240810</v>
      </c>
    </row>
    <row r="45" ht="15" spans="1:8">
      <c r="A45" s="18">
        <v>1003.5508</v>
      </c>
      <c r="B45" s="12">
        <v>27</v>
      </c>
      <c r="C45" s="12" t="s">
        <v>129</v>
      </c>
      <c r="D45" s="19" t="s">
        <v>235</v>
      </c>
      <c r="E45" s="20" t="s">
        <v>33</v>
      </c>
      <c r="F45" s="21" t="s">
        <v>2658</v>
      </c>
      <c r="G45" s="19">
        <v>0</v>
      </c>
      <c r="H45" s="17">
        <v>20240810</v>
      </c>
    </row>
    <row r="46" ht="15" spans="1:8">
      <c r="A46" s="18">
        <v>1003.5307</v>
      </c>
      <c r="B46" s="12">
        <v>29</v>
      </c>
      <c r="C46" s="12" t="s">
        <v>129</v>
      </c>
      <c r="D46" s="19" t="s">
        <v>228</v>
      </c>
      <c r="E46" s="20" t="s">
        <v>33</v>
      </c>
      <c r="F46" s="21" t="s">
        <v>2659</v>
      </c>
      <c r="G46" s="19">
        <v>0</v>
      </c>
      <c r="H46" s="17">
        <v>20240810</v>
      </c>
    </row>
    <row r="47" ht="15.75" spans="1:8">
      <c r="A47" s="18">
        <v>1003.5206</v>
      </c>
      <c r="B47" s="25">
        <v>30</v>
      </c>
      <c r="C47" s="29" t="s">
        <v>238</v>
      </c>
      <c r="D47" s="27" t="s">
        <v>401</v>
      </c>
      <c r="E47" s="30" t="s">
        <v>2236</v>
      </c>
      <c r="F47" s="31" t="s">
        <v>2660</v>
      </c>
      <c r="G47" s="17">
        <v>1</v>
      </c>
      <c r="H47" s="17">
        <v>20240810</v>
      </c>
    </row>
    <row r="48" ht="15" spans="1:8">
      <c r="A48" s="18">
        <v>1003.5106</v>
      </c>
      <c r="B48" s="19">
        <v>31</v>
      </c>
      <c r="C48" s="19" t="s">
        <v>2625</v>
      </c>
      <c r="D48" s="19" t="s">
        <v>235</v>
      </c>
      <c r="E48" s="19" t="s">
        <v>1030</v>
      </c>
      <c r="F48" s="21" t="s">
        <v>2661</v>
      </c>
      <c r="G48" s="19">
        <v>1</v>
      </c>
      <c r="H48" s="17">
        <v>20240810</v>
      </c>
    </row>
    <row r="49" ht="40.5" spans="1:8">
      <c r="A49" s="18">
        <v>1003.5016</v>
      </c>
      <c r="B49" s="22">
        <v>32</v>
      </c>
      <c r="C49" s="22" t="s">
        <v>21</v>
      </c>
      <c r="D49" s="23" t="s">
        <v>18</v>
      </c>
      <c r="E49" s="22" t="s">
        <v>58</v>
      </c>
      <c r="F49" s="31" t="s">
        <v>2662</v>
      </c>
      <c r="G49" s="22">
        <v>1</v>
      </c>
      <c r="H49" s="17">
        <v>20240810</v>
      </c>
    </row>
    <row r="50" ht="15" spans="1:8">
      <c r="A50" s="18">
        <v>1003.5066</v>
      </c>
      <c r="B50" s="25">
        <v>32</v>
      </c>
      <c r="C50" s="26" t="s">
        <v>1902</v>
      </c>
      <c r="D50" s="27" t="s">
        <v>360</v>
      </c>
      <c r="E50" s="17" t="s">
        <v>1205</v>
      </c>
      <c r="F50" s="21" t="s">
        <v>2663</v>
      </c>
      <c r="G50" s="17">
        <v>1</v>
      </c>
      <c r="H50" s="17">
        <v>20240810</v>
      </c>
    </row>
    <row r="51" ht="28.5" spans="1:8">
      <c r="A51" s="18">
        <v>1003.4708</v>
      </c>
      <c r="B51" s="15">
        <v>35</v>
      </c>
      <c r="C51" s="22" t="s">
        <v>170</v>
      </c>
      <c r="D51" s="22" t="s">
        <v>170</v>
      </c>
      <c r="E51" s="22" t="s">
        <v>172</v>
      </c>
      <c r="F51" s="24" t="s">
        <v>614</v>
      </c>
      <c r="G51" s="22">
        <v>2</v>
      </c>
      <c r="H51" s="17">
        <v>20240810</v>
      </c>
    </row>
    <row r="52" ht="15" spans="1:8">
      <c r="A52" s="18">
        <v>1003.4609</v>
      </c>
      <c r="B52" s="12">
        <v>36</v>
      </c>
      <c r="C52" s="12" t="s">
        <v>129</v>
      </c>
      <c r="D52" s="19" t="s">
        <v>290</v>
      </c>
      <c r="E52" s="20" t="s">
        <v>33</v>
      </c>
      <c r="F52" s="21" t="s">
        <v>2664</v>
      </c>
      <c r="G52" s="19">
        <v>0</v>
      </c>
      <c r="H52" s="17">
        <v>20240810</v>
      </c>
    </row>
    <row r="53" ht="15" spans="1:8">
      <c r="A53" s="18">
        <v>1003.4609</v>
      </c>
      <c r="B53" s="12">
        <v>36</v>
      </c>
      <c r="C53" s="12" t="s">
        <v>129</v>
      </c>
      <c r="D53" s="19" t="s">
        <v>228</v>
      </c>
      <c r="E53" s="20" t="s">
        <v>232</v>
      </c>
      <c r="F53" s="21" t="s">
        <v>2665</v>
      </c>
      <c r="G53" s="19">
        <v>0</v>
      </c>
      <c r="H53" s="17">
        <v>20240810</v>
      </c>
    </row>
    <row r="54" ht="15" spans="1:8">
      <c r="A54" s="18">
        <v>1003.4274</v>
      </c>
      <c r="B54" s="12">
        <v>40</v>
      </c>
      <c r="C54" s="12" t="s">
        <v>129</v>
      </c>
      <c r="D54" s="19" t="s">
        <v>228</v>
      </c>
      <c r="E54" s="20" t="s">
        <v>15</v>
      </c>
      <c r="F54" s="21" t="s">
        <v>2666</v>
      </c>
      <c r="G54" s="19">
        <v>0</v>
      </c>
      <c r="H54" s="17">
        <v>20240810</v>
      </c>
    </row>
    <row r="55" ht="15" spans="1:8">
      <c r="A55" s="18">
        <v>1003.4209</v>
      </c>
      <c r="B55" s="12">
        <v>40</v>
      </c>
      <c r="C55" s="12" t="s">
        <v>129</v>
      </c>
      <c r="D55" s="19" t="s">
        <v>290</v>
      </c>
      <c r="E55" s="20" t="s">
        <v>33</v>
      </c>
      <c r="F55" s="21" t="s">
        <v>2667</v>
      </c>
      <c r="G55" s="19">
        <v>0</v>
      </c>
      <c r="H55" s="17">
        <v>20240810</v>
      </c>
    </row>
    <row r="56" ht="15" spans="1:8">
      <c r="A56" s="18">
        <v>1003.408</v>
      </c>
      <c r="B56" s="12">
        <v>41</v>
      </c>
      <c r="C56" s="12" t="s">
        <v>129</v>
      </c>
      <c r="D56" s="19" t="s">
        <v>228</v>
      </c>
      <c r="E56" s="20" t="s">
        <v>15</v>
      </c>
      <c r="F56" s="21" t="s">
        <v>2668</v>
      </c>
      <c r="G56" s="19">
        <v>1</v>
      </c>
      <c r="H56" s="17">
        <v>20240810</v>
      </c>
    </row>
    <row r="57" ht="15" spans="1:8">
      <c r="A57" s="18">
        <v>1003.4078</v>
      </c>
      <c r="B57" s="12">
        <v>41</v>
      </c>
      <c r="C57" s="12" t="s">
        <v>129</v>
      </c>
      <c r="D57" s="19" t="s">
        <v>290</v>
      </c>
      <c r="E57" s="20" t="s">
        <v>15</v>
      </c>
      <c r="F57" s="21" t="s">
        <v>2467</v>
      </c>
      <c r="G57" s="19">
        <v>1</v>
      </c>
      <c r="H57" s="17">
        <v>20240810</v>
      </c>
    </row>
    <row r="58" ht="15" spans="1:8">
      <c r="A58" s="18">
        <v>1003.4106</v>
      </c>
      <c r="B58" s="12">
        <v>41</v>
      </c>
      <c r="C58" s="12" t="s">
        <v>129</v>
      </c>
      <c r="D58" s="19" t="s">
        <v>228</v>
      </c>
      <c r="E58" s="20" t="s">
        <v>15</v>
      </c>
      <c r="F58" s="21" t="s">
        <v>2669</v>
      </c>
      <c r="G58" s="19">
        <v>0</v>
      </c>
      <c r="H58" s="17">
        <v>20240810</v>
      </c>
    </row>
    <row r="59" ht="40.5" spans="1:8">
      <c r="A59" s="18">
        <v>1003.3879</v>
      </c>
      <c r="B59" s="12">
        <v>43</v>
      </c>
      <c r="C59" s="22" t="s">
        <v>21</v>
      </c>
      <c r="D59" s="20" t="s">
        <v>177</v>
      </c>
      <c r="E59" s="32" t="s">
        <v>2670</v>
      </c>
      <c r="F59" s="33" t="s">
        <v>2671</v>
      </c>
      <c r="G59" s="34">
        <v>1</v>
      </c>
      <c r="H59" s="17">
        <v>20240810</v>
      </c>
    </row>
    <row r="60" ht="15" spans="1:8">
      <c r="A60" s="18">
        <v>1003.3781</v>
      </c>
      <c r="B60" s="12">
        <v>44</v>
      </c>
      <c r="C60" s="12" t="s">
        <v>129</v>
      </c>
      <c r="D60" s="19" t="s">
        <v>228</v>
      </c>
      <c r="E60" s="20" t="s">
        <v>1102</v>
      </c>
      <c r="F60" s="21" t="s">
        <v>2672</v>
      </c>
      <c r="G60" s="19">
        <v>0</v>
      </c>
      <c r="H60" s="17">
        <v>20240810</v>
      </c>
    </row>
    <row r="61" ht="15" spans="1:8">
      <c r="A61" s="18">
        <v>1003.3691</v>
      </c>
      <c r="B61" s="25">
        <v>45</v>
      </c>
      <c r="C61" s="26" t="s">
        <v>1902</v>
      </c>
      <c r="D61" s="27" t="s">
        <v>360</v>
      </c>
      <c r="E61" s="17" t="s">
        <v>19</v>
      </c>
      <c r="F61" s="21" t="s">
        <v>2673</v>
      </c>
      <c r="G61" s="17">
        <v>1</v>
      </c>
      <c r="H61" s="17">
        <v>20240810</v>
      </c>
    </row>
    <row r="62" ht="15" spans="1:8">
      <c r="A62" s="18">
        <v>1003.3482</v>
      </c>
      <c r="B62" s="19">
        <v>47</v>
      </c>
      <c r="C62" s="19" t="s">
        <v>2625</v>
      </c>
      <c r="D62" s="19" t="s">
        <v>228</v>
      </c>
      <c r="E62" s="19" t="s">
        <v>1030</v>
      </c>
      <c r="F62" s="21" t="s">
        <v>2674</v>
      </c>
      <c r="G62" s="19">
        <v>1</v>
      </c>
      <c r="H62" s="17">
        <v>20240810</v>
      </c>
    </row>
    <row r="63" ht="28.5" spans="1:8">
      <c r="A63" s="18">
        <v>1003.3282</v>
      </c>
      <c r="B63" s="15">
        <v>49</v>
      </c>
      <c r="C63" s="22" t="s">
        <v>170</v>
      </c>
      <c r="D63" s="22" t="s">
        <v>170</v>
      </c>
      <c r="E63" s="22" t="s">
        <v>172</v>
      </c>
      <c r="F63" s="24" t="s">
        <v>614</v>
      </c>
      <c r="G63" s="22">
        <v>2</v>
      </c>
      <c r="H63" s="17">
        <v>20240810</v>
      </c>
    </row>
    <row r="64" ht="15" spans="1:8">
      <c r="A64" s="18">
        <v>1003.3282</v>
      </c>
      <c r="B64" s="25">
        <v>49</v>
      </c>
      <c r="C64" s="26" t="s">
        <v>1902</v>
      </c>
      <c r="D64" s="27" t="s">
        <v>360</v>
      </c>
      <c r="E64" s="17" t="s">
        <v>1205</v>
      </c>
      <c r="F64" s="21" t="s">
        <v>1907</v>
      </c>
      <c r="G64" s="17">
        <v>1</v>
      </c>
      <c r="H64" s="17">
        <v>20240810</v>
      </c>
    </row>
    <row r="65" ht="15" spans="1:8">
      <c r="A65" s="18">
        <v>1003.2984</v>
      </c>
      <c r="B65" s="12">
        <v>52</v>
      </c>
      <c r="C65" s="12" t="s">
        <v>129</v>
      </c>
      <c r="D65" s="19" t="s">
        <v>228</v>
      </c>
      <c r="E65" s="20" t="s">
        <v>33</v>
      </c>
      <c r="F65" s="21" t="s">
        <v>2675</v>
      </c>
      <c r="G65" s="19">
        <v>0</v>
      </c>
      <c r="H65" s="17">
        <v>20240810</v>
      </c>
    </row>
    <row r="66" ht="15" spans="1:8">
      <c r="A66" s="18">
        <v>1003.2667</v>
      </c>
      <c r="B66" s="19">
        <v>56</v>
      </c>
      <c r="C66" s="19" t="s">
        <v>2625</v>
      </c>
      <c r="D66" s="19" t="s">
        <v>272</v>
      </c>
      <c r="E66" s="19" t="s">
        <v>1150</v>
      </c>
      <c r="F66" s="21" t="s">
        <v>2676</v>
      </c>
      <c r="G66" s="19">
        <v>1</v>
      </c>
      <c r="H66" s="17">
        <v>20240810</v>
      </c>
    </row>
    <row r="67" ht="15" spans="1:8">
      <c r="A67" s="18">
        <v>1003.2481</v>
      </c>
      <c r="B67" s="12">
        <v>58</v>
      </c>
      <c r="C67" s="12" t="s">
        <v>129</v>
      </c>
      <c r="D67" s="19" t="s">
        <v>228</v>
      </c>
      <c r="E67" s="20" t="s">
        <v>15</v>
      </c>
      <c r="F67" s="21" t="s">
        <v>2677</v>
      </c>
      <c r="G67" s="19">
        <v>0</v>
      </c>
      <c r="H67" s="17">
        <v>20240810</v>
      </c>
    </row>
    <row r="68" ht="15" spans="1:8">
      <c r="A68" s="18">
        <v>1003.2471</v>
      </c>
      <c r="B68" s="12">
        <v>58</v>
      </c>
      <c r="C68" s="12" t="s">
        <v>129</v>
      </c>
      <c r="D68" s="19" t="s">
        <v>235</v>
      </c>
      <c r="E68" s="19" t="s">
        <v>467</v>
      </c>
      <c r="F68" s="21" t="s">
        <v>2678</v>
      </c>
      <c r="G68" s="19">
        <v>1</v>
      </c>
      <c r="H68" s="17">
        <v>20240810</v>
      </c>
    </row>
    <row r="69" ht="15" spans="1:8">
      <c r="A69" s="18">
        <v>1003.2261</v>
      </c>
      <c r="B69" s="12">
        <v>61</v>
      </c>
      <c r="C69" s="12" t="s">
        <v>129</v>
      </c>
      <c r="D69" s="19" t="s">
        <v>228</v>
      </c>
      <c r="E69" s="20" t="s">
        <v>1102</v>
      </c>
      <c r="F69" s="21" t="s">
        <v>2679</v>
      </c>
      <c r="G69" s="19">
        <v>0</v>
      </c>
      <c r="H69" s="17">
        <v>20240810</v>
      </c>
    </row>
    <row r="70" ht="15" spans="1:8">
      <c r="A70" s="18">
        <v>1003.2211</v>
      </c>
      <c r="B70" s="19">
        <v>61</v>
      </c>
      <c r="C70" s="19" t="s">
        <v>2625</v>
      </c>
      <c r="D70" s="19" t="s">
        <v>231</v>
      </c>
      <c r="E70" s="19" t="s">
        <v>1150</v>
      </c>
      <c r="F70" s="21" t="s">
        <v>2680</v>
      </c>
      <c r="G70" s="19">
        <v>1</v>
      </c>
      <c r="H70" s="17">
        <v>20240810</v>
      </c>
    </row>
    <row r="71" ht="15" spans="1:8">
      <c r="A71" s="18">
        <v>1003.2211</v>
      </c>
      <c r="B71" s="19">
        <v>61</v>
      </c>
      <c r="C71" s="19" t="s">
        <v>2625</v>
      </c>
      <c r="D71" s="19" t="s">
        <v>235</v>
      </c>
      <c r="E71" s="19" t="s">
        <v>1030</v>
      </c>
      <c r="F71" s="21" t="s">
        <v>2681</v>
      </c>
      <c r="G71" s="19">
        <v>1</v>
      </c>
      <c r="H71" s="17">
        <v>20240810</v>
      </c>
    </row>
    <row r="72" ht="15" spans="1:8">
      <c r="A72" s="18">
        <v>1003.1811</v>
      </c>
      <c r="B72" s="12">
        <v>65</v>
      </c>
      <c r="C72" s="12" t="s">
        <v>129</v>
      </c>
      <c r="D72" s="19" t="s">
        <v>290</v>
      </c>
      <c r="E72" s="20" t="s">
        <v>33</v>
      </c>
      <c r="F72" s="21" t="s">
        <v>2682</v>
      </c>
      <c r="G72" s="19">
        <v>1</v>
      </c>
      <c r="H72" s="17">
        <v>20240810</v>
      </c>
    </row>
    <row r="73" ht="15" spans="1:8">
      <c r="A73" s="18">
        <v>1003.171</v>
      </c>
      <c r="B73" s="19">
        <v>66</v>
      </c>
      <c r="C73" s="19" t="s">
        <v>2625</v>
      </c>
      <c r="D73" s="19" t="s">
        <v>231</v>
      </c>
      <c r="E73" s="19" t="s">
        <v>1106</v>
      </c>
      <c r="F73" s="21" t="s">
        <v>2683</v>
      </c>
      <c r="G73" s="19">
        <v>1</v>
      </c>
      <c r="H73" s="17">
        <v>20240810</v>
      </c>
    </row>
    <row r="74" ht="15" spans="1:8">
      <c r="A74" s="18">
        <v>1003.1631</v>
      </c>
      <c r="B74" s="25">
        <v>67</v>
      </c>
      <c r="C74" s="26" t="s">
        <v>1902</v>
      </c>
      <c r="D74" s="27" t="s">
        <v>360</v>
      </c>
      <c r="E74" s="17" t="s">
        <v>19</v>
      </c>
      <c r="F74" s="21" t="s">
        <v>2684</v>
      </c>
      <c r="G74" s="17">
        <v>1</v>
      </c>
      <c r="H74" s="17">
        <v>20240810</v>
      </c>
    </row>
    <row r="75" ht="15" spans="1:8">
      <c r="A75" s="18">
        <v>1003.1521</v>
      </c>
      <c r="B75" s="25">
        <v>68</v>
      </c>
      <c r="C75" s="26" t="s">
        <v>1902</v>
      </c>
      <c r="D75" s="27" t="s">
        <v>360</v>
      </c>
      <c r="E75" s="17" t="s">
        <v>19</v>
      </c>
      <c r="F75" s="21" t="s">
        <v>1097</v>
      </c>
      <c r="G75" s="17">
        <v>1</v>
      </c>
      <c r="H75" s="17">
        <v>20240810</v>
      </c>
    </row>
    <row r="76" ht="15" spans="1:8">
      <c r="A76" s="18">
        <v>1003.1313</v>
      </c>
      <c r="B76" s="19">
        <v>70</v>
      </c>
      <c r="C76" s="19" t="s">
        <v>2625</v>
      </c>
      <c r="D76" s="19" t="s">
        <v>231</v>
      </c>
      <c r="E76" s="19" t="s">
        <v>1150</v>
      </c>
      <c r="F76" s="21" t="s">
        <v>2685</v>
      </c>
      <c r="G76" s="19">
        <v>1</v>
      </c>
      <c r="H76" s="17">
        <v>20240810</v>
      </c>
    </row>
    <row r="77" ht="15" spans="1:8">
      <c r="A77" s="18">
        <v>1003.1363</v>
      </c>
      <c r="B77" s="35">
        <v>70</v>
      </c>
      <c r="C77" s="26" t="s">
        <v>1902</v>
      </c>
      <c r="D77" s="36" t="s">
        <v>360</v>
      </c>
      <c r="E77" s="37" t="s">
        <v>1205</v>
      </c>
      <c r="F77" s="38" t="s">
        <v>2643</v>
      </c>
      <c r="G77" s="37">
        <v>1</v>
      </c>
      <c r="H77" s="17">
        <v>20240810</v>
      </c>
    </row>
    <row r="78" ht="15" spans="1:8">
      <c r="A78" s="18">
        <v>1003.1212</v>
      </c>
      <c r="B78" s="12">
        <v>71</v>
      </c>
      <c r="C78" s="12" t="s">
        <v>129</v>
      </c>
      <c r="D78" s="19" t="s">
        <v>228</v>
      </c>
      <c r="E78" s="20" t="s">
        <v>33</v>
      </c>
      <c r="F78" s="21" t="s">
        <v>2686</v>
      </c>
      <c r="G78" s="19">
        <v>0</v>
      </c>
      <c r="H78" s="17">
        <v>20240810</v>
      </c>
    </row>
    <row r="79" ht="40.5" spans="1:8">
      <c r="A79" s="18">
        <v>1003.1192</v>
      </c>
      <c r="B79" s="22">
        <v>72</v>
      </c>
      <c r="C79" s="22" t="s">
        <v>21</v>
      </c>
      <c r="D79" s="23" t="s">
        <v>18</v>
      </c>
      <c r="E79" s="22" t="s">
        <v>58</v>
      </c>
      <c r="F79" s="31" t="s">
        <v>2687</v>
      </c>
      <c r="G79" s="22">
        <v>1</v>
      </c>
      <c r="H79" s="17">
        <v>20240810</v>
      </c>
    </row>
    <row r="80" ht="15" spans="1:8">
      <c r="A80" s="18">
        <v>1003.1011</v>
      </c>
      <c r="B80" s="12">
        <v>73</v>
      </c>
      <c r="C80" s="12" t="s">
        <v>129</v>
      </c>
      <c r="D80" s="19" t="s">
        <v>235</v>
      </c>
      <c r="E80" s="20" t="s">
        <v>33</v>
      </c>
      <c r="F80" s="21" t="s">
        <v>2688</v>
      </c>
      <c r="G80" s="19">
        <v>0</v>
      </c>
      <c r="H80" s="17">
        <v>20240810</v>
      </c>
    </row>
    <row r="81" ht="15" spans="1:8">
      <c r="A81" s="18">
        <v>1003.0511</v>
      </c>
      <c r="B81" s="12">
        <v>78</v>
      </c>
      <c r="C81" s="12" t="s">
        <v>129</v>
      </c>
      <c r="D81" s="19" t="s">
        <v>235</v>
      </c>
      <c r="E81" s="20" t="s">
        <v>33</v>
      </c>
      <c r="F81" s="21" t="s">
        <v>2689</v>
      </c>
      <c r="G81" s="19">
        <v>1</v>
      </c>
      <c r="H81" s="17">
        <v>20240810</v>
      </c>
    </row>
    <row r="82" ht="40.5" spans="1:8">
      <c r="A82" s="18">
        <v>1003.0601</v>
      </c>
      <c r="B82" s="22">
        <v>78</v>
      </c>
      <c r="C82" s="22" t="s">
        <v>21</v>
      </c>
      <c r="D82" s="23" t="s">
        <v>18</v>
      </c>
      <c r="E82" s="22" t="s">
        <v>58</v>
      </c>
      <c r="F82" s="31" t="s">
        <v>2690</v>
      </c>
      <c r="G82" s="22">
        <v>1</v>
      </c>
      <c r="H82" s="17">
        <v>20240810</v>
      </c>
    </row>
    <row r="83" ht="15" spans="1:8">
      <c r="A83" s="18">
        <v>1003.0481</v>
      </c>
      <c r="B83" s="12">
        <v>79</v>
      </c>
      <c r="C83" s="28" t="s">
        <v>17</v>
      </c>
      <c r="D83" s="20" t="s">
        <v>18</v>
      </c>
      <c r="E83" s="20" t="s">
        <v>2691</v>
      </c>
      <c r="F83" s="21" t="s">
        <v>2692</v>
      </c>
      <c r="G83" s="19">
        <v>1</v>
      </c>
      <c r="H83" s="17">
        <v>20240810</v>
      </c>
    </row>
    <row r="84" ht="15" spans="1:8">
      <c r="A84" s="18">
        <v>1003.0312</v>
      </c>
      <c r="B84" s="19">
        <v>80</v>
      </c>
      <c r="C84" s="19" t="s">
        <v>2625</v>
      </c>
      <c r="D84" s="19" t="s">
        <v>290</v>
      </c>
      <c r="E84" s="19" t="s">
        <v>1030</v>
      </c>
      <c r="F84" s="21" t="s">
        <v>2693</v>
      </c>
      <c r="G84" s="19">
        <v>1</v>
      </c>
      <c r="H84" s="17">
        <v>20240810</v>
      </c>
    </row>
    <row r="85" ht="15" spans="1:8">
      <c r="A85" s="18">
        <v>1003.0113</v>
      </c>
      <c r="B85" s="12">
        <v>82</v>
      </c>
      <c r="C85" s="12" t="s">
        <v>129</v>
      </c>
      <c r="D85" s="19" t="s">
        <v>228</v>
      </c>
      <c r="E85" s="20" t="s">
        <v>33</v>
      </c>
      <c r="F85" s="21" t="s">
        <v>2694</v>
      </c>
      <c r="G85" s="19">
        <v>0</v>
      </c>
      <c r="H85" s="17">
        <v>20240810</v>
      </c>
    </row>
    <row r="86" ht="15" spans="1:8">
      <c r="A86" s="18">
        <v>1003.0178</v>
      </c>
      <c r="B86" s="12">
        <v>82</v>
      </c>
      <c r="C86" s="12" t="s">
        <v>129</v>
      </c>
      <c r="D86" s="19" t="s">
        <v>235</v>
      </c>
      <c r="E86" s="19" t="s">
        <v>997</v>
      </c>
      <c r="F86" s="21" t="s">
        <v>2695</v>
      </c>
      <c r="G86" s="19">
        <v>1</v>
      </c>
      <c r="H86" s="17">
        <v>20240810</v>
      </c>
    </row>
    <row r="87" ht="15" spans="1:8">
      <c r="A87" s="18">
        <v>1003.0113</v>
      </c>
      <c r="B87" s="19">
        <v>82</v>
      </c>
      <c r="C87" s="19" t="s">
        <v>2625</v>
      </c>
      <c r="D87" s="19" t="s">
        <v>231</v>
      </c>
      <c r="E87" s="19" t="s">
        <v>1106</v>
      </c>
      <c r="F87" s="21" t="s">
        <v>2696</v>
      </c>
      <c r="G87" s="19">
        <v>1</v>
      </c>
      <c r="H87" s="17">
        <v>20240810</v>
      </c>
    </row>
    <row r="88" ht="15" spans="1:8">
      <c r="A88" s="18">
        <v>1003.0055</v>
      </c>
      <c r="B88" s="22">
        <v>83</v>
      </c>
      <c r="C88" s="22" t="s">
        <v>253</v>
      </c>
      <c r="D88" s="22" t="s">
        <v>126</v>
      </c>
      <c r="E88" s="22" t="s">
        <v>515</v>
      </c>
      <c r="F88" s="31" t="s">
        <v>2697</v>
      </c>
      <c r="G88" s="22">
        <v>1</v>
      </c>
      <c r="H88" s="17">
        <v>20240810</v>
      </c>
    </row>
    <row r="89" ht="15" spans="1:8">
      <c r="A89" s="18">
        <v>1003.0015</v>
      </c>
      <c r="B89" s="19">
        <v>83</v>
      </c>
      <c r="C89" s="19" t="s">
        <v>2625</v>
      </c>
      <c r="D89" s="19" t="s">
        <v>272</v>
      </c>
      <c r="E89" s="19" t="s">
        <v>1150</v>
      </c>
      <c r="F89" s="21" t="s">
        <v>2698</v>
      </c>
      <c r="G89" s="19">
        <v>1</v>
      </c>
      <c r="H89" s="17">
        <v>20240810</v>
      </c>
    </row>
    <row r="90" ht="15" spans="1:8">
      <c r="A90" s="18">
        <v>1002.9915</v>
      </c>
      <c r="B90" s="12">
        <v>84</v>
      </c>
      <c r="C90" s="12" t="s">
        <v>129</v>
      </c>
      <c r="D90" s="19" t="s">
        <v>228</v>
      </c>
      <c r="E90" s="20" t="s">
        <v>33</v>
      </c>
      <c r="F90" s="21" t="s">
        <v>2699</v>
      </c>
      <c r="G90" s="19">
        <v>0</v>
      </c>
      <c r="H90" s="17">
        <v>20240810</v>
      </c>
    </row>
    <row r="91" ht="15" spans="1:8">
      <c r="A91" s="18">
        <v>1002.9965</v>
      </c>
      <c r="B91" s="19">
        <v>84</v>
      </c>
      <c r="C91" s="19" t="s">
        <v>2625</v>
      </c>
      <c r="D91" s="19" t="s">
        <v>228</v>
      </c>
      <c r="E91" s="19" t="s">
        <v>1030</v>
      </c>
      <c r="F91" s="21" t="s">
        <v>2700</v>
      </c>
      <c r="G91" s="19">
        <v>1</v>
      </c>
      <c r="H91" s="17">
        <v>20240810</v>
      </c>
    </row>
    <row r="92" ht="15" spans="1:8">
      <c r="A92" s="18">
        <v>1002.9915</v>
      </c>
      <c r="B92" s="19">
        <v>84</v>
      </c>
      <c r="C92" s="19" t="s">
        <v>2625</v>
      </c>
      <c r="D92" s="19" t="s">
        <v>231</v>
      </c>
      <c r="E92" s="19" t="s">
        <v>1150</v>
      </c>
      <c r="F92" s="21" t="s">
        <v>2360</v>
      </c>
      <c r="G92" s="19">
        <v>1</v>
      </c>
      <c r="H92" s="17">
        <v>20240810</v>
      </c>
    </row>
    <row r="93" ht="15" spans="1:8">
      <c r="A93" s="18">
        <v>1002.9881</v>
      </c>
      <c r="B93" s="19">
        <v>85</v>
      </c>
      <c r="C93" s="19" t="s">
        <v>2625</v>
      </c>
      <c r="D93" s="19" t="s">
        <v>272</v>
      </c>
      <c r="E93" s="19" t="s">
        <v>1150</v>
      </c>
      <c r="F93" s="21" t="s">
        <v>2701</v>
      </c>
      <c r="G93" s="19">
        <v>1</v>
      </c>
      <c r="H93" s="17">
        <v>20240810</v>
      </c>
    </row>
    <row r="94" ht="15" spans="1:8">
      <c r="A94" s="18">
        <v>1002.9716</v>
      </c>
      <c r="B94" s="12">
        <v>86</v>
      </c>
      <c r="C94" s="12" t="s">
        <v>129</v>
      </c>
      <c r="D94" s="19" t="s">
        <v>235</v>
      </c>
      <c r="E94" s="20" t="s">
        <v>33</v>
      </c>
      <c r="F94" s="21" t="s">
        <v>2702</v>
      </c>
      <c r="G94" s="19">
        <v>0</v>
      </c>
      <c r="H94" s="17">
        <v>20240810</v>
      </c>
    </row>
    <row r="95" ht="15" spans="1:8">
      <c r="A95" s="18">
        <v>1002.9682</v>
      </c>
      <c r="B95" s="22">
        <v>87</v>
      </c>
      <c r="C95" s="22" t="s">
        <v>253</v>
      </c>
      <c r="D95" s="22" t="s">
        <v>126</v>
      </c>
      <c r="E95" s="22" t="s">
        <v>515</v>
      </c>
      <c r="F95" s="31" t="s">
        <v>2703</v>
      </c>
      <c r="G95" s="22">
        <v>1</v>
      </c>
      <c r="H95" s="17">
        <v>20240810</v>
      </c>
    </row>
    <row r="96" ht="15" spans="1:8">
      <c r="A96" s="18">
        <v>1002.9617</v>
      </c>
      <c r="B96" s="19">
        <v>87</v>
      </c>
      <c r="C96" s="19" t="s">
        <v>2625</v>
      </c>
      <c r="D96" s="19" t="s">
        <v>231</v>
      </c>
      <c r="E96" s="19" t="s">
        <v>1150</v>
      </c>
      <c r="F96" s="21" t="s">
        <v>2704</v>
      </c>
      <c r="G96" s="19">
        <v>1</v>
      </c>
      <c r="H96" s="17">
        <v>20240810</v>
      </c>
    </row>
    <row r="97" ht="15" spans="1:8">
      <c r="A97" s="18">
        <v>1002.9518</v>
      </c>
      <c r="B97" s="12">
        <v>88</v>
      </c>
      <c r="C97" s="12" t="s">
        <v>129</v>
      </c>
      <c r="D97" s="19" t="s">
        <v>228</v>
      </c>
      <c r="E97" s="20" t="s">
        <v>33</v>
      </c>
      <c r="F97" s="21" t="s">
        <v>2705</v>
      </c>
      <c r="G97" s="19">
        <v>0</v>
      </c>
      <c r="H97" s="17">
        <v>20240810</v>
      </c>
    </row>
    <row r="98" ht="15" spans="1:8">
      <c r="A98" s="18">
        <v>1002.9388</v>
      </c>
      <c r="B98" s="19">
        <v>90</v>
      </c>
      <c r="C98" s="19" t="s">
        <v>2625</v>
      </c>
      <c r="D98" s="19" t="s">
        <v>231</v>
      </c>
      <c r="E98" s="19" t="s">
        <v>1106</v>
      </c>
      <c r="F98" s="21" t="s">
        <v>2706</v>
      </c>
      <c r="G98" s="19">
        <v>1</v>
      </c>
      <c r="H98" s="17">
        <v>20240810</v>
      </c>
    </row>
    <row r="99" ht="15" spans="1:8">
      <c r="A99" s="18">
        <v>1002.9118</v>
      </c>
      <c r="B99" s="12">
        <v>92</v>
      </c>
      <c r="C99" s="12" t="s">
        <v>129</v>
      </c>
      <c r="D99" s="19" t="s">
        <v>228</v>
      </c>
      <c r="E99" s="20" t="s">
        <v>33</v>
      </c>
      <c r="F99" s="21" t="s">
        <v>2657</v>
      </c>
      <c r="G99" s="19">
        <v>0</v>
      </c>
      <c r="H99" s="17">
        <v>20240810</v>
      </c>
    </row>
    <row r="100" ht="15" spans="1:8">
      <c r="A100" s="18">
        <v>1002.9017</v>
      </c>
      <c r="B100" s="12">
        <v>93</v>
      </c>
      <c r="C100" s="12" t="s">
        <v>129</v>
      </c>
      <c r="D100" s="19" t="s">
        <v>235</v>
      </c>
      <c r="E100" s="20" t="s">
        <v>33</v>
      </c>
      <c r="F100" s="21" t="s">
        <v>2707</v>
      </c>
      <c r="G100" s="19">
        <v>1</v>
      </c>
      <c r="H100" s="17">
        <v>20240810</v>
      </c>
    </row>
    <row r="101" ht="15" spans="1:8">
      <c r="A101" s="18">
        <v>1002.8917</v>
      </c>
      <c r="B101" s="12">
        <v>94</v>
      </c>
      <c r="C101" s="12" t="s">
        <v>129</v>
      </c>
      <c r="D101" s="19" t="s">
        <v>290</v>
      </c>
      <c r="E101" s="20" t="s">
        <v>33</v>
      </c>
      <c r="F101" s="21" t="s">
        <v>2708</v>
      </c>
      <c r="G101" s="19">
        <v>0</v>
      </c>
      <c r="H101" s="17">
        <v>20240810</v>
      </c>
    </row>
    <row r="102" ht="15" spans="1:8">
      <c r="A102" s="18">
        <v>1002.8917</v>
      </c>
      <c r="B102" s="35">
        <v>94</v>
      </c>
      <c r="C102" s="26" t="s">
        <v>1902</v>
      </c>
      <c r="D102" s="36" t="s">
        <v>360</v>
      </c>
      <c r="E102" s="37" t="s">
        <v>1205</v>
      </c>
      <c r="F102" s="38" t="s">
        <v>1907</v>
      </c>
      <c r="G102" s="37">
        <v>1</v>
      </c>
      <c r="H102" s="17">
        <v>20240810</v>
      </c>
    </row>
    <row r="103" ht="15" spans="1:8">
      <c r="A103" s="18">
        <v>1002.8819</v>
      </c>
      <c r="B103" s="12">
        <v>95</v>
      </c>
      <c r="C103" s="12" t="s">
        <v>129</v>
      </c>
      <c r="D103" s="19" t="s">
        <v>235</v>
      </c>
      <c r="E103" s="20" t="s">
        <v>33</v>
      </c>
      <c r="F103" s="21" t="s">
        <v>2657</v>
      </c>
      <c r="G103" s="19">
        <v>0</v>
      </c>
      <c r="H103" s="17">
        <v>20240810</v>
      </c>
    </row>
    <row r="104" ht="15" spans="1:8">
      <c r="A104" s="18">
        <v>1002.8919</v>
      </c>
      <c r="B104" s="19">
        <v>95</v>
      </c>
      <c r="C104" s="19" t="s">
        <v>2625</v>
      </c>
      <c r="D104" s="19" t="s">
        <v>272</v>
      </c>
      <c r="E104" s="19" t="s">
        <v>1106</v>
      </c>
      <c r="F104" s="21" t="s">
        <v>2709</v>
      </c>
      <c r="G104" s="19">
        <v>1</v>
      </c>
      <c r="H104" s="17">
        <v>20240810</v>
      </c>
    </row>
    <row r="105" ht="15" spans="1:8">
      <c r="A105" s="18">
        <v>1002.8718</v>
      </c>
      <c r="B105" s="19">
        <v>96</v>
      </c>
      <c r="C105" s="19" t="s">
        <v>2625</v>
      </c>
      <c r="D105" s="19" t="s">
        <v>272</v>
      </c>
      <c r="E105" s="19" t="s">
        <v>1106</v>
      </c>
      <c r="F105" s="21" t="s">
        <v>2710</v>
      </c>
      <c r="G105" s="19">
        <v>1</v>
      </c>
      <c r="H105" s="17">
        <v>20240810</v>
      </c>
    </row>
    <row r="106" ht="15" spans="1:8">
      <c r="A106" s="18">
        <v>1002.8738</v>
      </c>
      <c r="B106" s="35">
        <v>96</v>
      </c>
      <c r="C106" s="26" t="s">
        <v>1902</v>
      </c>
      <c r="D106" s="36" t="s">
        <v>360</v>
      </c>
      <c r="E106" s="37" t="s">
        <v>1205</v>
      </c>
      <c r="F106" s="38" t="s">
        <v>2711</v>
      </c>
      <c r="G106" s="37">
        <v>1</v>
      </c>
      <c r="H106" s="17">
        <v>20240810</v>
      </c>
    </row>
    <row r="107" ht="15" spans="1:8">
      <c r="A107" s="18">
        <v>1002.8713</v>
      </c>
      <c r="B107" s="19">
        <v>97</v>
      </c>
      <c r="C107" s="19" t="s">
        <v>2625</v>
      </c>
      <c r="D107" s="19" t="s">
        <v>231</v>
      </c>
      <c r="E107" s="19" t="s">
        <v>1106</v>
      </c>
      <c r="F107" s="21" t="s">
        <v>2712</v>
      </c>
      <c r="G107" s="19">
        <v>1</v>
      </c>
      <c r="H107" s="17">
        <v>20240810</v>
      </c>
    </row>
    <row r="108" ht="15" spans="1:8">
      <c r="A108" s="18">
        <v>1002.8618</v>
      </c>
      <c r="B108" s="19">
        <v>97</v>
      </c>
      <c r="C108" s="19" t="s">
        <v>2625</v>
      </c>
      <c r="D108" s="19" t="s">
        <v>272</v>
      </c>
      <c r="E108" s="20" t="s">
        <v>2517</v>
      </c>
      <c r="F108" s="21" t="s">
        <v>2713</v>
      </c>
      <c r="G108" s="19">
        <v>1</v>
      </c>
      <c r="H108" s="17">
        <v>20240810</v>
      </c>
    </row>
    <row r="109" ht="15" spans="1:8">
      <c r="A109" s="18">
        <v>1002.8618</v>
      </c>
      <c r="B109" s="19">
        <v>97</v>
      </c>
      <c r="C109" s="19" t="s">
        <v>2625</v>
      </c>
      <c r="D109" s="19" t="s">
        <v>228</v>
      </c>
      <c r="E109" s="19" t="s">
        <v>1030</v>
      </c>
      <c r="F109" s="21" t="s">
        <v>2714</v>
      </c>
      <c r="G109" s="19">
        <v>1</v>
      </c>
      <c r="H109" s="17">
        <v>20240810</v>
      </c>
    </row>
    <row r="110" ht="15" spans="1:8">
      <c r="A110" s="18">
        <v>1002.8538</v>
      </c>
      <c r="B110" s="12">
        <v>98</v>
      </c>
      <c r="C110" s="12" t="s">
        <v>129</v>
      </c>
      <c r="D110" s="19" t="s">
        <v>235</v>
      </c>
      <c r="E110" s="20" t="s">
        <v>33</v>
      </c>
      <c r="F110" s="21" t="s">
        <v>2715</v>
      </c>
      <c r="G110" s="19">
        <v>0</v>
      </c>
      <c r="H110" s="17">
        <v>20240810</v>
      </c>
    </row>
    <row r="111" ht="15" spans="1:8">
      <c r="A111" s="18">
        <v>1002.8518</v>
      </c>
      <c r="B111" s="12">
        <v>98</v>
      </c>
      <c r="C111" s="12" t="s">
        <v>129</v>
      </c>
      <c r="D111" s="19" t="s">
        <v>235</v>
      </c>
      <c r="E111" s="19" t="s">
        <v>997</v>
      </c>
      <c r="F111" s="21" t="s">
        <v>2716</v>
      </c>
      <c r="G111" s="19">
        <v>1</v>
      </c>
      <c r="H111" s="17">
        <v>20240810</v>
      </c>
    </row>
    <row r="112" ht="15" spans="1:8">
      <c r="A112" s="18">
        <v>1002.8558</v>
      </c>
      <c r="B112" s="22">
        <v>98</v>
      </c>
      <c r="C112" s="22" t="s">
        <v>253</v>
      </c>
      <c r="D112" s="22" t="s">
        <v>126</v>
      </c>
      <c r="E112" s="22" t="s">
        <v>515</v>
      </c>
      <c r="F112" s="31" t="s">
        <v>2697</v>
      </c>
      <c r="G112" s="22">
        <v>1</v>
      </c>
      <c r="H112" s="17">
        <v>20240810</v>
      </c>
    </row>
    <row r="113" ht="15" spans="1:8">
      <c r="A113" s="18">
        <v>1002.8538</v>
      </c>
      <c r="B113" s="19">
        <v>98</v>
      </c>
      <c r="C113" s="19" t="s">
        <v>2625</v>
      </c>
      <c r="D113" s="19" t="s">
        <v>235</v>
      </c>
      <c r="E113" s="19" t="s">
        <v>1030</v>
      </c>
      <c r="F113" s="21" t="s">
        <v>2717</v>
      </c>
      <c r="G113" s="19">
        <v>1</v>
      </c>
      <c r="H113" s="17">
        <v>20240810</v>
      </c>
    </row>
    <row r="114" ht="15.75" spans="1:8">
      <c r="A114" s="18">
        <v>1002.8418</v>
      </c>
      <c r="B114" s="35">
        <v>99</v>
      </c>
      <c r="C114" s="29" t="s">
        <v>238</v>
      </c>
      <c r="D114" s="27" t="s">
        <v>401</v>
      </c>
      <c r="E114" s="30" t="s">
        <v>2236</v>
      </c>
      <c r="F114" s="31" t="s">
        <v>2648</v>
      </c>
      <c r="G114" s="17">
        <v>1</v>
      </c>
      <c r="H114" s="17">
        <v>20240810</v>
      </c>
    </row>
    <row r="115" ht="15" spans="1:8">
      <c r="A115" s="18">
        <v>1002.8318</v>
      </c>
      <c r="B115" s="12">
        <v>100</v>
      </c>
      <c r="C115" s="12" t="s">
        <v>129</v>
      </c>
      <c r="D115" s="19" t="s">
        <v>235</v>
      </c>
      <c r="E115" s="20" t="s">
        <v>33</v>
      </c>
      <c r="F115" s="21" t="s">
        <v>2657</v>
      </c>
      <c r="G115" s="19">
        <v>0</v>
      </c>
      <c r="H115" s="17">
        <v>20240810</v>
      </c>
    </row>
    <row r="116" ht="15" spans="1:8">
      <c r="A116" s="18">
        <v>1002.8217</v>
      </c>
      <c r="B116" s="12">
        <v>101</v>
      </c>
      <c r="C116" s="12" t="s">
        <v>129</v>
      </c>
      <c r="D116" s="19" t="s">
        <v>290</v>
      </c>
      <c r="E116" s="20" t="s">
        <v>33</v>
      </c>
      <c r="F116" s="21" t="s">
        <v>2718</v>
      </c>
      <c r="G116" s="19">
        <v>0</v>
      </c>
      <c r="H116" s="17">
        <v>20240810</v>
      </c>
    </row>
    <row r="117" ht="15" spans="1:8">
      <c r="A117" s="18">
        <v>1002.8117</v>
      </c>
      <c r="B117" s="12">
        <v>102</v>
      </c>
      <c r="C117" s="12" t="s">
        <v>129</v>
      </c>
      <c r="D117" s="19" t="s">
        <v>290</v>
      </c>
      <c r="E117" s="20" t="s">
        <v>33</v>
      </c>
      <c r="F117" s="21" t="s">
        <v>2719</v>
      </c>
      <c r="G117" s="19">
        <v>0</v>
      </c>
      <c r="H117" s="17">
        <v>20240810</v>
      </c>
    </row>
    <row r="118" ht="15" spans="1:8">
      <c r="A118" s="18">
        <v>1002.8117</v>
      </c>
      <c r="B118" s="19">
        <v>102</v>
      </c>
      <c r="C118" s="19" t="s">
        <v>2625</v>
      </c>
      <c r="D118" s="19" t="s">
        <v>290</v>
      </c>
      <c r="E118" s="19" t="s">
        <v>1030</v>
      </c>
      <c r="F118" s="21" t="s">
        <v>2720</v>
      </c>
      <c r="G118" s="19">
        <v>1</v>
      </c>
      <c r="H118" s="17">
        <v>20240810</v>
      </c>
    </row>
    <row r="119" ht="15.75" spans="1:8">
      <c r="A119" s="18">
        <v>1002.8017</v>
      </c>
      <c r="B119" s="35">
        <v>103</v>
      </c>
      <c r="C119" s="29" t="s">
        <v>238</v>
      </c>
      <c r="D119" s="27" t="s">
        <v>401</v>
      </c>
      <c r="E119" s="30" t="s">
        <v>2236</v>
      </c>
      <c r="F119" s="31" t="s">
        <v>2721</v>
      </c>
      <c r="G119" s="17">
        <v>1</v>
      </c>
      <c r="H119" s="17">
        <v>20240810</v>
      </c>
    </row>
    <row r="120" ht="15" spans="1:8">
      <c r="A120" s="18">
        <v>1002.7867</v>
      </c>
      <c r="B120" s="35">
        <v>105</v>
      </c>
      <c r="C120" s="26" t="s">
        <v>1902</v>
      </c>
      <c r="D120" s="36" t="s">
        <v>360</v>
      </c>
      <c r="E120" s="37" t="s">
        <v>19</v>
      </c>
      <c r="F120" s="38" t="s">
        <v>2722</v>
      </c>
      <c r="G120" s="37">
        <v>1</v>
      </c>
      <c r="H120" s="17">
        <v>20240810</v>
      </c>
    </row>
    <row r="121" ht="15" spans="1:8">
      <c r="A121" s="18">
        <v>1002.7721</v>
      </c>
      <c r="B121" s="12">
        <v>106</v>
      </c>
      <c r="C121" s="12" t="s">
        <v>129</v>
      </c>
      <c r="D121" s="20" t="s">
        <v>49</v>
      </c>
      <c r="E121" s="20" t="s">
        <v>15</v>
      </c>
      <c r="F121" s="21" t="s">
        <v>2723</v>
      </c>
      <c r="G121" s="19">
        <v>0</v>
      </c>
      <c r="H121" s="17">
        <v>20240810</v>
      </c>
    </row>
    <row r="122" ht="15" spans="1:8">
      <c r="A122" s="18">
        <v>1002.7741</v>
      </c>
      <c r="B122" s="22">
        <v>106</v>
      </c>
      <c r="C122" s="22" t="s">
        <v>253</v>
      </c>
      <c r="D122" s="22" t="s">
        <v>126</v>
      </c>
      <c r="E122" s="22" t="s">
        <v>515</v>
      </c>
      <c r="F122" s="31" t="s">
        <v>2724</v>
      </c>
      <c r="G122" s="22">
        <v>1</v>
      </c>
      <c r="H122" s="17">
        <v>20240810</v>
      </c>
    </row>
    <row r="123" ht="15" spans="1:8">
      <c r="A123" s="18">
        <v>1002.7701</v>
      </c>
      <c r="B123" s="35">
        <v>107</v>
      </c>
      <c r="C123" s="29" t="s">
        <v>238</v>
      </c>
      <c r="D123" s="27" t="s">
        <v>130</v>
      </c>
      <c r="E123" s="30" t="s">
        <v>2064</v>
      </c>
      <c r="F123" s="21" t="s">
        <v>2725</v>
      </c>
      <c r="G123" s="17">
        <v>1</v>
      </c>
      <c r="H123" s="17">
        <v>20240810</v>
      </c>
    </row>
    <row r="124" ht="25.5" spans="1:8">
      <c r="A124" s="18">
        <v>1002.7171</v>
      </c>
      <c r="B124" s="19">
        <v>112</v>
      </c>
      <c r="C124" s="19" t="s">
        <v>2625</v>
      </c>
      <c r="D124" s="19" t="s">
        <v>2205</v>
      </c>
      <c r="E124" s="19" t="s">
        <v>1030</v>
      </c>
      <c r="F124" s="21" t="s">
        <v>2726</v>
      </c>
      <c r="G124" s="19">
        <v>1</v>
      </c>
      <c r="H124" s="17">
        <v>20240810</v>
      </c>
    </row>
    <row r="125" ht="27" spans="1:8">
      <c r="A125" s="15">
        <v>1003.807</v>
      </c>
      <c r="B125" s="15" t="s">
        <v>94</v>
      </c>
      <c r="C125" s="22" t="s">
        <v>170</v>
      </c>
      <c r="D125" s="22" t="s">
        <v>170</v>
      </c>
      <c r="E125" s="22" t="s">
        <v>172</v>
      </c>
      <c r="F125" s="31" t="s">
        <v>222</v>
      </c>
      <c r="G125" s="22">
        <v>1</v>
      </c>
      <c r="H125" s="17">
        <v>20240810</v>
      </c>
    </row>
    <row r="126" ht="27" spans="1:8">
      <c r="A126" s="15">
        <v>1002.822</v>
      </c>
      <c r="B126" s="15" t="s">
        <v>2727</v>
      </c>
      <c r="C126" s="22" t="s">
        <v>170</v>
      </c>
      <c r="D126" s="22" t="s">
        <v>170</v>
      </c>
      <c r="E126" s="22" t="s">
        <v>172</v>
      </c>
      <c r="F126" s="31" t="s">
        <v>222</v>
      </c>
      <c r="G126" s="22">
        <v>1</v>
      </c>
      <c r="H126" s="17">
        <v>20240810</v>
      </c>
    </row>
    <row r="127" ht="27" spans="1:8">
      <c r="A127" s="15">
        <v>1003.711</v>
      </c>
      <c r="B127" s="15" t="s">
        <v>99</v>
      </c>
      <c r="C127" s="22" t="s">
        <v>170</v>
      </c>
      <c r="D127" s="22" t="s">
        <v>170</v>
      </c>
      <c r="E127" s="22" t="s">
        <v>172</v>
      </c>
      <c r="F127" s="31" t="s">
        <v>222</v>
      </c>
      <c r="G127" s="22">
        <v>1</v>
      </c>
      <c r="H127" s="17">
        <v>20240810</v>
      </c>
    </row>
    <row r="128" ht="27" spans="1:8">
      <c r="A128" s="15">
        <v>1003.611</v>
      </c>
      <c r="B128" s="15" t="s">
        <v>100</v>
      </c>
      <c r="C128" s="22" t="s">
        <v>170</v>
      </c>
      <c r="D128" s="22" t="s">
        <v>170</v>
      </c>
      <c r="E128" s="22" t="s">
        <v>172</v>
      </c>
      <c r="F128" s="31" t="s">
        <v>222</v>
      </c>
      <c r="G128" s="22">
        <v>1</v>
      </c>
      <c r="H128" s="17">
        <v>20240810</v>
      </c>
    </row>
    <row r="129" ht="27" spans="1:8">
      <c r="A129" s="15">
        <v>1003.511</v>
      </c>
      <c r="B129" s="15" t="s">
        <v>101</v>
      </c>
      <c r="C129" s="22" t="s">
        <v>170</v>
      </c>
      <c r="D129" s="22" t="s">
        <v>170</v>
      </c>
      <c r="E129" s="22" t="s">
        <v>172</v>
      </c>
      <c r="F129" s="31" t="s">
        <v>222</v>
      </c>
      <c r="G129" s="22">
        <v>1</v>
      </c>
      <c r="H129" s="17">
        <v>20240810</v>
      </c>
    </row>
    <row r="130" ht="27" spans="1:8">
      <c r="A130" s="15">
        <v>1003.408</v>
      </c>
      <c r="B130" s="15" t="s">
        <v>102</v>
      </c>
      <c r="C130" s="22" t="s">
        <v>170</v>
      </c>
      <c r="D130" s="22" t="s">
        <v>170</v>
      </c>
      <c r="E130" s="22" t="s">
        <v>172</v>
      </c>
      <c r="F130" s="31" t="s">
        <v>222</v>
      </c>
      <c r="G130" s="22">
        <v>1</v>
      </c>
      <c r="H130" s="17">
        <v>20240810</v>
      </c>
    </row>
    <row r="131" ht="27" spans="1:8">
      <c r="A131" s="15">
        <v>1003.309</v>
      </c>
      <c r="B131" s="15" t="s">
        <v>103</v>
      </c>
      <c r="C131" s="22" t="s">
        <v>170</v>
      </c>
      <c r="D131" s="22" t="s">
        <v>170</v>
      </c>
      <c r="E131" s="22" t="s">
        <v>172</v>
      </c>
      <c r="F131" s="31" t="s">
        <v>222</v>
      </c>
      <c r="G131" s="22">
        <v>1</v>
      </c>
      <c r="H131" s="17">
        <v>20240810</v>
      </c>
    </row>
    <row r="132" ht="27" spans="1:8">
      <c r="A132" s="15">
        <v>1003.221</v>
      </c>
      <c r="B132" s="15" t="s">
        <v>223</v>
      </c>
      <c r="C132" s="22" t="s">
        <v>170</v>
      </c>
      <c r="D132" s="22" t="s">
        <v>170</v>
      </c>
      <c r="E132" s="22" t="s">
        <v>172</v>
      </c>
      <c r="F132" s="31" t="s">
        <v>222</v>
      </c>
      <c r="G132" s="22">
        <v>1</v>
      </c>
      <c r="H132" s="17">
        <v>20240810</v>
      </c>
    </row>
    <row r="133" ht="27" spans="1:8">
      <c r="A133" s="15">
        <v>1003.121</v>
      </c>
      <c r="B133" s="15" t="s">
        <v>449</v>
      </c>
      <c r="C133" s="22" t="s">
        <v>170</v>
      </c>
      <c r="D133" s="22" t="s">
        <v>170</v>
      </c>
      <c r="E133" s="22" t="s">
        <v>172</v>
      </c>
      <c r="F133" s="31" t="s">
        <v>222</v>
      </c>
      <c r="G133" s="22">
        <v>1</v>
      </c>
      <c r="H133" s="17">
        <v>20240810</v>
      </c>
    </row>
    <row r="134" ht="27" spans="1:8">
      <c r="A134" s="15">
        <v>1003.021</v>
      </c>
      <c r="B134" s="15" t="s">
        <v>680</v>
      </c>
      <c r="C134" s="22" t="s">
        <v>170</v>
      </c>
      <c r="D134" s="22" t="s">
        <v>170</v>
      </c>
      <c r="E134" s="22" t="s">
        <v>172</v>
      </c>
      <c r="F134" s="31" t="s">
        <v>222</v>
      </c>
      <c r="G134" s="22">
        <v>1</v>
      </c>
      <c r="H134" s="17">
        <v>20240810</v>
      </c>
    </row>
    <row r="135" ht="27" spans="1:8">
      <c r="A135" s="15">
        <v>1002.922</v>
      </c>
      <c r="B135" s="15" t="s">
        <v>681</v>
      </c>
      <c r="C135" s="22" t="s">
        <v>170</v>
      </c>
      <c r="D135" s="22" t="s">
        <v>170</v>
      </c>
      <c r="E135" s="22" t="s">
        <v>172</v>
      </c>
      <c r="F135" s="31" t="s">
        <v>222</v>
      </c>
      <c r="G135" s="22">
        <v>1</v>
      </c>
      <c r="H135" s="17">
        <v>20240810</v>
      </c>
    </row>
    <row r="136" ht="15" spans="1:8">
      <c r="B136" s="23" t="s">
        <v>92</v>
      </c>
      <c r="C136" s="22" t="s">
        <v>125</v>
      </c>
      <c r="D136" s="22" t="s">
        <v>91</v>
      </c>
      <c r="E136" s="22" t="s">
        <v>91</v>
      </c>
      <c r="F136" s="31" t="s">
        <v>2301</v>
      </c>
      <c r="G136" s="22">
        <v>0</v>
      </c>
      <c r="H136" s="17">
        <v>20240810</v>
      </c>
    </row>
    <row r="137" ht="15" spans="1:8">
      <c r="B137" s="23" t="s">
        <v>92</v>
      </c>
      <c r="C137" s="22" t="s">
        <v>12</v>
      </c>
      <c r="D137" s="22" t="s">
        <v>12</v>
      </c>
      <c r="E137" s="22" t="s">
        <v>91</v>
      </c>
      <c r="F137" s="31" t="s">
        <v>2209</v>
      </c>
      <c r="G137" s="22">
        <v>0</v>
      </c>
      <c r="H137" s="17">
        <v>20240810</v>
      </c>
    </row>
  </sheetData>
  <autoFilter xmlns:etc="http://www.wps.cn/officeDocument/2017/etCustomData" ref="A1:H137" etc:filterBottomFollowUsedRange="0">
    <extLst/>
  </autoFilter>
  <sortState ref="A2:H137">
    <sortCondition ref="B2:B137"/>
  </sortState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38"/>
  <sheetViews>
    <sheetView workbookViewId="0">
      <selection activeCell="Q18" sqref="Q18"/>
    </sheetView>
  </sheetViews>
  <sheetFormatPr defaultColWidth="9" defaultRowHeight="14.25" outlineLevelCol="5"/>
  <cols>
    <col min="1" max="1" width="13.875" customWidth="1"/>
    <col min="2" max="2" width="12.625" customWidth="1"/>
    <col min="3" max="3" width="17.5" customWidth="1"/>
    <col min="4" max="4" width="10.375" customWidth="1"/>
  </cols>
  <sheetData>
    <row r="3" spans="1:5">
      <c r="B3" s="9" t="s">
        <v>15</v>
      </c>
      <c r="C3" s="9" t="s">
        <v>33</v>
      </c>
      <c r="D3" s="4" t="s">
        <v>232</v>
      </c>
      <c r="E3" s="4" t="s">
        <v>41</v>
      </c>
    </row>
    <row r="4" spans="1:5">
      <c r="A4" t="s">
        <v>2728</v>
      </c>
      <c r="B4" s="9">
        <v>2</v>
      </c>
      <c r="C4" s="9">
        <v>19</v>
      </c>
      <c r="D4" s="4">
        <v>0</v>
      </c>
      <c r="E4" s="4">
        <v>0</v>
      </c>
    </row>
    <row r="5" spans="1:5">
      <c r="A5" s="1" t="s">
        <v>2729</v>
      </c>
      <c r="B5" s="4">
        <v>21</v>
      </c>
      <c r="C5" s="4">
        <v>7</v>
      </c>
      <c r="D5" s="4">
        <v>1</v>
      </c>
      <c r="E5" s="4">
        <v>19</v>
      </c>
    </row>
    <row r="6" spans="1:5">
      <c r="A6" s="1" t="s">
        <v>2730</v>
      </c>
      <c r="B6" s="4">
        <v>25</v>
      </c>
      <c r="C6" s="4">
        <v>5</v>
      </c>
      <c r="D6" s="4">
        <v>1</v>
      </c>
      <c r="E6" s="4">
        <v>7</v>
      </c>
    </row>
    <row r="7" spans="1:5">
      <c r="A7" s="1" t="s">
        <v>2731</v>
      </c>
      <c r="B7" s="4">
        <v>1</v>
      </c>
      <c r="C7" s="4">
        <v>3</v>
      </c>
      <c r="D7" s="4">
        <v>0</v>
      </c>
      <c r="E7" s="4">
        <v>0</v>
      </c>
    </row>
    <row r="8" spans="1:5">
      <c r="A8" s="1" t="s">
        <v>2732</v>
      </c>
      <c r="B8" s="4">
        <v>2</v>
      </c>
      <c r="C8" s="4">
        <v>4</v>
      </c>
      <c r="D8" s="4">
        <v>0</v>
      </c>
      <c r="E8" s="4">
        <v>0</v>
      </c>
    </row>
    <row r="9" spans="1:5">
      <c r="A9" s="1" t="s">
        <v>2733</v>
      </c>
      <c r="B9" s="4">
        <v>13</v>
      </c>
      <c r="C9" s="4">
        <v>25</v>
      </c>
      <c r="D9" s="4">
        <v>0</v>
      </c>
      <c r="E9" s="4">
        <v>6</v>
      </c>
    </row>
    <row r="10" spans="1:5">
      <c r="A10" s="1" t="s">
        <v>2734</v>
      </c>
      <c r="B10" s="4">
        <v>6</v>
      </c>
      <c r="C10" s="4">
        <v>13</v>
      </c>
      <c r="D10" s="4">
        <v>0</v>
      </c>
      <c r="E10" s="4">
        <v>0</v>
      </c>
    </row>
    <row r="11" spans="1:5">
      <c r="A11" s="1" t="s">
        <v>2735</v>
      </c>
      <c r="B11" s="4">
        <v>61</v>
      </c>
      <c r="C11" s="4">
        <v>62</v>
      </c>
      <c r="D11" s="4">
        <v>6</v>
      </c>
      <c r="E11" s="4">
        <v>8</v>
      </c>
    </row>
    <row r="12" spans="1:5">
      <c r="A12" s="1" t="s">
        <v>2736</v>
      </c>
      <c r="B12" s="4">
        <v>57</v>
      </c>
      <c r="C12" s="4">
        <v>48</v>
      </c>
      <c r="D12" s="4">
        <v>8</v>
      </c>
      <c r="E12" s="4">
        <v>7</v>
      </c>
    </row>
    <row r="13" spans="1:5">
      <c r="B13" s="4"/>
      <c r="C13" s="4"/>
      <c r="D13" s="4"/>
    </row>
    <row r="14" spans="1:5">
      <c r="B14" s="4">
        <v>188</v>
      </c>
      <c r="C14" s="4">
        <v>186</v>
      </c>
      <c r="D14" s="4">
        <v>16</v>
      </c>
      <c r="E14" s="4">
        <v>47</v>
      </c>
    </row>
    <row r="26" ht="15" spans="1:4">
      <c r="B26" s="12" t="s">
        <v>2737</v>
      </c>
      <c r="C26" s="12" t="s">
        <v>2738</v>
      </c>
      <c r="D26" s="12" t="s">
        <v>2739</v>
      </c>
    </row>
    <row r="27" spans="1:4">
      <c r="A27" t="s">
        <v>2728</v>
      </c>
      <c r="B27" s="4">
        <v>7</v>
      </c>
      <c r="C27" s="4">
        <v>11</v>
      </c>
      <c r="D27" s="4">
        <v>3</v>
      </c>
    </row>
    <row r="28" spans="1:4">
      <c r="A28" s="1" t="s">
        <v>2729</v>
      </c>
      <c r="B28" s="4">
        <v>10</v>
      </c>
      <c r="C28" s="4">
        <v>14</v>
      </c>
      <c r="D28" s="4">
        <v>5</v>
      </c>
    </row>
    <row r="29" spans="1:4">
      <c r="A29" s="1" t="s">
        <v>2730</v>
      </c>
      <c r="B29" s="4">
        <v>17</v>
      </c>
      <c r="C29" s="4">
        <v>13</v>
      </c>
      <c r="D29" s="4">
        <v>1</v>
      </c>
    </row>
    <row r="30" spans="1:4">
      <c r="A30" s="1" t="s">
        <v>2731</v>
      </c>
      <c r="B30" s="4">
        <v>0</v>
      </c>
      <c r="C30" s="4">
        <v>1</v>
      </c>
      <c r="D30" s="4">
        <v>3</v>
      </c>
    </row>
    <row r="31" spans="1:4">
      <c r="A31" s="1" t="s">
        <v>2732</v>
      </c>
      <c r="B31" s="4">
        <v>2</v>
      </c>
      <c r="C31" s="4">
        <v>2</v>
      </c>
      <c r="D31" s="4">
        <v>2</v>
      </c>
    </row>
    <row r="32" spans="1:4">
      <c r="A32" s="1" t="s">
        <v>2733</v>
      </c>
      <c r="B32" s="4">
        <v>7</v>
      </c>
      <c r="C32" s="4">
        <v>17</v>
      </c>
      <c r="D32" s="4">
        <v>14</v>
      </c>
    </row>
    <row r="33" spans="1:6">
      <c r="A33" s="1" t="s">
        <v>2734</v>
      </c>
      <c r="B33" s="4">
        <v>5</v>
      </c>
      <c r="C33" s="4">
        <v>11</v>
      </c>
      <c r="D33" s="4">
        <v>3</v>
      </c>
      <c r="F33" s="4"/>
    </row>
    <row r="34" spans="1:6">
      <c r="A34" s="1" t="s">
        <v>2735</v>
      </c>
      <c r="B34" s="4">
        <v>54</v>
      </c>
      <c r="C34" s="4">
        <v>42</v>
      </c>
      <c r="D34" s="4">
        <v>33</v>
      </c>
      <c r="F34" s="4"/>
    </row>
    <row r="35" spans="1:6">
      <c r="A35" s="1" t="s">
        <v>2736</v>
      </c>
      <c r="B35" s="4">
        <v>59</v>
      </c>
      <c r="C35" s="4">
        <v>39</v>
      </c>
      <c r="D35" s="4">
        <v>15</v>
      </c>
    </row>
    <row r="38" spans="1:6">
      <c r="B38" s="4">
        <v>161</v>
      </c>
      <c r="C38" s="4">
        <v>150</v>
      </c>
      <c r="D38" s="4">
        <v>79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6"/>
  <sheetViews>
    <sheetView workbookViewId="0">
      <selection activeCell="E9" sqref="E9"/>
    </sheetView>
  </sheetViews>
  <sheetFormatPr defaultColWidth="9" defaultRowHeight="15"/>
  <cols>
    <col min="1" max="1" width="14" style="3" customWidth="1"/>
    <col min="2" max="2" width="9.75" style="3" customWidth="1"/>
    <col min="3" max="7" width="9" style="4"/>
    <col min="8" max="8" width="11.25" style="4" customWidth="1"/>
    <col min="9" max="9" width="13.5" style="4" customWidth="1"/>
    <col min="10" max="10" width="9" style="4"/>
    <col min="11" max="11" width="12.5" style="4" customWidth="1"/>
    <col min="12" max="12" width="9" style="4"/>
    <col min="14" max="16" width="9" style="4"/>
  </cols>
  <sheetData>
    <row r="1" spans="1:21">
      <c r="A1" s="5"/>
      <c r="B1" s="5"/>
      <c r="C1" s="6" t="s">
        <v>765</v>
      </c>
      <c r="D1" s="7" t="s">
        <v>106</v>
      </c>
      <c r="E1" s="7" t="s">
        <v>8</v>
      </c>
      <c r="F1" s="7" t="s">
        <v>219</v>
      </c>
      <c r="G1" s="7" t="s">
        <v>17</v>
      </c>
      <c r="H1" s="7" t="s">
        <v>88</v>
      </c>
      <c r="I1" s="7" t="s">
        <v>95</v>
      </c>
      <c r="J1" s="7" t="s">
        <v>25</v>
      </c>
      <c r="K1" s="7" t="s">
        <v>2740</v>
      </c>
    </row>
    <row r="2" ht="14.25" spans="1:21">
      <c r="A2" s="5" t="s">
        <v>2741</v>
      </c>
      <c r="B2" s="8" t="s">
        <v>2742</v>
      </c>
      <c r="C2" s="4">
        <v>0</v>
      </c>
      <c r="D2" s="4">
        <v>0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M2" s="1" t="s">
        <v>765</v>
      </c>
    </row>
    <row r="3" ht="14.25" spans="1:21">
      <c r="A3" s="5" t="s">
        <v>2741</v>
      </c>
      <c r="B3" s="8" t="s">
        <v>2743</v>
      </c>
      <c r="C3" s="4">
        <v>2</v>
      </c>
      <c r="D3" s="4">
        <v>0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N3" s="9" t="s">
        <v>2744</v>
      </c>
      <c r="O3" s="9" t="s">
        <v>2745</v>
      </c>
      <c r="P3" s="9" t="s">
        <v>2746</v>
      </c>
    </row>
    <row r="4" spans="1:21">
      <c r="A4" s="5" t="s">
        <v>2747</v>
      </c>
      <c r="B4" s="8" t="s">
        <v>2742</v>
      </c>
      <c r="C4" s="4">
        <v>0</v>
      </c>
      <c r="D4" s="4">
        <v>1</v>
      </c>
      <c r="E4" s="4">
        <v>1</v>
      </c>
      <c r="F4" s="4">
        <v>2</v>
      </c>
      <c r="G4" s="4">
        <v>1</v>
      </c>
      <c r="H4" s="4">
        <v>0</v>
      </c>
      <c r="I4" s="4">
        <v>1</v>
      </c>
      <c r="J4" s="4">
        <v>1</v>
      </c>
      <c r="K4" s="4">
        <v>1</v>
      </c>
      <c r="M4" s="1" t="s">
        <v>2748</v>
      </c>
      <c r="N4" s="4">
        <v>0</v>
      </c>
      <c r="O4" s="4">
        <v>33</v>
      </c>
      <c r="P4" s="10">
        <v>0.423</v>
      </c>
      <c r="R4" s="1" t="s">
        <v>2744</v>
      </c>
      <c r="S4">
        <v>0</v>
      </c>
      <c r="T4">
        <v>1</v>
      </c>
      <c r="U4">
        <v>2</v>
      </c>
    </row>
    <row r="5" spans="1:21">
      <c r="A5" s="5" t="s">
        <v>2747</v>
      </c>
      <c r="B5" s="8" t="s">
        <v>2743</v>
      </c>
      <c r="C5" s="4">
        <v>0</v>
      </c>
      <c r="D5" s="4">
        <v>0</v>
      </c>
      <c r="E5" s="4">
        <v>2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0</v>
      </c>
      <c r="M5" s="1" t="s">
        <v>2749</v>
      </c>
      <c r="N5" s="4">
        <v>1</v>
      </c>
      <c r="O5" s="4">
        <v>27</v>
      </c>
      <c r="P5" s="10">
        <v>0.346</v>
      </c>
      <c r="R5" s="1" t="s">
        <v>2745</v>
      </c>
      <c r="S5">
        <v>33</v>
      </c>
      <c r="T5">
        <v>30</v>
      </c>
      <c r="U5">
        <v>15</v>
      </c>
    </row>
    <row r="6" spans="1:21">
      <c r="A6" s="5" t="s">
        <v>2750</v>
      </c>
      <c r="B6" s="8" t="s">
        <v>2742</v>
      </c>
      <c r="C6" s="4">
        <v>0</v>
      </c>
      <c r="D6" s="4">
        <v>0</v>
      </c>
      <c r="E6" s="4">
        <v>1</v>
      </c>
      <c r="F6" s="4">
        <v>2</v>
      </c>
      <c r="G6" s="4">
        <v>1</v>
      </c>
      <c r="H6" s="4">
        <v>1</v>
      </c>
      <c r="I6" s="4">
        <v>2</v>
      </c>
      <c r="J6" s="4">
        <v>1</v>
      </c>
      <c r="K6" s="4">
        <v>1</v>
      </c>
      <c r="M6" s="1" t="s">
        <v>2751</v>
      </c>
      <c r="N6" s="4">
        <v>2</v>
      </c>
      <c r="O6" s="4">
        <v>18</v>
      </c>
      <c r="P6" s="10">
        <v>0.231</v>
      </c>
    </row>
    <row r="7" spans="1:21">
      <c r="A7" s="5" t="s">
        <v>2750</v>
      </c>
      <c r="B7" s="8" t="s">
        <v>2743</v>
      </c>
      <c r="C7" s="4">
        <v>2</v>
      </c>
      <c r="D7" s="4">
        <v>0</v>
      </c>
      <c r="E7" s="4">
        <v>1</v>
      </c>
      <c r="F7" s="4">
        <v>1</v>
      </c>
      <c r="G7" s="4">
        <v>1</v>
      </c>
      <c r="H7" s="4">
        <v>0</v>
      </c>
      <c r="I7" s="4">
        <v>2</v>
      </c>
      <c r="J7" s="4">
        <v>1</v>
      </c>
      <c r="K7" s="4">
        <v>1</v>
      </c>
    </row>
    <row r="8" ht="14.25" spans="1:21">
      <c r="A8" s="5" t="s">
        <v>2752</v>
      </c>
      <c r="B8" s="8" t="s">
        <v>2742</v>
      </c>
      <c r="C8" s="4">
        <v>1</v>
      </c>
      <c r="D8" s="4">
        <v>1</v>
      </c>
      <c r="E8" s="4">
        <v>1</v>
      </c>
      <c r="F8" s="4">
        <v>2</v>
      </c>
      <c r="G8" s="4">
        <v>1</v>
      </c>
      <c r="H8" s="4">
        <v>1</v>
      </c>
      <c r="I8" s="4">
        <v>2</v>
      </c>
      <c r="J8" s="4">
        <v>1</v>
      </c>
      <c r="K8" s="4">
        <v>0</v>
      </c>
    </row>
    <row r="9" ht="14.25" spans="1:21">
      <c r="A9" s="5" t="s">
        <v>2752</v>
      </c>
      <c r="B9" s="8" t="s">
        <v>2743</v>
      </c>
      <c r="C9" s="4">
        <v>2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2</v>
      </c>
      <c r="J9" s="4">
        <v>1</v>
      </c>
      <c r="K9" s="4">
        <v>0</v>
      </c>
    </row>
    <row r="10" ht="14.25" spans="1:21">
      <c r="A10" s="5" t="s">
        <v>2753</v>
      </c>
      <c r="B10" s="8" t="s">
        <v>2742</v>
      </c>
      <c r="C10" s="4">
        <v>1</v>
      </c>
      <c r="D10" s="4">
        <v>2</v>
      </c>
      <c r="E10" s="4">
        <v>1</v>
      </c>
      <c r="F10" s="4">
        <v>2</v>
      </c>
      <c r="G10" s="4">
        <v>1</v>
      </c>
      <c r="H10" s="4">
        <v>0</v>
      </c>
      <c r="I10" s="4">
        <v>1</v>
      </c>
      <c r="J10" s="4">
        <v>1</v>
      </c>
      <c r="K10" s="4">
        <v>1</v>
      </c>
    </row>
    <row r="11" ht="14.25" spans="1:21">
      <c r="A11" s="5" t="s">
        <v>2753</v>
      </c>
      <c r="B11" s="8" t="s">
        <v>2743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</row>
    <row r="12" ht="14.25" spans="1:21">
      <c r="A12" s="5" t="s">
        <v>2754</v>
      </c>
      <c r="B12" s="8" t="s">
        <v>2742</v>
      </c>
      <c r="C12" s="4">
        <v>0</v>
      </c>
      <c r="D12" s="4">
        <v>1</v>
      </c>
      <c r="E12" s="4">
        <v>1</v>
      </c>
      <c r="F12" s="4">
        <v>2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</row>
    <row r="13" ht="14.25" spans="1:21">
      <c r="A13" s="5" t="s">
        <v>2754</v>
      </c>
      <c r="B13" s="8" t="s">
        <v>2743</v>
      </c>
      <c r="C13" s="4">
        <v>0</v>
      </c>
      <c r="D13" s="4">
        <v>1</v>
      </c>
      <c r="E13" s="4">
        <v>1</v>
      </c>
      <c r="F13" s="4">
        <v>0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</row>
    <row r="14" ht="14.25" spans="1:21">
      <c r="A14" s="5" t="s">
        <v>2755</v>
      </c>
      <c r="B14" s="11" t="s">
        <v>2756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</row>
    <row r="15" ht="14.25" spans="1:21">
      <c r="A15" s="5" t="s">
        <v>2755</v>
      </c>
      <c r="B15" s="11" t="s">
        <v>2757</v>
      </c>
      <c r="C15" s="4">
        <v>2</v>
      </c>
      <c r="D15" s="4">
        <v>1</v>
      </c>
      <c r="E15" s="4">
        <v>1</v>
      </c>
      <c r="F15" s="4">
        <v>0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</row>
    <row r="16" ht="14.25" spans="1:21">
      <c r="A16" s="5" t="s">
        <v>2758</v>
      </c>
      <c r="B16" s="11" t="s">
        <v>2756</v>
      </c>
      <c r="C16" s="4">
        <v>0</v>
      </c>
      <c r="D16" s="4">
        <v>1</v>
      </c>
      <c r="E16" s="4">
        <v>2</v>
      </c>
      <c r="F16" s="4">
        <v>1</v>
      </c>
      <c r="G16" s="4">
        <v>1</v>
      </c>
      <c r="H16" s="4">
        <v>0</v>
      </c>
      <c r="I16" s="4">
        <v>1</v>
      </c>
      <c r="J16" s="4">
        <v>1</v>
      </c>
      <c r="K16" s="4">
        <v>1</v>
      </c>
      <c r="M16" s="1" t="s">
        <v>106</v>
      </c>
    </row>
    <row r="17" ht="14.25" spans="1:15">
      <c r="A17" s="5" t="s">
        <v>2758</v>
      </c>
      <c r="B17" s="11" t="s">
        <v>2757</v>
      </c>
      <c r="C17" s="4">
        <v>0</v>
      </c>
      <c r="D17" s="4">
        <v>1</v>
      </c>
      <c r="E17" s="4">
        <v>1</v>
      </c>
      <c r="F17" s="4">
        <v>0</v>
      </c>
      <c r="G17" s="4">
        <v>1</v>
      </c>
      <c r="H17" s="4">
        <v>1</v>
      </c>
      <c r="I17" s="4">
        <v>2</v>
      </c>
      <c r="J17" s="4">
        <v>1</v>
      </c>
      <c r="K17" s="4">
        <v>1</v>
      </c>
      <c r="N17" s="9" t="s">
        <v>2744</v>
      </c>
      <c r="O17" s="9" t="s">
        <v>2745</v>
      </c>
    </row>
    <row r="18" spans="1:15">
      <c r="A18" s="5" t="s">
        <v>2759</v>
      </c>
      <c r="B18" s="11" t="s">
        <v>2756</v>
      </c>
      <c r="C18" s="4">
        <v>2</v>
      </c>
      <c r="D18" s="4">
        <v>1</v>
      </c>
      <c r="E18" s="4">
        <v>1</v>
      </c>
      <c r="F18" s="4">
        <v>2</v>
      </c>
      <c r="G18" s="4">
        <v>1</v>
      </c>
      <c r="H18" s="4">
        <v>1</v>
      </c>
      <c r="I18" s="4">
        <v>0</v>
      </c>
      <c r="J18" s="4">
        <v>1</v>
      </c>
      <c r="K18" s="4">
        <v>0</v>
      </c>
      <c r="M18" s="1" t="s">
        <v>2748</v>
      </c>
      <c r="N18" s="4">
        <v>0</v>
      </c>
      <c r="O18" s="4">
        <v>16</v>
      </c>
    </row>
    <row r="19" spans="1:15">
      <c r="A19" s="5" t="s">
        <v>2759</v>
      </c>
      <c r="B19" s="11" t="s">
        <v>2757</v>
      </c>
      <c r="C19" s="4">
        <v>1</v>
      </c>
      <c r="D19" s="4">
        <v>1</v>
      </c>
      <c r="E19" s="4">
        <v>1</v>
      </c>
      <c r="F19" s="4">
        <v>0</v>
      </c>
      <c r="G19" s="4">
        <v>1</v>
      </c>
      <c r="H19" s="4">
        <v>1</v>
      </c>
      <c r="I19" s="4">
        <v>1</v>
      </c>
      <c r="J19" s="4">
        <v>1</v>
      </c>
      <c r="K19" s="4">
        <v>0</v>
      </c>
      <c r="M19" s="1" t="s">
        <v>2749</v>
      </c>
      <c r="N19" s="4">
        <v>1</v>
      </c>
      <c r="O19" s="4">
        <v>59</v>
      </c>
    </row>
    <row r="20" spans="1:15">
      <c r="A20" s="5" t="s">
        <v>2760</v>
      </c>
      <c r="B20" s="11" t="s">
        <v>2756</v>
      </c>
      <c r="C20" s="4">
        <v>2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M20" s="1" t="s">
        <v>2751</v>
      </c>
      <c r="N20" s="4">
        <v>2</v>
      </c>
      <c r="O20" s="4">
        <v>3</v>
      </c>
    </row>
    <row r="21" spans="1:15">
      <c r="A21" s="5" t="s">
        <v>2760</v>
      </c>
      <c r="B21" s="11" t="s">
        <v>2757</v>
      </c>
      <c r="C21" s="4">
        <v>2</v>
      </c>
      <c r="D21" s="4">
        <v>0</v>
      </c>
      <c r="E21" s="4">
        <v>1</v>
      </c>
      <c r="F21" s="4">
        <v>0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</row>
    <row r="22" ht="14.25" spans="1:15">
      <c r="A22" s="5" t="s">
        <v>2761</v>
      </c>
      <c r="B22" s="11" t="s">
        <v>2756</v>
      </c>
      <c r="C22" s="4">
        <v>2</v>
      </c>
      <c r="D22" s="4">
        <v>0</v>
      </c>
      <c r="E22" s="4">
        <v>1</v>
      </c>
      <c r="F22" s="4">
        <v>1</v>
      </c>
      <c r="G22" s="4">
        <v>1</v>
      </c>
      <c r="H22" s="4">
        <v>0</v>
      </c>
      <c r="I22" s="4">
        <v>1</v>
      </c>
      <c r="J22" s="4">
        <v>1</v>
      </c>
      <c r="K22" s="4">
        <v>0</v>
      </c>
    </row>
    <row r="23" ht="14.25" spans="1:15">
      <c r="A23" s="5" t="s">
        <v>2761</v>
      </c>
      <c r="B23" s="11" t="s">
        <v>2757</v>
      </c>
      <c r="C23" s="4">
        <v>2</v>
      </c>
      <c r="D23" s="4">
        <v>1</v>
      </c>
      <c r="E23" s="4">
        <v>1</v>
      </c>
      <c r="F23" s="4">
        <v>0</v>
      </c>
      <c r="G23" s="4">
        <v>1</v>
      </c>
      <c r="H23" s="4">
        <v>1</v>
      </c>
      <c r="I23" s="4">
        <v>1</v>
      </c>
      <c r="J23" s="4">
        <v>1</v>
      </c>
      <c r="K23" s="4">
        <v>0</v>
      </c>
    </row>
    <row r="24" ht="14.25" spans="1:15">
      <c r="A24" s="5" t="s">
        <v>2762</v>
      </c>
      <c r="B24" s="11" t="s">
        <v>2756</v>
      </c>
      <c r="C24" s="4">
        <v>2</v>
      </c>
      <c r="D24" s="4">
        <v>1</v>
      </c>
      <c r="E24" s="4">
        <v>1</v>
      </c>
      <c r="F24" s="4">
        <v>1</v>
      </c>
      <c r="G24" s="4">
        <v>1</v>
      </c>
      <c r="H24" s="4">
        <v>0</v>
      </c>
      <c r="I24" s="4">
        <v>1</v>
      </c>
      <c r="J24" s="4">
        <v>1</v>
      </c>
      <c r="K24" s="4">
        <v>1</v>
      </c>
    </row>
    <row r="25" ht="14.25" spans="1:15">
      <c r="A25" s="5" t="s">
        <v>2762</v>
      </c>
      <c r="B25" s="11" t="s">
        <v>2757</v>
      </c>
      <c r="C25" s="4">
        <v>2</v>
      </c>
      <c r="D25" s="4">
        <v>1</v>
      </c>
      <c r="E25" s="4">
        <v>1</v>
      </c>
      <c r="F25" s="4">
        <v>0</v>
      </c>
      <c r="G25" s="4">
        <v>1</v>
      </c>
      <c r="H25" s="4">
        <v>2</v>
      </c>
      <c r="I25" s="4">
        <v>1</v>
      </c>
      <c r="J25" s="4">
        <v>1</v>
      </c>
      <c r="K25" s="4">
        <v>0</v>
      </c>
    </row>
    <row r="26" ht="14.25" spans="1:15">
      <c r="A26" s="5" t="s">
        <v>2763</v>
      </c>
      <c r="B26" s="8" t="s">
        <v>2742</v>
      </c>
      <c r="C26" s="4">
        <v>2</v>
      </c>
      <c r="D26" s="4">
        <v>1</v>
      </c>
      <c r="E26" s="4">
        <v>1</v>
      </c>
      <c r="F26" s="4">
        <v>1</v>
      </c>
      <c r="G26" s="4">
        <v>1</v>
      </c>
      <c r="H26" s="4">
        <v>0</v>
      </c>
      <c r="I26" s="4">
        <v>2</v>
      </c>
      <c r="J26" s="4">
        <v>1</v>
      </c>
      <c r="K26" s="4">
        <v>1</v>
      </c>
    </row>
    <row r="27" ht="14.25" spans="1:15">
      <c r="A27" s="5" t="s">
        <v>2763</v>
      </c>
      <c r="B27" s="8" t="s">
        <v>2743</v>
      </c>
      <c r="C27" s="4">
        <v>2</v>
      </c>
      <c r="D27" s="4">
        <v>1</v>
      </c>
      <c r="E27" s="4">
        <v>1</v>
      </c>
      <c r="F27" s="4">
        <v>0</v>
      </c>
      <c r="G27" s="4">
        <v>1</v>
      </c>
      <c r="H27" s="4">
        <v>1</v>
      </c>
      <c r="I27" s="4">
        <v>2</v>
      </c>
      <c r="J27" s="4">
        <v>1</v>
      </c>
      <c r="K27" s="4">
        <v>1</v>
      </c>
    </row>
    <row r="28" ht="14.25" spans="1:15">
      <c r="A28" s="5" t="s">
        <v>2764</v>
      </c>
      <c r="B28" s="11" t="s">
        <v>2756</v>
      </c>
      <c r="C28" s="4">
        <v>1</v>
      </c>
      <c r="D28" s="4">
        <v>1</v>
      </c>
      <c r="E28" s="4">
        <v>1</v>
      </c>
      <c r="F28" s="4">
        <v>2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</row>
    <row r="29" ht="14.25" spans="1:15">
      <c r="A29" s="5" t="s">
        <v>2764</v>
      </c>
      <c r="B29" s="11" t="s">
        <v>2757</v>
      </c>
      <c r="C29" s="4">
        <v>1</v>
      </c>
      <c r="D29" s="4">
        <v>1</v>
      </c>
      <c r="E29" s="4">
        <v>1</v>
      </c>
      <c r="F29" s="4">
        <v>0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</row>
    <row r="30" ht="14.25" spans="1:15">
      <c r="A30" s="5" t="s">
        <v>2765</v>
      </c>
      <c r="B30" s="11" t="s">
        <v>2756</v>
      </c>
      <c r="C30" s="4">
        <v>1</v>
      </c>
      <c r="D30" s="4">
        <v>0</v>
      </c>
      <c r="E30" s="4">
        <v>1</v>
      </c>
      <c r="F30" s="4">
        <v>1</v>
      </c>
      <c r="G30" s="4">
        <v>1</v>
      </c>
      <c r="H30" s="4">
        <v>1</v>
      </c>
      <c r="I30" s="4">
        <v>2</v>
      </c>
      <c r="J30" s="4">
        <v>1</v>
      </c>
      <c r="K30" s="4">
        <v>0</v>
      </c>
    </row>
    <row r="31" ht="14.25" spans="1:15">
      <c r="A31" s="5" t="s">
        <v>2765</v>
      </c>
      <c r="B31" s="11" t="s">
        <v>2757</v>
      </c>
      <c r="C31" s="4">
        <v>0</v>
      </c>
      <c r="D31" s="4">
        <v>0</v>
      </c>
      <c r="E31" s="4">
        <v>1</v>
      </c>
      <c r="F31" s="4">
        <v>0</v>
      </c>
      <c r="G31" s="4">
        <v>1</v>
      </c>
      <c r="H31" s="4">
        <v>0</v>
      </c>
      <c r="I31" s="4">
        <v>2</v>
      </c>
      <c r="J31" s="4">
        <v>1</v>
      </c>
      <c r="K31" s="4">
        <v>1</v>
      </c>
      <c r="M31" s="1" t="s">
        <v>8</v>
      </c>
    </row>
    <row r="32" ht="14.25" spans="1:15">
      <c r="A32" s="5" t="s">
        <v>2766</v>
      </c>
      <c r="B32" s="8" t="s">
        <v>2742</v>
      </c>
      <c r="C32" s="4">
        <v>1</v>
      </c>
      <c r="D32" s="4">
        <v>1</v>
      </c>
      <c r="E32" s="4">
        <v>1</v>
      </c>
      <c r="F32" s="4">
        <v>1</v>
      </c>
      <c r="G32" s="4">
        <v>1</v>
      </c>
      <c r="H32" s="4">
        <v>2</v>
      </c>
      <c r="I32" s="4">
        <v>2</v>
      </c>
      <c r="J32" s="4">
        <v>1</v>
      </c>
      <c r="K32" s="4">
        <v>1</v>
      </c>
    </row>
    <row r="33" ht="14.25" spans="1:15">
      <c r="A33" s="5" t="s">
        <v>2766</v>
      </c>
      <c r="B33" s="8" t="s">
        <v>2743</v>
      </c>
      <c r="C33" s="4">
        <v>2</v>
      </c>
      <c r="D33" s="4">
        <v>1</v>
      </c>
      <c r="E33" s="4">
        <v>1</v>
      </c>
      <c r="F33" s="4">
        <v>0</v>
      </c>
      <c r="G33" s="4">
        <v>1</v>
      </c>
      <c r="H33" s="4">
        <v>2</v>
      </c>
      <c r="I33" s="4">
        <v>2</v>
      </c>
      <c r="J33" s="4">
        <v>1</v>
      </c>
      <c r="K33" s="4">
        <v>1</v>
      </c>
      <c r="N33" s="9" t="s">
        <v>2744</v>
      </c>
      <c r="O33" s="9" t="s">
        <v>2745</v>
      </c>
    </row>
    <row r="34" ht="14.25" spans="1:15">
      <c r="A34" s="5" t="s">
        <v>2767</v>
      </c>
      <c r="B34" s="8" t="s">
        <v>2742</v>
      </c>
      <c r="C34" s="4">
        <v>0</v>
      </c>
      <c r="D34" s="4">
        <v>1</v>
      </c>
      <c r="E34" s="4">
        <v>1</v>
      </c>
      <c r="F34" s="4">
        <v>1</v>
      </c>
      <c r="G34" s="4">
        <v>1</v>
      </c>
      <c r="H34" s="4">
        <v>2</v>
      </c>
      <c r="I34" s="4">
        <v>2</v>
      </c>
      <c r="J34" s="4">
        <v>1</v>
      </c>
      <c r="K34" s="4">
        <v>1</v>
      </c>
      <c r="M34" s="1"/>
    </row>
    <row r="35" ht="14.25" spans="1:15">
      <c r="A35" s="5" t="s">
        <v>2767</v>
      </c>
      <c r="B35" s="8" t="s">
        <v>2743</v>
      </c>
      <c r="C35" s="4">
        <v>2</v>
      </c>
      <c r="D35" s="4">
        <v>1</v>
      </c>
      <c r="E35" s="4">
        <v>1</v>
      </c>
      <c r="F35" s="4">
        <v>0</v>
      </c>
      <c r="G35" s="4">
        <v>1</v>
      </c>
      <c r="H35" s="4">
        <v>2</v>
      </c>
      <c r="I35" s="4">
        <v>2</v>
      </c>
      <c r="J35" s="4">
        <v>1</v>
      </c>
      <c r="K35" s="4">
        <v>1</v>
      </c>
      <c r="M35" s="1" t="s">
        <v>2749</v>
      </c>
      <c r="N35" s="4">
        <v>1</v>
      </c>
      <c r="O35" s="4">
        <v>67</v>
      </c>
    </row>
    <row r="36" ht="14.25" spans="1:15">
      <c r="A36" s="5" t="s">
        <v>2768</v>
      </c>
      <c r="B36" s="8" t="s">
        <v>2742</v>
      </c>
      <c r="C36" s="4">
        <v>1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  <c r="I36" s="4">
        <v>1</v>
      </c>
      <c r="J36" s="4">
        <v>1</v>
      </c>
      <c r="K36" s="4">
        <v>0</v>
      </c>
      <c r="M36" s="1" t="s">
        <v>2751</v>
      </c>
      <c r="N36" s="4">
        <v>2</v>
      </c>
      <c r="O36" s="4">
        <v>11</v>
      </c>
    </row>
    <row r="37" ht="14.25" spans="1:15">
      <c r="A37" s="5" t="s">
        <v>2768</v>
      </c>
      <c r="B37" s="8" t="s">
        <v>2743</v>
      </c>
      <c r="C37" s="4">
        <v>1</v>
      </c>
      <c r="D37" s="4">
        <v>1</v>
      </c>
      <c r="E37" s="4">
        <v>2</v>
      </c>
      <c r="F37" s="4">
        <v>0</v>
      </c>
      <c r="G37" s="4">
        <v>1</v>
      </c>
      <c r="H37" s="4">
        <v>1</v>
      </c>
      <c r="I37" s="4">
        <v>1</v>
      </c>
      <c r="J37" s="4">
        <v>1</v>
      </c>
      <c r="K37" s="4">
        <v>0</v>
      </c>
    </row>
    <row r="38" ht="14.25" spans="1:15">
      <c r="A38" s="5" t="s">
        <v>2769</v>
      </c>
      <c r="B38" s="8" t="s">
        <v>2742</v>
      </c>
      <c r="C38" s="4">
        <v>0</v>
      </c>
      <c r="D38" s="4">
        <v>1</v>
      </c>
      <c r="E38" s="4">
        <v>1</v>
      </c>
      <c r="F38" s="4">
        <v>2</v>
      </c>
      <c r="G38" s="4">
        <v>1</v>
      </c>
      <c r="H38" s="4">
        <v>2</v>
      </c>
      <c r="I38" s="4">
        <v>2</v>
      </c>
      <c r="J38" s="4">
        <v>1</v>
      </c>
      <c r="K38" s="4">
        <v>1</v>
      </c>
    </row>
    <row r="39" ht="14.25" spans="1:15">
      <c r="A39" s="5" t="s">
        <v>2769</v>
      </c>
      <c r="B39" s="8" t="s">
        <v>2743</v>
      </c>
      <c r="C39" s="4">
        <v>0</v>
      </c>
      <c r="D39" s="4">
        <v>1</v>
      </c>
      <c r="E39" s="4">
        <v>2</v>
      </c>
      <c r="F39" s="4">
        <v>0</v>
      </c>
      <c r="G39" s="4">
        <v>1</v>
      </c>
      <c r="H39" s="4">
        <v>2</v>
      </c>
      <c r="I39" s="4">
        <v>1</v>
      </c>
      <c r="J39" s="4">
        <v>1</v>
      </c>
      <c r="K39" s="4">
        <v>1</v>
      </c>
    </row>
    <row r="40" ht="14.25" spans="1:15">
      <c r="A40" s="5" t="s">
        <v>2770</v>
      </c>
      <c r="B40" s="8" t="s">
        <v>2742</v>
      </c>
      <c r="C40" s="4">
        <v>1</v>
      </c>
      <c r="D40" s="4">
        <v>1</v>
      </c>
      <c r="E40" s="4">
        <v>1</v>
      </c>
      <c r="F40" s="4">
        <v>1</v>
      </c>
      <c r="G40" s="4">
        <v>1</v>
      </c>
      <c r="H40" s="4">
        <v>2</v>
      </c>
      <c r="I40" s="4">
        <v>1</v>
      </c>
      <c r="J40" s="4">
        <v>1</v>
      </c>
      <c r="K40" s="4">
        <v>1</v>
      </c>
    </row>
    <row r="41" ht="14.25" spans="1:15">
      <c r="A41" s="5" t="s">
        <v>2770</v>
      </c>
      <c r="B41" s="8" t="s">
        <v>2743</v>
      </c>
      <c r="C41" s="4">
        <v>1</v>
      </c>
      <c r="D41" s="4">
        <v>1</v>
      </c>
      <c r="E41" s="4">
        <v>1</v>
      </c>
      <c r="F41" s="4">
        <v>0</v>
      </c>
      <c r="G41" s="4">
        <v>1</v>
      </c>
      <c r="H41" s="4">
        <v>2</v>
      </c>
      <c r="I41" s="4">
        <v>1</v>
      </c>
      <c r="J41" s="4">
        <v>1</v>
      </c>
      <c r="K41" s="4">
        <v>0</v>
      </c>
    </row>
    <row r="42" ht="14.25" spans="1:15">
      <c r="A42" s="5" t="s">
        <v>2771</v>
      </c>
      <c r="B42" s="8" t="s">
        <v>2742</v>
      </c>
      <c r="C42" s="4">
        <v>2</v>
      </c>
      <c r="D42" s="4">
        <v>1</v>
      </c>
      <c r="E42" s="4">
        <v>1</v>
      </c>
      <c r="F42" s="4">
        <v>1</v>
      </c>
      <c r="G42" s="4">
        <v>1</v>
      </c>
      <c r="H42" s="4">
        <v>1</v>
      </c>
      <c r="I42" s="4">
        <v>1</v>
      </c>
      <c r="J42" s="4">
        <v>1</v>
      </c>
      <c r="K42" s="4">
        <v>0</v>
      </c>
    </row>
    <row r="43" ht="14.25" spans="1:15">
      <c r="A43" s="5" t="s">
        <v>2771</v>
      </c>
      <c r="B43" s="8" t="s">
        <v>2743</v>
      </c>
      <c r="C43" s="4">
        <v>0</v>
      </c>
      <c r="D43" s="4">
        <v>1</v>
      </c>
      <c r="E43" s="4">
        <v>1</v>
      </c>
      <c r="F43" s="4">
        <v>0</v>
      </c>
      <c r="G43" s="4">
        <v>1</v>
      </c>
      <c r="H43" s="4">
        <v>2</v>
      </c>
      <c r="I43" s="4">
        <v>1</v>
      </c>
      <c r="J43" s="4">
        <v>1</v>
      </c>
      <c r="K43" s="4">
        <v>0</v>
      </c>
    </row>
    <row r="44" spans="1:15">
      <c r="A44" s="5" t="s">
        <v>2772</v>
      </c>
      <c r="B44" s="8" t="s">
        <v>2742</v>
      </c>
      <c r="C44" s="4">
        <v>0</v>
      </c>
      <c r="D44" s="4">
        <v>1</v>
      </c>
      <c r="E44" s="4">
        <v>2</v>
      </c>
      <c r="F44" s="4">
        <v>1</v>
      </c>
      <c r="G44" s="4">
        <v>1</v>
      </c>
      <c r="H44" s="4">
        <v>1</v>
      </c>
      <c r="I44" s="4">
        <v>1</v>
      </c>
      <c r="J44" s="4">
        <v>1</v>
      </c>
      <c r="K44" s="4">
        <v>0</v>
      </c>
    </row>
    <row r="45" spans="1:15">
      <c r="A45" s="5" t="s">
        <v>2772</v>
      </c>
      <c r="B45" s="8" t="s">
        <v>2743</v>
      </c>
      <c r="C45" s="4">
        <v>0</v>
      </c>
      <c r="D45" s="4">
        <v>1</v>
      </c>
      <c r="E45" s="4">
        <v>1</v>
      </c>
      <c r="F45" s="4">
        <v>0</v>
      </c>
      <c r="G45" s="4">
        <v>1</v>
      </c>
      <c r="H45" s="4">
        <v>2</v>
      </c>
      <c r="I45" s="4">
        <v>1</v>
      </c>
      <c r="J45" s="4">
        <v>1</v>
      </c>
      <c r="K45" s="4">
        <v>1</v>
      </c>
    </row>
    <row r="46" spans="1:15">
      <c r="A46" s="5" t="s">
        <v>2773</v>
      </c>
      <c r="B46" s="8" t="s">
        <v>2742</v>
      </c>
      <c r="C46" s="4">
        <v>2</v>
      </c>
      <c r="D46" s="4">
        <v>1</v>
      </c>
      <c r="E46" s="4">
        <v>1</v>
      </c>
      <c r="F46" s="4">
        <v>1</v>
      </c>
      <c r="G46" s="4">
        <v>1</v>
      </c>
      <c r="H46" s="4">
        <v>0</v>
      </c>
      <c r="I46" s="4">
        <v>1</v>
      </c>
      <c r="J46" s="4">
        <v>1</v>
      </c>
      <c r="K46" s="4">
        <v>0</v>
      </c>
      <c r="M46" s="1" t="s">
        <v>219</v>
      </c>
    </row>
    <row r="47" spans="1:15">
      <c r="A47" s="5" t="s">
        <v>2774</v>
      </c>
      <c r="B47" s="8" t="s">
        <v>2743</v>
      </c>
      <c r="C47" s="4">
        <v>2</v>
      </c>
      <c r="D47" s="4">
        <v>1</v>
      </c>
      <c r="E47" s="4">
        <v>1</v>
      </c>
      <c r="F47" s="4">
        <v>1</v>
      </c>
      <c r="G47" s="4">
        <v>1</v>
      </c>
      <c r="H47" s="4">
        <v>0</v>
      </c>
      <c r="I47" s="4">
        <v>1</v>
      </c>
      <c r="J47" s="4">
        <v>1</v>
      </c>
      <c r="K47" s="4">
        <v>0</v>
      </c>
      <c r="N47" s="9" t="s">
        <v>2744</v>
      </c>
      <c r="O47" s="9" t="s">
        <v>2745</v>
      </c>
    </row>
    <row r="48" ht="14.25" spans="1:15">
      <c r="A48" s="5" t="s">
        <v>2775</v>
      </c>
      <c r="B48" s="8" t="s">
        <v>2742</v>
      </c>
      <c r="C48" s="4">
        <v>1</v>
      </c>
      <c r="D48" s="4">
        <v>0</v>
      </c>
      <c r="E48" s="4">
        <v>1</v>
      </c>
      <c r="F48" s="4">
        <v>1</v>
      </c>
      <c r="G48" s="4">
        <v>1</v>
      </c>
      <c r="H48" s="4">
        <v>0</v>
      </c>
      <c r="I48" s="4">
        <v>1</v>
      </c>
      <c r="J48" s="4">
        <v>1</v>
      </c>
      <c r="K48" s="4">
        <v>1</v>
      </c>
      <c r="M48" s="1" t="s">
        <v>2748</v>
      </c>
      <c r="N48" s="4">
        <v>0</v>
      </c>
      <c r="O48" s="4">
        <v>34</v>
      </c>
    </row>
    <row r="49" ht="14.25" spans="1:15">
      <c r="A49" s="5" t="s">
        <v>2775</v>
      </c>
      <c r="B49" s="8" t="s">
        <v>2743</v>
      </c>
      <c r="C49" s="4">
        <v>0</v>
      </c>
      <c r="D49" s="4">
        <v>1</v>
      </c>
      <c r="E49" s="4">
        <v>1</v>
      </c>
      <c r="F49" s="4">
        <v>1</v>
      </c>
      <c r="G49" s="4">
        <v>1</v>
      </c>
      <c r="H49" s="4">
        <v>0</v>
      </c>
      <c r="I49" s="4">
        <v>1</v>
      </c>
      <c r="J49" s="4">
        <v>1</v>
      </c>
      <c r="K49" s="4">
        <v>0</v>
      </c>
      <c r="M49" s="1" t="s">
        <v>2749</v>
      </c>
      <c r="N49" s="4">
        <v>1</v>
      </c>
      <c r="O49" s="4">
        <v>36</v>
      </c>
    </row>
    <row r="50" spans="1:15">
      <c r="A50" s="5" t="s">
        <v>2776</v>
      </c>
      <c r="B50" s="8" t="s">
        <v>2742</v>
      </c>
      <c r="C50" s="4">
        <v>0</v>
      </c>
      <c r="D50" s="4">
        <v>1</v>
      </c>
      <c r="E50" s="4">
        <v>1</v>
      </c>
      <c r="F50" s="4">
        <v>1</v>
      </c>
      <c r="G50" s="4">
        <v>0</v>
      </c>
      <c r="H50" s="4">
        <v>1</v>
      </c>
      <c r="I50" s="4">
        <v>1</v>
      </c>
      <c r="J50" s="4">
        <v>1</v>
      </c>
      <c r="K50" s="4">
        <v>0</v>
      </c>
      <c r="M50" s="1" t="s">
        <v>2751</v>
      </c>
      <c r="N50" s="4">
        <v>2</v>
      </c>
      <c r="O50" s="4">
        <v>8</v>
      </c>
    </row>
    <row r="51" spans="1:15">
      <c r="A51" s="5" t="s">
        <v>2777</v>
      </c>
      <c r="B51" s="8" t="s">
        <v>2743</v>
      </c>
      <c r="C51" s="4">
        <v>1</v>
      </c>
      <c r="D51" s="4">
        <v>2</v>
      </c>
      <c r="E51" s="4">
        <v>1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</row>
    <row r="52" spans="1:15">
      <c r="A52" s="5" t="s">
        <v>2778</v>
      </c>
      <c r="B52" s="8" t="s">
        <v>2742</v>
      </c>
      <c r="C52" s="4">
        <v>0</v>
      </c>
      <c r="D52" s="4">
        <v>1</v>
      </c>
      <c r="E52" s="4">
        <v>1</v>
      </c>
      <c r="F52" s="4">
        <v>1</v>
      </c>
      <c r="G52" s="4">
        <v>1</v>
      </c>
      <c r="H52" s="4">
        <v>1</v>
      </c>
      <c r="I52" s="4">
        <v>1</v>
      </c>
      <c r="J52" s="4">
        <v>2</v>
      </c>
      <c r="K52" s="4">
        <v>0</v>
      </c>
    </row>
    <row r="53" spans="1:15">
      <c r="A53" s="5" t="s">
        <v>2779</v>
      </c>
      <c r="B53" s="8" t="s">
        <v>2743</v>
      </c>
      <c r="C53" s="4">
        <v>1</v>
      </c>
      <c r="D53" s="4">
        <v>1</v>
      </c>
      <c r="E53" s="4">
        <v>1</v>
      </c>
      <c r="F53" s="4">
        <v>1</v>
      </c>
      <c r="G53" s="4">
        <v>1</v>
      </c>
      <c r="H53" s="4">
        <v>0</v>
      </c>
      <c r="I53" s="4">
        <v>1</v>
      </c>
      <c r="J53" s="4">
        <v>1</v>
      </c>
      <c r="K53" s="4">
        <v>0</v>
      </c>
    </row>
    <row r="54" ht="14.25" spans="1:15">
      <c r="A54" s="5" t="s">
        <v>2780</v>
      </c>
      <c r="B54" s="8" t="s">
        <v>2742</v>
      </c>
      <c r="C54" s="4">
        <v>0</v>
      </c>
      <c r="D54" s="4">
        <v>1</v>
      </c>
      <c r="E54" s="4">
        <v>1</v>
      </c>
      <c r="F54" s="4">
        <v>1</v>
      </c>
      <c r="G54" s="4">
        <v>1</v>
      </c>
      <c r="H54" s="4">
        <v>2</v>
      </c>
      <c r="I54" s="4">
        <v>2</v>
      </c>
      <c r="J54" s="4">
        <v>1</v>
      </c>
      <c r="K54" s="4">
        <v>1</v>
      </c>
    </row>
    <row r="55" ht="14.25" spans="1:15">
      <c r="A55" s="5" t="s">
        <v>2780</v>
      </c>
      <c r="B55" s="8" t="s">
        <v>2743</v>
      </c>
      <c r="C55" s="4">
        <v>0</v>
      </c>
      <c r="D55" s="4">
        <v>0</v>
      </c>
      <c r="E55" s="4">
        <v>2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</row>
    <row r="56" ht="14.25" spans="1:15">
      <c r="A56" s="5" t="s">
        <v>2781</v>
      </c>
      <c r="B56" s="8" t="s">
        <v>2742</v>
      </c>
      <c r="C56" s="4">
        <v>1</v>
      </c>
      <c r="D56" s="4">
        <v>1</v>
      </c>
      <c r="E56" s="4">
        <v>1</v>
      </c>
      <c r="F56" s="4">
        <v>1</v>
      </c>
      <c r="G56" s="4">
        <v>1</v>
      </c>
      <c r="H56" s="4">
        <v>1</v>
      </c>
      <c r="I56" s="4">
        <v>1</v>
      </c>
      <c r="J56" s="4">
        <v>1</v>
      </c>
      <c r="K56" s="4">
        <v>1</v>
      </c>
    </row>
    <row r="57" ht="14.25" spans="1:15">
      <c r="A57" s="5" t="s">
        <v>2781</v>
      </c>
      <c r="B57" s="8" t="s">
        <v>2743</v>
      </c>
      <c r="C57" s="4">
        <v>1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0</v>
      </c>
    </row>
    <row r="58" ht="14.25" spans="1:15">
      <c r="A58" s="5" t="s">
        <v>2782</v>
      </c>
      <c r="B58" s="8" t="s">
        <v>2742</v>
      </c>
      <c r="C58" s="4">
        <v>0</v>
      </c>
      <c r="D58" s="4">
        <v>1</v>
      </c>
      <c r="E58" s="4">
        <v>1</v>
      </c>
      <c r="F58" s="4">
        <v>0</v>
      </c>
      <c r="G58" s="4">
        <v>1</v>
      </c>
      <c r="H58" s="4">
        <v>2</v>
      </c>
      <c r="I58" s="4">
        <v>1</v>
      </c>
      <c r="J58" s="4">
        <v>1</v>
      </c>
      <c r="K58" s="4">
        <v>1</v>
      </c>
    </row>
    <row r="59" ht="14.25" spans="1:15">
      <c r="A59" s="5" t="s">
        <v>2782</v>
      </c>
      <c r="B59" s="8" t="s">
        <v>2743</v>
      </c>
      <c r="C59" s="4">
        <v>0</v>
      </c>
      <c r="D59" s="4">
        <v>1</v>
      </c>
      <c r="E59" s="4">
        <v>2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0</v>
      </c>
    </row>
    <row r="60" ht="14.25" spans="1:15">
      <c r="A60" s="5" t="s">
        <v>2783</v>
      </c>
      <c r="B60" s="8" t="s">
        <v>2742</v>
      </c>
      <c r="C60" s="4">
        <v>0</v>
      </c>
      <c r="D60" s="4">
        <v>1</v>
      </c>
      <c r="E60" s="4">
        <v>1</v>
      </c>
      <c r="F60" s="4">
        <v>0</v>
      </c>
      <c r="G60" s="4">
        <v>1</v>
      </c>
      <c r="H60" s="4">
        <v>1</v>
      </c>
      <c r="I60" s="4">
        <v>1</v>
      </c>
      <c r="J60" s="4">
        <v>1</v>
      </c>
      <c r="K60" s="4">
        <v>0</v>
      </c>
    </row>
    <row r="61" ht="14.25" spans="1:15">
      <c r="A61" s="5" t="s">
        <v>2783</v>
      </c>
      <c r="B61" s="8" t="s">
        <v>2743</v>
      </c>
      <c r="C61" s="4">
        <v>0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0</v>
      </c>
      <c r="M61" s="1" t="s">
        <v>95</v>
      </c>
    </row>
    <row r="62" spans="1:15">
      <c r="A62" s="5" t="s">
        <v>2784</v>
      </c>
      <c r="B62" s="8" t="s">
        <v>2742</v>
      </c>
      <c r="C62" s="4">
        <v>1</v>
      </c>
      <c r="D62" s="4">
        <v>0</v>
      </c>
      <c r="E62" s="4">
        <v>2</v>
      </c>
      <c r="F62" s="4">
        <v>0</v>
      </c>
      <c r="G62" s="4">
        <v>1</v>
      </c>
      <c r="H62" s="4">
        <v>0</v>
      </c>
      <c r="I62" s="4">
        <v>1</v>
      </c>
      <c r="J62" s="4">
        <v>1</v>
      </c>
      <c r="K62" s="4">
        <v>0</v>
      </c>
    </row>
    <row r="63" spans="1:15">
      <c r="A63" s="5" t="s">
        <v>2785</v>
      </c>
      <c r="B63" s="8" t="s">
        <v>2743</v>
      </c>
      <c r="C63" s="4">
        <v>1</v>
      </c>
      <c r="D63" s="4">
        <v>1</v>
      </c>
      <c r="E63" s="4">
        <v>1</v>
      </c>
      <c r="F63" s="4">
        <v>0</v>
      </c>
      <c r="G63" s="4">
        <v>1</v>
      </c>
      <c r="H63" s="4">
        <v>1</v>
      </c>
      <c r="I63" s="4">
        <v>1</v>
      </c>
      <c r="J63" s="4">
        <v>1</v>
      </c>
      <c r="K63" s="4">
        <v>0</v>
      </c>
      <c r="N63" s="9" t="s">
        <v>2744</v>
      </c>
      <c r="O63" s="9" t="s">
        <v>2745</v>
      </c>
    </row>
    <row r="64" spans="1:15">
      <c r="A64" s="5" t="s">
        <v>2786</v>
      </c>
      <c r="B64" s="8" t="s">
        <v>2742</v>
      </c>
      <c r="C64" s="4">
        <v>1</v>
      </c>
      <c r="D64" s="4">
        <v>1</v>
      </c>
      <c r="E64" s="4">
        <v>1</v>
      </c>
      <c r="F64" s="4">
        <v>0</v>
      </c>
      <c r="G64" s="4">
        <v>1</v>
      </c>
      <c r="H64" s="4">
        <v>1</v>
      </c>
      <c r="I64" s="4">
        <v>1</v>
      </c>
      <c r="J64" s="4">
        <v>1</v>
      </c>
      <c r="K64" s="4">
        <v>0</v>
      </c>
      <c r="M64" s="1" t="s">
        <v>2748</v>
      </c>
      <c r="N64" s="4">
        <v>0</v>
      </c>
      <c r="O64" s="4">
        <v>1</v>
      </c>
    </row>
    <row r="65" spans="1:15">
      <c r="A65" s="5" t="s">
        <v>2787</v>
      </c>
      <c r="B65" s="8" t="s">
        <v>2743</v>
      </c>
      <c r="C65" s="4">
        <v>1</v>
      </c>
      <c r="D65" s="4">
        <v>1</v>
      </c>
      <c r="E65" s="4">
        <v>1</v>
      </c>
      <c r="F65" s="4">
        <v>0</v>
      </c>
      <c r="G65" s="4">
        <v>1</v>
      </c>
      <c r="H65" s="4">
        <v>2</v>
      </c>
      <c r="I65" s="4">
        <v>1</v>
      </c>
      <c r="J65" s="4">
        <v>1</v>
      </c>
      <c r="K65" s="4">
        <v>0</v>
      </c>
      <c r="M65" s="1" t="s">
        <v>2749</v>
      </c>
      <c r="N65" s="4">
        <v>1</v>
      </c>
      <c r="O65" s="4">
        <v>59</v>
      </c>
    </row>
    <row r="66" spans="1:15">
      <c r="A66" s="5" t="s">
        <v>2788</v>
      </c>
      <c r="B66" s="8" t="s">
        <v>2742</v>
      </c>
      <c r="C66" s="4">
        <v>1</v>
      </c>
      <c r="D66" s="4">
        <v>1</v>
      </c>
      <c r="E66" s="4">
        <v>1</v>
      </c>
      <c r="F66" s="4">
        <v>0</v>
      </c>
      <c r="G66" s="4">
        <v>1</v>
      </c>
      <c r="H66" s="4">
        <v>0</v>
      </c>
      <c r="I66" s="4">
        <v>2</v>
      </c>
      <c r="J66" s="4">
        <v>1</v>
      </c>
      <c r="K66" s="4">
        <v>0</v>
      </c>
      <c r="M66" s="1" t="s">
        <v>2751</v>
      </c>
      <c r="N66" s="4">
        <v>2</v>
      </c>
      <c r="O66" s="4">
        <v>18</v>
      </c>
    </row>
    <row r="67" spans="1:15">
      <c r="A67" s="5" t="s">
        <v>2789</v>
      </c>
      <c r="B67" s="8" t="s">
        <v>2743</v>
      </c>
      <c r="C67" s="4">
        <v>0</v>
      </c>
      <c r="D67" s="4">
        <v>1</v>
      </c>
      <c r="E67" s="4">
        <v>1</v>
      </c>
      <c r="F67" s="4">
        <v>1</v>
      </c>
      <c r="G67" s="4">
        <v>1</v>
      </c>
      <c r="H67" s="4">
        <v>2</v>
      </c>
      <c r="I67" s="4">
        <v>1</v>
      </c>
      <c r="J67" s="4">
        <v>1</v>
      </c>
      <c r="K67" s="4">
        <v>1</v>
      </c>
    </row>
    <row r="68" ht="14.25" spans="1:15">
      <c r="A68" s="5" t="s">
        <v>2790</v>
      </c>
      <c r="B68" s="8" t="s">
        <v>2742</v>
      </c>
      <c r="C68" s="4">
        <v>0</v>
      </c>
      <c r="D68" s="4">
        <v>2</v>
      </c>
      <c r="E68" s="4">
        <v>1</v>
      </c>
      <c r="F68" s="4">
        <v>0</v>
      </c>
      <c r="G68" s="4">
        <v>1</v>
      </c>
      <c r="H68" s="4">
        <v>0</v>
      </c>
      <c r="I68" s="4">
        <v>2</v>
      </c>
      <c r="J68" s="4">
        <v>1</v>
      </c>
      <c r="K68" s="4">
        <v>1</v>
      </c>
    </row>
    <row r="69" ht="14.25" spans="1:15">
      <c r="A69" s="5" t="s">
        <v>2790</v>
      </c>
      <c r="B69" s="8" t="s">
        <v>2743</v>
      </c>
      <c r="C69" s="4">
        <v>0</v>
      </c>
      <c r="D69" s="4">
        <v>1</v>
      </c>
      <c r="E69" s="4">
        <v>1</v>
      </c>
      <c r="F69" s="4">
        <v>0</v>
      </c>
      <c r="G69" s="4">
        <v>1</v>
      </c>
      <c r="H69" s="4">
        <v>0</v>
      </c>
      <c r="I69" s="4">
        <v>2</v>
      </c>
      <c r="J69" s="4">
        <v>1</v>
      </c>
      <c r="K69" s="4">
        <v>1</v>
      </c>
    </row>
    <row r="70" ht="14.25" spans="1:15">
      <c r="A70" s="5" t="s">
        <v>2791</v>
      </c>
      <c r="B70" s="8" t="s">
        <v>2742</v>
      </c>
      <c r="C70" s="4">
        <v>1</v>
      </c>
      <c r="D70" s="4">
        <v>1</v>
      </c>
      <c r="E70" s="4">
        <v>1</v>
      </c>
      <c r="F70" s="4">
        <v>0</v>
      </c>
      <c r="G70" s="4">
        <v>1</v>
      </c>
      <c r="H70" s="4">
        <v>1</v>
      </c>
      <c r="I70" s="4">
        <v>1</v>
      </c>
      <c r="J70" s="4">
        <v>1</v>
      </c>
      <c r="K70" s="4">
        <v>0</v>
      </c>
    </row>
    <row r="71" ht="14.25" spans="1:15">
      <c r="A71" s="5" t="s">
        <v>2791</v>
      </c>
      <c r="B71" s="8" t="s">
        <v>2743</v>
      </c>
      <c r="C71" s="4">
        <v>0</v>
      </c>
      <c r="D71" s="4">
        <v>1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0</v>
      </c>
    </row>
    <row r="72" ht="14.25" spans="1:15">
      <c r="A72" s="5" t="s">
        <v>2792</v>
      </c>
      <c r="B72" s="8" t="s">
        <v>2742</v>
      </c>
      <c r="C72" s="4">
        <v>0</v>
      </c>
      <c r="D72" s="4">
        <v>1</v>
      </c>
      <c r="E72" s="4">
        <v>2</v>
      </c>
      <c r="F72" s="4">
        <v>0</v>
      </c>
      <c r="G72" s="4">
        <v>1</v>
      </c>
      <c r="H72" s="4">
        <v>1</v>
      </c>
      <c r="I72" s="4">
        <v>1</v>
      </c>
      <c r="J72" s="4">
        <v>1</v>
      </c>
      <c r="K72" s="4">
        <v>0</v>
      </c>
    </row>
    <row r="73" ht="14.25" spans="1:15">
      <c r="A73" s="5" t="s">
        <v>2792</v>
      </c>
      <c r="B73" s="8" t="s">
        <v>2743</v>
      </c>
      <c r="C73" s="4">
        <v>0</v>
      </c>
      <c r="D73" s="4">
        <v>1</v>
      </c>
      <c r="E73" s="4">
        <v>1</v>
      </c>
      <c r="F73" s="4">
        <v>0</v>
      </c>
      <c r="G73" s="4">
        <v>1</v>
      </c>
      <c r="H73" s="4">
        <v>1</v>
      </c>
      <c r="I73" s="4">
        <v>1</v>
      </c>
      <c r="J73" s="4">
        <v>1</v>
      </c>
      <c r="K73" s="4">
        <v>0</v>
      </c>
    </row>
    <row r="74" ht="14.25" spans="1:15">
      <c r="A74" s="5" t="s">
        <v>2793</v>
      </c>
      <c r="B74" s="8" t="s">
        <v>2742</v>
      </c>
      <c r="C74" s="4">
        <v>1</v>
      </c>
      <c r="D74" s="4">
        <v>1</v>
      </c>
      <c r="E74" s="4">
        <v>1</v>
      </c>
      <c r="F74" s="4">
        <v>0</v>
      </c>
      <c r="G74" s="4">
        <v>1</v>
      </c>
      <c r="H74" s="4">
        <v>2</v>
      </c>
      <c r="I74" s="4">
        <v>1</v>
      </c>
      <c r="J74" s="4">
        <v>1</v>
      </c>
      <c r="K74" s="4">
        <v>0</v>
      </c>
      <c r="M74" s="1" t="s">
        <v>88</v>
      </c>
    </row>
    <row r="75" ht="14.25" spans="1:15">
      <c r="A75" s="5" t="s">
        <v>2793</v>
      </c>
      <c r="B75" s="8" t="s">
        <v>2743</v>
      </c>
      <c r="C75" s="4">
        <v>0</v>
      </c>
      <c r="D75" s="4">
        <v>1</v>
      </c>
      <c r="E75" s="4">
        <v>1</v>
      </c>
      <c r="F75" s="4">
        <v>0</v>
      </c>
      <c r="G75" s="4">
        <v>1</v>
      </c>
      <c r="H75" s="4">
        <v>2</v>
      </c>
      <c r="I75" s="4">
        <v>1</v>
      </c>
      <c r="J75" s="4">
        <v>1</v>
      </c>
      <c r="K75" s="4">
        <v>0</v>
      </c>
    </row>
    <row r="76" ht="14.25" spans="1:15">
      <c r="A76" s="5" t="s">
        <v>2794</v>
      </c>
      <c r="B76" s="8" t="s">
        <v>2742</v>
      </c>
      <c r="C76" s="4">
        <v>0</v>
      </c>
      <c r="D76" s="4">
        <v>0</v>
      </c>
      <c r="E76" s="4">
        <v>2</v>
      </c>
      <c r="F76" s="4">
        <v>0</v>
      </c>
      <c r="G76" s="4">
        <v>1</v>
      </c>
      <c r="H76" s="4">
        <v>2</v>
      </c>
      <c r="I76" s="4">
        <v>1</v>
      </c>
      <c r="J76" s="4">
        <v>1</v>
      </c>
      <c r="K76" s="4">
        <v>0</v>
      </c>
      <c r="N76" s="9" t="s">
        <v>2744</v>
      </c>
      <c r="O76" s="9" t="s">
        <v>2745</v>
      </c>
    </row>
    <row r="77" ht="14.25" spans="1:15">
      <c r="A77" s="5" t="s">
        <v>2794</v>
      </c>
      <c r="B77" s="8" t="s">
        <v>2743</v>
      </c>
      <c r="C77" s="4">
        <v>0</v>
      </c>
      <c r="D77" s="4">
        <v>0</v>
      </c>
      <c r="E77" s="4">
        <v>2</v>
      </c>
      <c r="F77" s="4">
        <v>0</v>
      </c>
      <c r="G77" s="4">
        <v>1</v>
      </c>
      <c r="H77" s="4">
        <v>0</v>
      </c>
      <c r="I77" s="4">
        <v>1</v>
      </c>
      <c r="J77" s="4">
        <v>1</v>
      </c>
      <c r="K77" s="4">
        <v>0</v>
      </c>
      <c r="M77" s="1" t="s">
        <v>2748</v>
      </c>
      <c r="N77" s="4">
        <v>0</v>
      </c>
      <c r="O77" s="4">
        <v>18</v>
      </c>
    </row>
    <row r="78" ht="14.25" spans="1:15">
      <c r="A78" s="5" t="s">
        <v>2795</v>
      </c>
      <c r="B78" s="8" t="s">
        <v>2742</v>
      </c>
      <c r="C78" s="4">
        <v>1</v>
      </c>
      <c r="D78" s="4">
        <v>0</v>
      </c>
      <c r="E78" s="4">
        <v>1</v>
      </c>
      <c r="F78" s="4">
        <v>1</v>
      </c>
      <c r="G78" s="4">
        <v>1</v>
      </c>
      <c r="H78" s="4">
        <v>2</v>
      </c>
      <c r="I78" s="4">
        <v>1</v>
      </c>
      <c r="J78" s="4">
        <v>1</v>
      </c>
      <c r="K78" s="4">
        <v>1</v>
      </c>
      <c r="M78" s="1" t="s">
        <v>2749</v>
      </c>
      <c r="N78" s="4">
        <v>1</v>
      </c>
      <c r="O78" s="4">
        <v>40</v>
      </c>
    </row>
    <row r="79" ht="14.25" spans="1:15">
      <c r="A79" s="5" t="s">
        <v>2795</v>
      </c>
      <c r="B79" s="8" t="s">
        <v>2743</v>
      </c>
      <c r="C79" s="4">
        <v>1</v>
      </c>
      <c r="D79" s="4">
        <v>0</v>
      </c>
      <c r="E79" s="4">
        <v>1</v>
      </c>
      <c r="F79" s="4">
        <v>0</v>
      </c>
      <c r="G79" s="4">
        <v>1</v>
      </c>
      <c r="H79" s="4">
        <v>2</v>
      </c>
      <c r="I79" s="4">
        <v>1</v>
      </c>
      <c r="J79" s="4">
        <v>1</v>
      </c>
      <c r="K79" s="4">
        <v>1</v>
      </c>
      <c r="M79" s="1" t="s">
        <v>2751</v>
      </c>
      <c r="N79" s="4">
        <v>2</v>
      </c>
      <c r="O79" s="4">
        <v>20</v>
      </c>
    </row>
    <row r="87" spans="13:15">
      <c r="M87" s="1" t="s">
        <v>25</v>
      </c>
    </row>
    <row r="89" spans="13:15">
      <c r="N89" s="9" t="s">
        <v>2744</v>
      </c>
      <c r="O89" s="9" t="s">
        <v>2745</v>
      </c>
    </row>
    <row r="90" spans="13:15">
      <c r="M90" s="1" t="s">
        <v>2748</v>
      </c>
      <c r="N90" s="4">
        <v>0</v>
      </c>
      <c r="O90" s="4">
        <v>0</v>
      </c>
    </row>
    <row r="91" spans="13:15">
      <c r="M91" s="1" t="s">
        <v>2749</v>
      </c>
      <c r="N91" s="4">
        <v>1</v>
      </c>
      <c r="O91" s="4">
        <v>77</v>
      </c>
    </row>
    <row r="92" spans="13:15">
      <c r="M92" s="1" t="s">
        <v>2751</v>
      </c>
      <c r="N92" s="4">
        <v>2</v>
      </c>
      <c r="O92" s="4">
        <v>1</v>
      </c>
    </row>
    <row r="101" spans="13:15">
      <c r="M101" s="1" t="s">
        <v>2740</v>
      </c>
    </row>
    <row r="103" spans="13:15">
      <c r="N103" s="9" t="s">
        <v>2744</v>
      </c>
      <c r="O103" s="9" t="s">
        <v>2745</v>
      </c>
    </row>
    <row r="104" spans="13:15">
      <c r="M104" s="1" t="s">
        <v>2748</v>
      </c>
      <c r="N104" s="4">
        <v>0</v>
      </c>
      <c r="O104" s="4">
        <v>38</v>
      </c>
    </row>
    <row r="105" spans="13:15">
      <c r="M105" s="1" t="s">
        <v>2749</v>
      </c>
      <c r="N105" s="4">
        <v>1</v>
      </c>
      <c r="O105" s="4">
        <v>40</v>
      </c>
    </row>
    <row r="106" spans="13:15">
      <c r="M106" s="1" t="s">
        <v>2751</v>
      </c>
      <c r="N106" s="4">
        <v>2</v>
      </c>
      <c r="O106" s="4">
        <v>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S22"/>
  <sheetViews>
    <sheetView workbookViewId="0">
      <selection activeCell="N25" sqref="N25"/>
    </sheetView>
  </sheetViews>
  <sheetFormatPr defaultColWidth="9" defaultRowHeight="14.25"/>
  <sheetData>
    <row r="3" spans="2:19">
      <c r="Q3" t="s">
        <v>2796</v>
      </c>
      <c r="R3">
        <v>2</v>
      </c>
      <c r="S3">
        <v>6583.5</v>
      </c>
    </row>
    <row r="4" spans="2:19">
      <c r="B4" s="1" t="s">
        <v>2797</v>
      </c>
      <c r="C4">
        <v>35</v>
      </c>
      <c r="D4" s="2">
        <v>0.449</v>
      </c>
      <c r="Q4" t="s">
        <v>2798</v>
      </c>
      <c r="R4">
        <v>20</v>
      </c>
      <c r="S4">
        <v>25585.98</v>
      </c>
    </row>
    <row r="5" spans="2:19">
      <c r="B5" s="1" t="s">
        <v>2799</v>
      </c>
      <c r="C5">
        <v>23</v>
      </c>
      <c r="D5" s="2">
        <v>0.295</v>
      </c>
      <c r="Q5" t="s">
        <v>2800</v>
      </c>
      <c r="R5">
        <v>41</v>
      </c>
      <c r="S5">
        <v>28207.9</v>
      </c>
    </row>
    <row r="6" spans="2:19">
      <c r="B6" s="1" t="s">
        <v>2801</v>
      </c>
      <c r="C6">
        <v>20</v>
      </c>
      <c r="D6" s="2">
        <v>0.256</v>
      </c>
      <c r="Q6" t="s">
        <v>2802</v>
      </c>
      <c r="R6">
        <v>15</v>
      </c>
      <c r="S6">
        <v>6106.7</v>
      </c>
    </row>
    <row r="19" spans="2:4">
      <c r="B19" s="1" t="s">
        <v>2803</v>
      </c>
      <c r="C19">
        <v>1</v>
      </c>
      <c r="D19" s="2"/>
    </row>
    <row r="20" spans="2:4">
      <c r="B20" s="1" t="s">
        <v>2804</v>
      </c>
      <c r="C20">
        <v>1</v>
      </c>
      <c r="D20" s="2"/>
    </row>
    <row r="21" spans="2:4">
      <c r="B21" s="1" t="s">
        <v>2805</v>
      </c>
      <c r="C21">
        <v>13</v>
      </c>
      <c r="D21" s="2"/>
    </row>
    <row r="22" spans="2:4">
      <c r="B22" s="1" t="s">
        <v>2806</v>
      </c>
      <c r="C22">
        <v>63</v>
      </c>
      <c r="D22" s="2"/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新开岭上行</vt:lpstr>
      <vt:lpstr>新开岭下行</vt:lpstr>
      <vt:lpstr>双岭1号上行</vt:lpstr>
      <vt:lpstr>双岭1号下行</vt:lpstr>
      <vt:lpstr>双岭2号上行</vt:lpstr>
      <vt:lpstr>双岭2号下行</vt:lpstr>
      <vt:lpstr>黑沟上行</vt:lpstr>
      <vt:lpstr>黑沟下行</vt:lpstr>
      <vt:lpstr>宋家沟上行</vt:lpstr>
      <vt:lpstr>上古城上行</vt:lpstr>
      <vt:lpstr>宋家沟下行</vt:lpstr>
      <vt:lpstr>上古城下行</vt:lpstr>
      <vt:lpstr>下古城上行</vt:lpstr>
      <vt:lpstr>下古城下行</vt:lpstr>
      <vt:lpstr>挂牌岭上行</vt:lpstr>
      <vt:lpstr>挂牌岭下行</vt:lpstr>
      <vt:lpstr>石哈达1号上行</vt:lpstr>
      <vt:lpstr>石哈达1号下行</vt:lpstr>
      <vt:lpstr>石哈达2号上行</vt:lpstr>
      <vt:lpstr>石哈达2号下行</vt:lpstr>
      <vt:lpstr>雅河上行</vt:lpstr>
      <vt:lpstr>雅河下行</vt:lpstr>
      <vt:lpstr>大泉眼上行</vt:lpstr>
      <vt:lpstr>大泉眼下行</vt:lpstr>
      <vt:lpstr>马路沟上行</vt:lpstr>
      <vt:lpstr>马路沟下行</vt:lpstr>
      <vt:lpstr>鼻子沟上行</vt:lpstr>
      <vt:lpstr>鼻子沟下行</vt:lpstr>
      <vt:lpstr>砬门上行</vt:lpstr>
      <vt:lpstr>砬门下行</vt:lpstr>
      <vt:lpstr>23年统计</vt:lpstr>
      <vt:lpstr>标度统计</vt:lpstr>
      <vt:lpstr>评分统计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KYY</dc:creator>
  <cp:lastModifiedBy>海阔天空</cp:lastModifiedBy>
  <dcterms:created xsi:type="dcterms:W3CDTF">2015-06-05T18:19:00Z</dcterms:created>
  <dcterms:modified xsi:type="dcterms:W3CDTF">2025-11-10T08:51:20Z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1C92F8368C484204B405D9B5287A9016</vt:lpwstr>
  </property>
  <property fmtid="{D5CDD505-2E9C-101B-9397-08002B2CF9AE}" pid="3" name="KSOProductBuildVer">
    <vt:lpwstr>2052-12.1.0.23542</vt:lpwstr>
  </property>
</Properties>
</file>